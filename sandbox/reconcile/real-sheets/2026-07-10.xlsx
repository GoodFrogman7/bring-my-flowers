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166925"/>
  <mc:AlternateContent xmlns:mc="http://schemas.openxmlformats.org/markup-compatibility/2006">
    <mc:Choice Requires="x15">
      <x15ac:absPath xmlns:x15ac="http://schemas.microsoft.com/office/spreadsheetml/2010/11/ac" url="https://d.docs.live.net/f90bce48fe946bb5/Desktop/"/>
    </mc:Choice>
  </mc:AlternateContent>
  <xr:revisionPtr revIDLastSave="35" documentId="8_{97A6D7E3-3358-4B59-ADDD-CC7EBF99166C}" xr6:coauthVersionLast="47" xr6:coauthVersionMax="47" xr10:uidLastSave="{6E34D95D-8720-4921-B76C-E3DC78154157}"/>
  <bookViews>
    <workbookView xWindow="-107" yWindow="-107" windowWidth="20847" windowHeight="11100" xr2:uid="{83DAE9C7-805E-4DAC-A891-5A116962D633}"/>
  </bookViews>
  <sheets>
    <sheet name="Sheet1" sheetId="1" r:id="rId1"/>
    <sheet name="Sheet2" sheetId="2" r:id="rId2"/>
  </sheets>
  <externalReferences>
    <externalReference r:id="rId3"/>
    <externalReference r:id="rId4"/>
  </externalReferences>
  <definedNames>
    <definedName name="_xlnm._FilterDatabase" localSheetId="0" hidden="1">Sheet1!$A$1:$AD$127</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K11" i="2" l="1"/>
  <c r="Q60" i="2"/>
  <c r="O59" i="2"/>
  <c r="H59" i="2"/>
  <c r="O58" i="2"/>
  <c r="O57" i="2"/>
  <c r="O56" i="2"/>
  <c r="O55" i="2"/>
  <c r="O54" i="2"/>
  <c r="O53" i="2"/>
  <c r="O52" i="2"/>
  <c r="O51" i="2"/>
  <c r="O50" i="2"/>
  <c r="O49" i="2"/>
  <c r="O48" i="2"/>
  <c r="O47" i="2"/>
  <c r="O46" i="2"/>
  <c r="O45" i="2"/>
  <c r="O44" i="2"/>
  <c r="O43" i="2"/>
  <c r="O42" i="2"/>
  <c r="O41" i="2"/>
  <c r="O40" i="2"/>
  <c r="N38" i="2"/>
  <c r="M38" i="2"/>
  <c r="L38" i="2"/>
  <c r="K38" i="2"/>
  <c r="J38" i="2"/>
  <c r="I38" i="2"/>
  <c r="H38" i="2"/>
  <c r="G38" i="2"/>
  <c r="F38" i="2"/>
  <c r="E38" i="2"/>
  <c r="D38" i="2"/>
  <c r="C38" i="2"/>
  <c r="B38" i="2"/>
  <c r="O23" i="2"/>
  <c r="O21" i="2"/>
  <c r="O20" i="2"/>
  <c r="O19" i="2"/>
  <c r="O18" i="2"/>
  <c r="O17" i="2"/>
  <c r="O16" i="2"/>
  <c r="O15" i="2"/>
  <c r="N14" i="2"/>
  <c r="M14" i="2"/>
  <c r="L14" i="2"/>
  <c r="K14" i="2"/>
  <c r="J14" i="2"/>
  <c r="I14" i="2"/>
  <c r="H14" i="2"/>
  <c r="G14" i="2"/>
  <c r="F14" i="2"/>
  <c r="E14" i="2"/>
  <c r="D14" i="2"/>
  <c r="C14" i="2"/>
  <c r="B14" i="2"/>
  <c r="N13" i="2"/>
  <c r="M13" i="2"/>
  <c r="L13" i="2"/>
  <c r="K13" i="2"/>
  <c r="J13" i="2"/>
  <c r="I13" i="2"/>
  <c r="H13" i="2"/>
  <c r="G13" i="2"/>
  <c r="F13" i="2"/>
  <c r="E13" i="2"/>
  <c r="D13" i="2"/>
  <c r="C13" i="2"/>
  <c r="B13" i="2"/>
  <c r="N12" i="2"/>
  <c r="M12" i="2"/>
  <c r="L12" i="2"/>
  <c r="K12" i="2"/>
  <c r="J12" i="2"/>
  <c r="I12" i="2"/>
  <c r="H12" i="2"/>
  <c r="G12" i="2"/>
  <c r="F12" i="2"/>
  <c r="E12" i="2"/>
  <c r="D12" i="2"/>
  <c r="C12" i="2"/>
  <c r="B12" i="2"/>
  <c r="N11" i="2"/>
  <c r="M11" i="2"/>
  <c r="L11" i="2"/>
  <c r="J11" i="2"/>
  <c r="I11" i="2"/>
  <c r="H11" i="2"/>
  <c r="G11" i="2"/>
  <c r="F11" i="2"/>
  <c r="E11" i="2"/>
  <c r="D11" i="2"/>
  <c r="C11" i="2"/>
  <c r="B11" i="2"/>
  <c r="N10" i="2"/>
  <c r="M10" i="2"/>
  <c r="L10" i="2"/>
  <c r="K10" i="2"/>
  <c r="J10" i="2"/>
  <c r="I10" i="2"/>
  <c r="H10" i="2"/>
  <c r="H22" i="2" s="1"/>
  <c r="H24" i="2" s="1"/>
  <c r="H26" i="2" s="1"/>
  <c r="H27" i="2" s="1"/>
  <c r="G10" i="2"/>
  <c r="F10" i="2"/>
  <c r="E10" i="2"/>
  <c r="D10" i="2"/>
  <c r="C10" i="2"/>
  <c r="B10" i="2"/>
  <c r="N7" i="2"/>
  <c r="M7" i="2"/>
  <c r="L7" i="2"/>
  <c r="K7" i="2"/>
  <c r="J7" i="2"/>
  <c r="I7" i="2"/>
  <c r="H7" i="2"/>
  <c r="G7" i="2"/>
  <c r="F7" i="2"/>
  <c r="E7" i="2"/>
  <c r="D7" i="2"/>
  <c r="C7" i="2"/>
  <c r="B7" i="2"/>
  <c r="O6" i="2"/>
  <c r="P6" i="2" s="1"/>
  <c r="O5" i="2"/>
  <c r="P13" i="2" s="1"/>
  <c r="O4" i="2"/>
  <c r="P12" i="2" s="1"/>
  <c r="O3" i="2"/>
  <c r="P3" i="2" s="1"/>
  <c r="O2" i="2"/>
  <c r="P2" i="2" s="1"/>
  <c r="O12" i="2" l="1"/>
  <c r="R12" i="2" s="1"/>
  <c r="G22" i="2"/>
  <c r="G24" i="2" s="1"/>
  <c r="G26" i="2" s="1"/>
  <c r="G27" i="2" s="1"/>
  <c r="I22" i="2"/>
  <c r="I24" i="2" s="1"/>
  <c r="I26" i="2" s="1"/>
  <c r="I27" i="2" s="1"/>
  <c r="O7" i="2"/>
  <c r="O38" i="2"/>
  <c r="M22" i="2"/>
  <c r="M24" i="2" s="1"/>
  <c r="M26" i="2" s="1"/>
  <c r="M27" i="2" s="1"/>
  <c r="O11" i="2"/>
  <c r="O14" i="2"/>
  <c r="B22" i="2"/>
  <c r="B24" i="2" s="1"/>
  <c r="B26" i="2" s="1"/>
  <c r="B27" i="2" s="1"/>
  <c r="J22" i="2"/>
  <c r="J24" i="2" s="1"/>
  <c r="J26" i="2" s="1"/>
  <c r="J27" i="2" s="1"/>
  <c r="C22" i="2"/>
  <c r="C24" i="2" s="1"/>
  <c r="C26" i="2" s="1"/>
  <c r="C27" i="2" s="1"/>
  <c r="K22" i="2"/>
  <c r="K24" i="2" s="1"/>
  <c r="K26" i="2" s="1"/>
  <c r="K27" i="2" s="1"/>
  <c r="O10" i="2"/>
  <c r="L22" i="2"/>
  <c r="L24" i="2" s="1"/>
  <c r="L26" i="2" s="1"/>
  <c r="L27" i="2" s="1"/>
  <c r="P11" i="2"/>
  <c r="O13" i="2"/>
  <c r="R13" i="2" s="1"/>
  <c r="E22" i="2"/>
  <c r="E24" i="2" s="1"/>
  <c r="E26" i="2" s="1"/>
  <c r="E27" i="2" s="1"/>
  <c r="F22" i="2"/>
  <c r="F24" i="2" s="1"/>
  <c r="F26" i="2" s="1"/>
  <c r="F27" i="2" s="1"/>
  <c r="N22" i="2"/>
  <c r="N24" i="2" s="1"/>
  <c r="N26" i="2" s="1"/>
  <c r="N27" i="2" s="1"/>
  <c r="D22" i="2"/>
  <c r="D24" i="2" s="1"/>
  <c r="D26" i="2" s="1"/>
  <c r="D27" i="2" s="1"/>
  <c r="P4" i="2"/>
  <c r="P5" i="2"/>
  <c r="P10" i="2"/>
  <c r="R10" i="2" s="1"/>
  <c r="P14" i="2"/>
  <c r="R14" i="2" l="1"/>
  <c r="P7" i="2"/>
  <c r="Q7" i="2" s="1"/>
  <c r="Q38" i="2" s="1"/>
  <c r="R11" i="2"/>
  <c r="R15" i="2" l="1"/>
  <c r="I115" i="1"/>
  <c r="O127" i="1"/>
  <c r="P127" i="1"/>
  <c r="Q127" i="1"/>
  <c r="R127" i="1"/>
  <c r="S127" i="1"/>
  <c r="S3" i="1"/>
  <c r="S4" i="1"/>
  <c r="S5" i="1"/>
  <c r="S6" i="1"/>
  <c r="S7" i="1"/>
  <c r="S8" i="1"/>
  <c r="S9" i="1"/>
  <c r="S10" i="1"/>
  <c r="S11" i="1"/>
  <c r="S12" i="1"/>
  <c r="S13" i="1"/>
  <c r="S14" i="1"/>
  <c r="S15" i="1"/>
  <c r="S16" i="1"/>
  <c r="S17" i="1"/>
  <c r="S18" i="1"/>
  <c r="S19" i="1"/>
  <c r="S20" i="1"/>
  <c r="S21" i="1"/>
  <c r="S22" i="1"/>
  <c r="S23" i="1"/>
  <c r="S24" i="1"/>
  <c r="S25" i="1"/>
  <c r="S26" i="1"/>
  <c r="S27" i="1"/>
  <c r="S28" i="1"/>
  <c r="S29" i="1"/>
  <c r="S30" i="1"/>
  <c r="S31" i="1"/>
  <c r="S32" i="1"/>
  <c r="S33" i="1"/>
  <c r="S34" i="1"/>
  <c r="S35" i="1"/>
  <c r="S36" i="1"/>
  <c r="S37" i="1"/>
  <c r="S38" i="1"/>
  <c r="S39" i="1"/>
  <c r="S40" i="1"/>
  <c r="S41" i="1"/>
  <c r="S42" i="1"/>
  <c r="S43" i="1"/>
  <c r="S44" i="1"/>
  <c r="S45" i="1"/>
  <c r="S46" i="1"/>
  <c r="S47" i="1"/>
  <c r="S48" i="1"/>
  <c r="S49" i="1"/>
  <c r="S50" i="1"/>
  <c r="S51" i="1"/>
  <c r="S52" i="1"/>
  <c r="S53" i="1"/>
  <c r="S54" i="1"/>
  <c r="S55" i="1"/>
  <c r="S56" i="1"/>
  <c r="S57" i="1"/>
  <c r="S58" i="1"/>
  <c r="S59" i="1"/>
  <c r="S60" i="1"/>
  <c r="S61" i="1"/>
  <c r="S62" i="1"/>
  <c r="S63" i="1"/>
  <c r="S64" i="1"/>
  <c r="S65" i="1"/>
  <c r="S66" i="1"/>
  <c r="S67" i="1"/>
  <c r="S68" i="1"/>
  <c r="S69" i="1"/>
  <c r="S70" i="1"/>
  <c r="S71" i="1"/>
  <c r="S72" i="1"/>
  <c r="S73" i="1"/>
  <c r="S74" i="1"/>
  <c r="S75" i="1"/>
  <c r="S76" i="1"/>
  <c r="S77" i="1"/>
  <c r="S78" i="1"/>
  <c r="S79" i="1"/>
  <c r="S80" i="1"/>
  <c r="S81" i="1"/>
  <c r="S82" i="1"/>
  <c r="S83" i="1"/>
  <c r="S84" i="1"/>
  <c r="S85" i="1"/>
  <c r="S86" i="1"/>
  <c r="S87" i="1"/>
  <c r="S88" i="1"/>
  <c r="S89" i="1"/>
  <c r="S90" i="1"/>
  <c r="S91" i="1"/>
  <c r="S92" i="1"/>
  <c r="S93" i="1"/>
  <c r="S94" i="1"/>
  <c r="S95" i="1"/>
  <c r="S96" i="1"/>
  <c r="S97" i="1"/>
  <c r="S98" i="1"/>
  <c r="S99" i="1"/>
  <c r="S100" i="1"/>
  <c r="S101" i="1"/>
  <c r="S102" i="1"/>
  <c r="S103" i="1"/>
  <c r="S104" i="1"/>
  <c r="S105" i="1"/>
  <c r="S106" i="1"/>
  <c r="S107" i="1"/>
  <c r="S108" i="1"/>
  <c r="S109" i="1"/>
  <c r="S110" i="1"/>
  <c r="S111" i="1"/>
  <c r="S112" i="1"/>
  <c r="S113" i="1"/>
  <c r="S114" i="1"/>
  <c r="S115" i="1"/>
  <c r="S116" i="1"/>
  <c r="S117" i="1"/>
  <c r="S118" i="1"/>
  <c r="S119" i="1"/>
  <c r="S120" i="1"/>
  <c r="S121" i="1"/>
  <c r="S122" i="1"/>
  <c r="S123" i="1"/>
  <c r="S124" i="1"/>
  <c r="S125" i="1"/>
  <c r="S126" i="1"/>
  <c r="S2" i="1"/>
  <c r="R3" i="1"/>
  <c r="R4" i="1"/>
  <c r="R5" i="1"/>
  <c r="R6" i="1"/>
  <c r="R7" i="1"/>
  <c r="R8" i="1"/>
  <c r="R9" i="1"/>
  <c r="R10" i="1"/>
  <c r="R11" i="1"/>
  <c r="R12" i="1"/>
  <c r="R13" i="1"/>
  <c r="R14" i="1"/>
  <c r="R15" i="1"/>
  <c r="R16" i="1"/>
  <c r="R17" i="1"/>
  <c r="R18" i="1"/>
  <c r="R19" i="1"/>
  <c r="R20" i="1"/>
  <c r="R21" i="1"/>
  <c r="R22" i="1"/>
  <c r="R23" i="1"/>
  <c r="R24" i="1"/>
  <c r="R25" i="1"/>
  <c r="R26" i="1"/>
  <c r="R27" i="1"/>
  <c r="R28" i="1"/>
  <c r="R29" i="1"/>
  <c r="R30" i="1"/>
  <c r="R31" i="1"/>
  <c r="R32" i="1"/>
  <c r="R33" i="1"/>
  <c r="R34" i="1"/>
  <c r="R35" i="1"/>
  <c r="R36" i="1"/>
  <c r="R37" i="1"/>
  <c r="R38" i="1"/>
  <c r="R39" i="1"/>
  <c r="R40" i="1"/>
  <c r="R41" i="1"/>
  <c r="R42" i="1"/>
  <c r="R43" i="1"/>
  <c r="R44" i="1"/>
  <c r="R45" i="1"/>
  <c r="R46" i="1"/>
  <c r="R47" i="1"/>
  <c r="R48" i="1"/>
  <c r="R49" i="1"/>
  <c r="R50" i="1"/>
  <c r="R51" i="1"/>
  <c r="R52" i="1"/>
  <c r="R53" i="1"/>
  <c r="R54" i="1"/>
  <c r="R55" i="1"/>
  <c r="R56" i="1"/>
  <c r="R57" i="1"/>
  <c r="R58" i="1"/>
  <c r="R59" i="1"/>
  <c r="R60" i="1"/>
  <c r="R61" i="1"/>
  <c r="R62" i="1"/>
  <c r="R63" i="1"/>
  <c r="R64" i="1"/>
  <c r="R65" i="1"/>
  <c r="R66" i="1"/>
  <c r="R67" i="1"/>
  <c r="R68" i="1"/>
  <c r="R69" i="1"/>
  <c r="R70" i="1"/>
  <c r="R71" i="1"/>
  <c r="R72" i="1"/>
  <c r="R73" i="1"/>
  <c r="R74" i="1"/>
  <c r="R75" i="1"/>
  <c r="R76" i="1"/>
  <c r="R77" i="1"/>
  <c r="R78" i="1"/>
  <c r="R79" i="1"/>
  <c r="R80" i="1"/>
  <c r="R81" i="1"/>
  <c r="R82" i="1"/>
  <c r="R83" i="1"/>
  <c r="R84" i="1"/>
  <c r="R85" i="1"/>
  <c r="R86" i="1"/>
  <c r="R87" i="1"/>
  <c r="R88" i="1"/>
  <c r="R89" i="1"/>
  <c r="R90" i="1"/>
  <c r="R91" i="1"/>
  <c r="R92" i="1"/>
  <c r="R93" i="1"/>
  <c r="R94" i="1"/>
  <c r="R95" i="1"/>
  <c r="R96" i="1"/>
  <c r="R97" i="1"/>
  <c r="R98" i="1"/>
  <c r="R99" i="1"/>
  <c r="R100" i="1"/>
  <c r="R101" i="1"/>
  <c r="R102" i="1"/>
  <c r="R103" i="1"/>
  <c r="R104" i="1"/>
  <c r="R105" i="1"/>
  <c r="R106" i="1"/>
  <c r="R107" i="1"/>
  <c r="R108" i="1"/>
  <c r="R109" i="1"/>
  <c r="R110" i="1"/>
  <c r="R111" i="1"/>
  <c r="R112" i="1"/>
  <c r="R113" i="1"/>
  <c r="R114" i="1"/>
  <c r="R115" i="1"/>
  <c r="R116" i="1"/>
  <c r="R117" i="1"/>
  <c r="R118" i="1"/>
  <c r="R119" i="1"/>
  <c r="R120" i="1"/>
  <c r="R121" i="1"/>
  <c r="R122" i="1"/>
  <c r="R123" i="1"/>
  <c r="R124" i="1"/>
  <c r="R125" i="1"/>
  <c r="R126" i="1"/>
  <c r="R2" i="1"/>
  <c r="Q3" i="1"/>
  <c r="Q4" i="1"/>
  <c r="Q5" i="1"/>
  <c r="Q6" i="1"/>
  <c r="Q7" i="1"/>
  <c r="Q8" i="1"/>
  <c r="Q9" i="1"/>
  <c r="Q10" i="1"/>
  <c r="Q11" i="1"/>
  <c r="Q12" i="1"/>
  <c r="Q13" i="1"/>
  <c r="Q14" i="1"/>
  <c r="Q15" i="1"/>
  <c r="Q16" i="1"/>
  <c r="Q17" i="1"/>
  <c r="Q18" i="1"/>
  <c r="Q19" i="1"/>
  <c r="Q20" i="1"/>
  <c r="Q21" i="1"/>
  <c r="Q22" i="1"/>
  <c r="Q23" i="1"/>
  <c r="Q24" i="1"/>
  <c r="Q25" i="1"/>
  <c r="Q26" i="1"/>
  <c r="Q27" i="1"/>
  <c r="Q28" i="1"/>
  <c r="Q29" i="1"/>
  <c r="Q30" i="1"/>
  <c r="Q31" i="1"/>
  <c r="Q32" i="1"/>
  <c r="Q33" i="1"/>
  <c r="Q34" i="1"/>
  <c r="Q35" i="1"/>
  <c r="Q36" i="1"/>
  <c r="Q37" i="1"/>
  <c r="Q38" i="1"/>
  <c r="Q39" i="1"/>
  <c r="Q40" i="1"/>
  <c r="Q41" i="1"/>
  <c r="Q42" i="1"/>
  <c r="Q43" i="1"/>
  <c r="Q44" i="1"/>
  <c r="Q45" i="1"/>
  <c r="Q46" i="1"/>
  <c r="Q47" i="1"/>
  <c r="Q48" i="1"/>
  <c r="Q49" i="1"/>
  <c r="Q50" i="1"/>
  <c r="Q51" i="1"/>
  <c r="Q52" i="1"/>
  <c r="Q53" i="1"/>
  <c r="Q54" i="1"/>
  <c r="Q55" i="1"/>
  <c r="Q56" i="1"/>
  <c r="Q57" i="1"/>
  <c r="Q58" i="1"/>
  <c r="Q59" i="1"/>
  <c r="Q60" i="1"/>
  <c r="Q61" i="1"/>
  <c r="Q62" i="1"/>
  <c r="Q63" i="1"/>
  <c r="Q64" i="1"/>
  <c r="Q65" i="1"/>
  <c r="Q66" i="1"/>
  <c r="Q67" i="1"/>
  <c r="Q68" i="1"/>
  <c r="Q69" i="1"/>
  <c r="Q70" i="1"/>
  <c r="Q71" i="1"/>
  <c r="Q72" i="1"/>
  <c r="Q73" i="1"/>
  <c r="Q74" i="1"/>
  <c r="Q75" i="1"/>
  <c r="Q76" i="1"/>
  <c r="Q77" i="1"/>
  <c r="Q78" i="1"/>
  <c r="Q79" i="1"/>
  <c r="Q80" i="1"/>
  <c r="Q81" i="1"/>
  <c r="Q82" i="1"/>
  <c r="Q83" i="1"/>
  <c r="Q84" i="1"/>
  <c r="Q85" i="1"/>
  <c r="Q86" i="1"/>
  <c r="Q87" i="1"/>
  <c r="Q88" i="1"/>
  <c r="Q89" i="1"/>
  <c r="Q90" i="1"/>
  <c r="Q91" i="1"/>
  <c r="Q92" i="1"/>
  <c r="Q93" i="1"/>
  <c r="Q94" i="1"/>
  <c r="Q95" i="1"/>
  <c r="Q96" i="1"/>
  <c r="Q97" i="1"/>
  <c r="Q98" i="1"/>
  <c r="Q99" i="1"/>
  <c r="Q100" i="1"/>
  <c r="Q101" i="1"/>
  <c r="Q102" i="1"/>
  <c r="Q103" i="1"/>
  <c r="Q104" i="1"/>
  <c r="Q105" i="1"/>
  <c r="Q106" i="1"/>
  <c r="Q107" i="1"/>
  <c r="Q108" i="1"/>
  <c r="Q109" i="1"/>
  <c r="Q110" i="1"/>
  <c r="Q111" i="1"/>
  <c r="Q112" i="1"/>
  <c r="Q113" i="1"/>
  <c r="Q114" i="1"/>
  <c r="Q115" i="1"/>
  <c r="Q116" i="1"/>
  <c r="Q117" i="1"/>
  <c r="Q118" i="1"/>
  <c r="Q119" i="1"/>
  <c r="Q120" i="1"/>
  <c r="Q121" i="1"/>
  <c r="Q122" i="1"/>
  <c r="Q123" i="1"/>
  <c r="Q124" i="1"/>
  <c r="Q125" i="1"/>
  <c r="Q126" i="1"/>
  <c r="Q2" i="1"/>
  <c r="P3" i="1"/>
  <c r="P4" i="1"/>
  <c r="P5" i="1"/>
  <c r="P6" i="1"/>
  <c r="P7" i="1"/>
  <c r="P8" i="1"/>
  <c r="P9" i="1"/>
  <c r="P10" i="1"/>
  <c r="P11" i="1"/>
  <c r="P12" i="1"/>
  <c r="P13" i="1"/>
  <c r="P14" i="1"/>
  <c r="P15" i="1"/>
  <c r="P16" i="1"/>
  <c r="P17" i="1"/>
  <c r="P18" i="1"/>
  <c r="P19" i="1"/>
  <c r="P20" i="1"/>
  <c r="P21" i="1"/>
  <c r="P22" i="1"/>
  <c r="P23" i="1"/>
  <c r="P24" i="1"/>
  <c r="P25" i="1"/>
  <c r="P26" i="1"/>
  <c r="P27" i="1"/>
  <c r="P28" i="1"/>
  <c r="P29" i="1"/>
  <c r="P30" i="1"/>
  <c r="P31" i="1"/>
  <c r="P32" i="1"/>
  <c r="P33" i="1"/>
  <c r="P34" i="1"/>
  <c r="P35" i="1"/>
  <c r="P36" i="1"/>
  <c r="P37" i="1"/>
  <c r="P38" i="1"/>
  <c r="P39" i="1"/>
  <c r="P40" i="1"/>
  <c r="P41" i="1"/>
  <c r="P42" i="1"/>
  <c r="P43" i="1"/>
  <c r="P44" i="1"/>
  <c r="P45" i="1"/>
  <c r="P46" i="1"/>
  <c r="P47" i="1"/>
  <c r="P48" i="1"/>
  <c r="P49" i="1"/>
  <c r="P50" i="1"/>
  <c r="P51" i="1"/>
  <c r="P52" i="1"/>
  <c r="P53" i="1"/>
  <c r="P54" i="1"/>
  <c r="P55" i="1"/>
  <c r="P56" i="1"/>
  <c r="P57" i="1"/>
  <c r="P58" i="1"/>
  <c r="P59" i="1"/>
  <c r="P60" i="1"/>
  <c r="P61" i="1"/>
  <c r="P62" i="1"/>
  <c r="P63" i="1"/>
  <c r="P64" i="1"/>
  <c r="P65" i="1"/>
  <c r="P66" i="1"/>
  <c r="P67" i="1"/>
  <c r="P68" i="1"/>
  <c r="P69" i="1"/>
  <c r="P70" i="1"/>
  <c r="P71" i="1"/>
  <c r="P72" i="1"/>
  <c r="P73" i="1"/>
  <c r="P74" i="1"/>
  <c r="P75" i="1"/>
  <c r="P76" i="1"/>
  <c r="P77" i="1"/>
  <c r="P78" i="1"/>
  <c r="P79" i="1"/>
  <c r="P80" i="1"/>
  <c r="P81" i="1"/>
  <c r="P82" i="1"/>
  <c r="P83" i="1"/>
  <c r="P84" i="1"/>
  <c r="P85" i="1"/>
  <c r="P86" i="1"/>
  <c r="P87" i="1"/>
  <c r="P88" i="1"/>
  <c r="P89" i="1"/>
  <c r="P90" i="1"/>
  <c r="P91" i="1"/>
  <c r="P92" i="1"/>
  <c r="P93" i="1"/>
  <c r="P94" i="1"/>
  <c r="P95" i="1"/>
  <c r="P96" i="1"/>
  <c r="P97" i="1"/>
  <c r="P98" i="1"/>
  <c r="P99" i="1"/>
  <c r="P100" i="1"/>
  <c r="P101" i="1"/>
  <c r="P102" i="1"/>
  <c r="P103" i="1"/>
  <c r="P104" i="1"/>
  <c r="P105" i="1"/>
  <c r="P106" i="1"/>
  <c r="P107" i="1"/>
  <c r="P108" i="1"/>
  <c r="P109" i="1"/>
  <c r="P110" i="1"/>
  <c r="P111" i="1"/>
  <c r="P112" i="1"/>
  <c r="P113" i="1"/>
  <c r="P114" i="1"/>
  <c r="P115" i="1"/>
  <c r="P116" i="1"/>
  <c r="P117" i="1"/>
  <c r="P118" i="1"/>
  <c r="P119" i="1"/>
  <c r="P120" i="1"/>
  <c r="P121" i="1"/>
  <c r="P122" i="1"/>
  <c r="P123" i="1"/>
  <c r="P124" i="1"/>
  <c r="P125" i="1"/>
  <c r="P126" i="1"/>
  <c r="P2" i="1"/>
  <c r="O3" i="1"/>
  <c r="O4" i="1"/>
  <c r="O5" i="1"/>
  <c r="O6" i="1"/>
  <c r="O7" i="1"/>
  <c r="O8" i="1"/>
  <c r="O9" i="1"/>
  <c r="O10" i="1"/>
  <c r="O11" i="1"/>
  <c r="O12" i="1"/>
  <c r="O13" i="1"/>
  <c r="O14" i="1"/>
  <c r="O15" i="1"/>
  <c r="O16" i="1"/>
  <c r="O17" i="1"/>
  <c r="O18" i="1"/>
  <c r="O19" i="1"/>
  <c r="O20" i="1"/>
  <c r="O21" i="1"/>
  <c r="O22" i="1"/>
  <c r="O23" i="1"/>
  <c r="O24" i="1"/>
  <c r="O25" i="1"/>
  <c r="O26" i="1"/>
  <c r="O27" i="1"/>
  <c r="O28" i="1"/>
  <c r="O29" i="1"/>
  <c r="O30" i="1"/>
  <c r="O31" i="1"/>
  <c r="O32" i="1"/>
  <c r="O33" i="1"/>
  <c r="O34" i="1"/>
  <c r="O35" i="1"/>
  <c r="O36" i="1"/>
  <c r="O37" i="1"/>
  <c r="O38" i="1"/>
  <c r="O39" i="1"/>
  <c r="O40" i="1"/>
  <c r="O41" i="1"/>
  <c r="O42" i="1"/>
  <c r="O43" i="1"/>
  <c r="O44" i="1"/>
  <c r="O45" i="1"/>
  <c r="O46" i="1"/>
  <c r="O47" i="1"/>
  <c r="O48" i="1"/>
  <c r="O49" i="1"/>
  <c r="O50" i="1"/>
  <c r="O51" i="1"/>
  <c r="O52" i="1"/>
  <c r="O53" i="1"/>
  <c r="O54" i="1"/>
  <c r="O55" i="1"/>
  <c r="O56" i="1"/>
  <c r="O57" i="1"/>
  <c r="O58" i="1"/>
  <c r="O59" i="1"/>
  <c r="O60" i="1"/>
  <c r="O61" i="1"/>
  <c r="O62" i="1"/>
  <c r="O63" i="1"/>
  <c r="O64" i="1"/>
  <c r="O65" i="1"/>
  <c r="O66" i="1"/>
  <c r="O67" i="1"/>
  <c r="O68" i="1"/>
  <c r="O69" i="1"/>
  <c r="O70" i="1"/>
  <c r="O71" i="1"/>
  <c r="O72" i="1"/>
  <c r="O73" i="1"/>
  <c r="O74" i="1"/>
  <c r="O75" i="1"/>
  <c r="O76" i="1"/>
  <c r="O77" i="1"/>
  <c r="O78" i="1"/>
  <c r="O79" i="1"/>
  <c r="O80" i="1"/>
  <c r="O81" i="1"/>
  <c r="O82" i="1"/>
  <c r="O83" i="1"/>
  <c r="O84" i="1"/>
  <c r="O85" i="1"/>
  <c r="O86" i="1"/>
  <c r="O87" i="1"/>
  <c r="O88" i="1"/>
  <c r="O89" i="1"/>
  <c r="O90" i="1"/>
  <c r="O91" i="1"/>
  <c r="O92" i="1"/>
  <c r="O93" i="1"/>
  <c r="O94" i="1"/>
  <c r="O95" i="1"/>
  <c r="O96" i="1"/>
  <c r="O97" i="1"/>
  <c r="O98" i="1"/>
  <c r="O99" i="1"/>
  <c r="O100" i="1"/>
  <c r="O101" i="1"/>
  <c r="O102" i="1"/>
  <c r="O103" i="1"/>
  <c r="O104" i="1"/>
  <c r="O105" i="1"/>
  <c r="O106" i="1"/>
  <c r="O107" i="1"/>
  <c r="O108" i="1"/>
  <c r="O109" i="1"/>
  <c r="O110" i="1"/>
  <c r="O111" i="1"/>
  <c r="O112" i="1"/>
  <c r="O113" i="1"/>
  <c r="O114" i="1"/>
  <c r="O115" i="1"/>
  <c r="O116" i="1"/>
  <c r="O117" i="1"/>
  <c r="O118" i="1"/>
  <c r="O119" i="1"/>
  <c r="O120" i="1"/>
  <c r="O121" i="1"/>
  <c r="O122" i="1"/>
  <c r="O123" i="1"/>
  <c r="O124" i="1"/>
  <c r="O125" i="1"/>
  <c r="O126" i="1"/>
  <c r="O2" i="1"/>
</calcChain>
</file>

<file path=xl/sharedStrings.xml><?xml version="1.0" encoding="utf-8"?>
<sst xmlns="http://schemas.openxmlformats.org/spreadsheetml/2006/main" count="1426" uniqueCount="599">
  <si>
    <t>ID</t>
  </si>
  <si>
    <t>Name</t>
  </si>
  <si>
    <t>Ph. Number</t>
  </si>
  <si>
    <t>Address</t>
  </si>
  <si>
    <t>Zone</t>
  </si>
  <si>
    <t>Day</t>
  </si>
  <si>
    <t>Time Slot</t>
  </si>
  <si>
    <t>Pack</t>
  </si>
  <si>
    <t>Revenue</t>
  </si>
  <si>
    <t xml:space="preserve"> Type</t>
  </si>
  <si>
    <t>Remarks</t>
  </si>
  <si>
    <t>Flower Restriction</t>
  </si>
  <si>
    <t>Extra Instruction</t>
  </si>
  <si>
    <t>Final Number of Delivery</t>
  </si>
  <si>
    <t>Sohna Road 2</t>
  </si>
  <si>
    <t>Friday</t>
  </si>
  <si>
    <t>9 AM - 12 PM</t>
  </si>
  <si>
    <t>Delight</t>
  </si>
  <si>
    <t>Rajni</t>
  </si>
  <si>
    <t>Jayati Dhingra</t>
  </si>
  <si>
    <t>3001, 30th Floor, M3M Lattitude, Sec 65</t>
  </si>
  <si>
    <t>Badshahpur</t>
  </si>
  <si>
    <t>Joy</t>
  </si>
  <si>
    <t>No Rajni for some time being (31/10) Skip 1 week (17/12) Skip 1 week (21/01) Skip 1 week (12/02) Skip 1 week (23/02) Send tom (26/02) Replacement tom (16/05) Skip 1 week (21/05) Returned today (29/05)</t>
  </si>
  <si>
    <t>Check before sending (21/05)</t>
  </si>
  <si>
    <t>4  del of this cycle   -  0-cycles pmnt   Completed - Collect 0</t>
  </si>
  <si>
    <t>Nishant Mishra</t>
  </si>
  <si>
    <t xml:space="preserve">41/5  PrimRose Vatika City </t>
  </si>
  <si>
    <t>Sohna Road 1</t>
  </si>
  <si>
    <t>9 AM to 2 PM</t>
  </si>
  <si>
    <t>Bliss</t>
  </si>
  <si>
    <t>Friday n Monday//NO Car(12/02)NO RAJNI AT ALL(27/11)  Skip This del n start from 30th May(25/05) NO Rajni n Anbthurium (08/01) Yell Lily next (07/09) Skip 1 week (24/01) Paytm from Pragati Pandey (28/01) Send replacement tom (16/05)</t>
  </si>
  <si>
    <t>RAJNI n ANTHURIUM</t>
  </si>
  <si>
    <t>1  del of this cycle   -  1-cycles pmnt   Pending - Collect 1450</t>
  </si>
  <si>
    <t>Noopur Gupta</t>
  </si>
  <si>
    <t>Topaz-186, GF, Emaar Emerald Hills</t>
  </si>
  <si>
    <t>9:30 Am to 2 PM</t>
  </si>
  <si>
    <t>Bloom</t>
  </si>
  <si>
    <t>Friday n Monday // Send replacement of Eustoma tom (08/09) No Orchids (23/01) Hold n start from July (27/05)</t>
  </si>
  <si>
    <t>Orchid</t>
  </si>
  <si>
    <t>Seasonal with 9 Del Only (02/04)</t>
  </si>
  <si>
    <t>2  del of this cycle   -  0-cycles pmnt   Completed - Collect 0</t>
  </si>
  <si>
    <t>Anamika Singh</t>
  </si>
  <si>
    <t xml:space="preserve">788 C  Sector 15 part II  Sec 15 Gurgaon  122001 </t>
  </si>
  <si>
    <t>Old Gurgaon</t>
  </si>
  <si>
    <t>4 PM to 7PM</t>
  </si>
  <si>
    <t>Day changed to Saturday(15/09)Hold again send tomorrow(09/12) Upgrade to 650 Plan and ASIATIC n ORCHID ALTERNATIVELY(02/05) send on friday- this week only , send lilies this week(07/08/19) Car next(28/09) Send Lilies/Orchids/Chrysanthemum/Rose(13/12)Upgrade to Bliss and Day changed to Thursday evening// DONT ASK FOR PAYMENT SHE WILL ALWAYS PAYTM(13/12) Paytm from Parveen Gupta(16/01)  Holy Change(16/03) Received 1000 via paytm-- Parveen Gupta(28/05) Pls send tom (06/02) HDTNP (13/03) HDTNP (12/06) Skip 2 week (21/06)</t>
  </si>
  <si>
    <t>Gitika Agarwal</t>
  </si>
  <si>
    <t>D11/502, Ireo Victory Valley, Sec 67</t>
  </si>
  <si>
    <t>Send Replacement tom (06/04) Send replacement today (12/05). Post 4 PM this week only (23/04) Skip 2 weeks (02/06) Replacement tom (05/07) Sent replacement tiday (26/10) Sent replacement today (15/12) Skip 1 week (17/03) Sent replacement today (19/004) Skip 2 week (13/06) Skip 1 week (07/08) Replacement tom (07/12) now start from July (11/06) Returned today (03/07)</t>
  </si>
  <si>
    <t>3  del of this cycle   -  0-cycles pmnt   Completed - Collect 0</t>
  </si>
  <si>
    <t>Priyanka Dahiya</t>
  </si>
  <si>
    <t>D-804, Ambience Creacions, Rao Gajraj Singh Marg, Sec 22</t>
  </si>
  <si>
    <t>4 Pm to 7 PM</t>
  </si>
  <si>
    <t>Today Hold and next week too (06/06) Only seasonals (18/07) Paytm From Rahul Chandra (01/11) Pls Send tom (06/02) Skip 2 week (31/05) Send replacement tom and No Sunflowers (04/07)</t>
  </si>
  <si>
    <t>Sunflower</t>
  </si>
  <si>
    <t>Seasonals Only</t>
  </si>
  <si>
    <t>4  del of this cycle   -  0-cycles pmnt   CompletedNO COLLECTION-we have extra money - Collect -1</t>
  </si>
  <si>
    <t>Unnati Jain</t>
  </si>
  <si>
    <t>T-16/1003, Orchid Petals</t>
  </si>
  <si>
    <t>Monday</t>
  </si>
  <si>
    <t>Hold n start From 7th Nov (16/10) Skip 1 week (13/11) Today retirned and skip next week also (28/11) Check in Feb to restart (20/12) Skip 1 week (31/05) Hold n start from July (15/06)</t>
  </si>
  <si>
    <t>Monika Dubey</t>
  </si>
  <si>
    <t>H-1101, Tower-H, Mapsko Mountville, Sec 79</t>
  </si>
  <si>
    <t>2 Premium and 2 Seasonal // Yesterday returned (11/10) Skip 1 week (25/06) Today Returned (03/07)</t>
  </si>
  <si>
    <t>Nipun Jain</t>
  </si>
  <si>
    <t>Villa-9, Tattvam Villa</t>
  </si>
  <si>
    <t>Customized</t>
  </si>
  <si>
    <r>
      <t xml:space="preserve">Only Lilies(11/06)Next time 1 stick extra(08/09)Hold for 3 weeks(13/11) NO Rose(21/12) Skip 2 week(15/11) 1 Stick Extra next week (21/12) 1 Stick extra next(28/12) Hold today as payment not received(13/11) Send on Tuesday this week instead of Sunday(17/11) Received 1 more transfer of 2050 today(16/01)  Holy Change(16/03) Not sent on 8th and 15th(15/04) Add changed(29/04) Skip 2 weeks (22/12) Skip 2 weeks (20/01) 3rd Delivery put on hold as payment was not received(03/03) Today again put in hold (10/03) Add Changed-- skip n send on sunday next week (29/03) Hold due to non payment (07/04) </t>
    </r>
    <r>
      <rPr>
        <b/>
        <sz val="11"/>
        <color theme="1"/>
        <rFont val="Calibri"/>
        <family val="2"/>
        <scheme val="minor"/>
      </rPr>
      <t>8 Lilies in each Delivery (05/10)</t>
    </r>
    <r>
      <rPr>
        <sz val="11"/>
        <color theme="1"/>
        <rFont val="Calibri"/>
        <family val="2"/>
        <scheme val="minor"/>
      </rPr>
      <t xml:space="preserve">  No Grens (11/10) Single color always (26/11) Skip 3 weeks (24/12) Return tiday send tom (23/06) Sent one del Today (24/08) 16 Lilies now in 2 color (27/09) Today returned - not at home (28/11) No Delivery from 24th Dec to 5th Jan (19/12) No Flowers on 15th and 22nd (03/06)</t>
    </r>
  </si>
  <si>
    <t>2  del of this cycle   -  1-cycles pmnt   Pending - Collect 3960</t>
  </si>
  <si>
    <t>Ms. Reema Bose Suri-- Before 10 AM</t>
  </si>
  <si>
    <t>B-64, Spaze privi, Sec-72, Sohna Road</t>
  </si>
  <si>
    <t>Friday and Monday//Need Before 10 am (19/05)  NO BOP(07/02) NO BOP(20/07) Skip 1 week(09/08) Hold Now (16/10) Skip 1 week (07/12) Skip 1 Week (29/12) Skip 1 week (26/01) Skip 1 week (21/03) Sent replacement today (22/04) Return-send on Sunday (28/04) Sent replacement today(03/05) 1 Stem extra in next delivery (19/05) Skip this week Delivery (24/05)  No BOP (04/07) Skip tom n start from friday (23/07) Skip tom (06/08) Dont count last delivery (07/09) Skip Monday Del (01/10) Skip 1 more week (16/10) Send Replacement tomorrow (31/10) Skip 1 week (07/11) Skip Tom (10/12) Skip Friday Del (12/12) 1150 added of bouquet and 250 deducted aswe had 250 extra (17/12) Today returned (26/12) Skip 1 week (28/12) Skip 1 week (05/01) Skip tom (15/02) Return -send tom (22/03) Skip 1 week (11/04) Skip Tom (23/05) Skip 2 weeks (09/06) Skip tom n send on sunday (31/10) Skip 1 week (28/11) Skip 1 week (11/12) Skip 1 week (05/01) Skip 1 week (26/01) Skip thsi week n send on sunday before 11 AM (11/03) Skip tom (22/05) Skip 1 week and confirm before sending next week (19/06) 25th July del skipped (02/08) Skip tom (07/08) Skip tom (14/08) Hold today (29/08) Skip 1 week (13/11) Skip tom (11/12) Hold n start from Jan (19/12) Skip tom (23/01) Skip tom (13/02) Hol dn till 9th July (12/06)</t>
  </si>
  <si>
    <t>BOP</t>
  </si>
  <si>
    <t>Confirm before sending (19/06)</t>
  </si>
  <si>
    <t>Saachi Satyaarth</t>
  </si>
  <si>
    <t>H-1504, Microtek Greenburg, Sec 86</t>
  </si>
  <si>
    <t>Manesar</t>
  </si>
  <si>
    <t>4 PM to 7 PM</t>
  </si>
  <si>
    <t>Skip 1 week (04/06) Do not count last Del (28/03) 1 Sunflower Extra next (03/04) Skip 2 week (21/06)</t>
  </si>
  <si>
    <t>1 Sunflower Extra Next (03/04)</t>
  </si>
  <si>
    <t>Smriti Saxena</t>
  </si>
  <si>
    <t>T-6/1201, M3M Merlin, Sec 67</t>
  </si>
  <si>
    <t>Friday n Monday//NO GLAD(18/12) Skip 1 week(24/01) Skip 2 weeks(22/3) NO Rajni(05/06) Skip 1 week and confirm before sending(14/01) Send 2 sticks extra(24/01) 1 stick extra necxt(29/01)  Holy Change(16/03) Change to Bloom(20/05) No Flowers till 17th Aug(08/08) Skip 1 week (05/03) Hold n start afyer 1st June (11/05) Today Returned 923/06) Skip 2 weeks (15/07) Today returned (18/08) Hold due to non payment (16/02) Today Returned (08/03) Return today (20/12) Sent replacement tooday (18/04) Returned today (05/09) Hold due to non payment (17/10) Hold due to non payment (16/01) No Rajni (20/02) HDTNP (24/04) HDTNP (12/06) HDTNP (26/06) HDTNP (03/07)</t>
  </si>
  <si>
    <t>Subhadra Chatterjee</t>
  </si>
  <si>
    <t>Tower -E, Flat 10B, Central Park Resort</t>
  </si>
  <si>
    <t>Friday n Monday//NO GLAD EVER(12/11)  Rajni and Orchid Half Half next(13/12)  Send Orchid and Rajni OR Rose/Lilies/Rajni Next(24/12) PLEASE SEND ORCHID/LILIES/RAJNI/ROSE this cycle(26/12)  Pls send Rose/Rajni and Lilies in coming cycle too(19/01)Gpay from Saunak Ghosh(23/12) Now Asiatic and Rose and no orange asiatic and only pink, yellow and whitte rose only OR White, Pink or blue orchids(14/01) Asiatic and Orchids Next(16/02) P n Y Asiatic Next(23/02) Asiatic n Rajni next(13/03) Send this cycle on monday only(25/03) Orchid n Rajni now(28/03) Spray Daisy and Rajni(11/04) Hold Till 30th June(15/06) Hold till 17th Aug(08/08) Orchid with Lily or Car(19/08) Car/Rose/Gerbera/Anthurium/Orchid/Guldawari and rajni(30/08)  After tom no del till 26th (17/10) NO RED ROSE(14/11) Hold till 10th Jan (29/12) Skip 1 week (02/02) Skip1 week (16/03) Hold today n send on sunday (19/05) Hold till 10th Oct (04/10) Hold till 15th Jan (20/12) Hold till 1st April (06/03) Hold till 20th June (20/05) Hold till 16th Oct (07/10) Return today n hold (03/01) Skip from 20th to 30th Matr (11/03) Hold till 7th JUly (19/06) Hold due to non payment (10/10) Hold n start from 26th (14/10) Hold due to non payment (26/12) No Red Rose (30/12) Hold till 16th Jan (08/01) HDTNP (13/03) Hold till 4th Apr (25/03) Hold till 12th JUne (04/06)</t>
  </si>
  <si>
    <t>GULDAWARI n ROSE</t>
  </si>
  <si>
    <t>Radhika Marwah</t>
  </si>
  <si>
    <t>F-501, Mapsko Mountville, Sec 79</t>
  </si>
  <si>
    <t>Hold till 2nd July (07/06)</t>
  </si>
  <si>
    <t>2  del of this cycle   -  1-cycles pmnt   Pending - Collect 1450</t>
  </si>
  <si>
    <t>Nidhi -- Emaar Palm</t>
  </si>
  <si>
    <t>T-57/101, Emaar emerakd Premier Floors, Sec 65</t>
  </si>
  <si>
    <t>From Nidhi Srivastava // No Del till 4th Oct (24/09) Hold due to non payment (26/12) Hold due to non payment (23/01) Skip 1 week (09/06)</t>
  </si>
  <si>
    <t>Divyesh Gandhi -- Surbhi Ourania</t>
  </si>
  <si>
    <t>Plot 795 A, Flat 104, Sec 17 A, Behind Deffence Colony</t>
  </si>
  <si>
    <t>Change to Sunday (01/10) Today Returned (19/10) Day Changed to Sunday (06/11) Skip 1 week (01/12)</t>
  </si>
  <si>
    <t>2  del of this cycle   -  0-cycles pmnt   CompletedNO COLLECTION-we have extra money - Collect -1</t>
  </si>
  <si>
    <t>Ambika Anand</t>
  </si>
  <si>
    <t>T-A2/401, Tulip Orange, Sec 70</t>
  </si>
  <si>
    <t>HDTNP (26/06) HDTNP (03/07)</t>
  </si>
  <si>
    <t>3  del of this cycle   -  1-cycles pmnt   Pending - Collect 1450</t>
  </si>
  <si>
    <t>Hardik Shah</t>
  </si>
  <si>
    <t>T-5/1402, Vipul Green</t>
  </si>
  <si>
    <t>Poise</t>
  </si>
  <si>
    <t>Friday n Sunday (02/04) Shift to Poise after this cycle(22/05) No Poies(28/05) Skip 1 week(13/08) Today Returned(21/08) Today Returned again(26/08) Skip 2 week (18/06) Skip only next delivery (29/07) Hold today n skip 1 week (19/01) Skip 1 week (15/08) Hold for 4 weeks (27/01) Returned today (14/11) Today returned (01/05)</t>
  </si>
  <si>
    <t>Tina</t>
  </si>
  <si>
    <t>J-1603, Palm Drive</t>
  </si>
  <si>
    <t>10 AM to 2:30 PM</t>
  </si>
  <si>
    <t>From Radhika Neeraj Rathod//Colect cash (17/03) Paytm from Gureena Singh (29/08) Send tom n send on Monday this week (19/03) HDTNP (26/06) Do Not count last Del (04/0&amp;0</t>
  </si>
  <si>
    <t>Yamini Sharma</t>
  </si>
  <si>
    <t>Solace 253, AIPL Peaceful Homes, Sec 70 A</t>
  </si>
  <si>
    <t>Skip 1 week (28/05) Today returned (19/06) HDTNP (03/07)</t>
  </si>
  <si>
    <t>Akiksha Mohan</t>
  </si>
  <si>
    <t>D-601, Emaar Plam Drive</t>
  </si>
  <si>
    <t>Friday n Monday //Return-send next week(10/11) Send Replacement(04/03) change address Tower D Flat No 601 Plam Drive (30/3) Return-send next week(06/04) NOW SEND ONLY GLAD(08/05 Hold n start from 1st week0f Aug(08/07)) Gerbera Next(31/08) Return-send next week(30/11) Return-send after Monday(07/03) Send Next week(08/03) Send Change next(30/10) Today returned-send next week(06/11)  Holy Change(16/03) Return today and Skip 2 Weeks(15/04) REturn-:Payment Not paid(29/04) Today Returned(03/06) Skip 1 week(15/06) Return-send next wek(24/06) Skip 1 Week(21/07) Today returned(05/08) Rajni and Asiatic altrenatively(12/08) Today returnedas payment is pending (16/12) Today return again diue to non payment (23/12) No Guldawari (28/02) Paytm From Neelu mohan (28/02) Hold as payment not received (22/10) No sent as payment not recived (26/10) Hold due to non payment (29/10) One payment in Pooja account on 18th and 1 today at BMF account (03/11) Hold due to non payment(01/12) Hold today due to non payment (01/03) Hold as payment not received (31/03) Skip next del (29/09) Hold due to non payment (09/01) Hold due to non payment (12/01) Hold due to non payment (16/01) Hold due to non payment (03/10) Hold due to non payment (05/10) Hold due to non payment (10/10) Skip 1 week (31/10) Hoold ue to non payment (18/12) Hold due to non payment (26/12) Hold tom due to non payment (28/12) Hold due to non payment (19/01) Hold due to non payment (22/01) Today hold (06/03) HDTNP (25/05)</t>
  </si>
  <si>
    <t>GULDAWARI</t>
  </si>
  <si>
    <t>Sugandha Goyal</t>
  </si>
  <si>
    <t>T-15/3C, Central Park Resorts</t>
  </si>
  <si>
    <t>Felicity</t>
  </si>
  <si>
    <t>HDTNP (26/06)</t>
  </si>
  <si>
    <t>Richa Khullar</t>
  </si>
  <si>
    <t>A3/1101, Tulip Yellow</t>
  </si>
  <si>
    <t>Love Alstroemeria  // Skip 1 week (16/06)</t>
  </si>
  <si>
    <t>Swati Gaur</t>
  </si>
  <si>
    <t>T-5/2617, Center court by County, Sec 88 A</t>
  </si>
  <si>
    <t>Elation</t>
  </si>
  <si>
    <t>Bhavna Jain</t>
  </si>
  <si>
    <t>D-15/301, Ireo Victory Valley, Sec 67</t>
  </si>
  <si>
    <t>Smriti Singh Bhatia</t>
  </si>
  <si>
    <t>T-3/4201, M3M Heights, 65th Avenue, Sec 65</t>
  </si>
  <si>
    <t>Hold next week // Skip 2 week (22/12) Day Change to Friday (28/03) Paytm From Ravish Bhatia (17/04) HDTNP 915/05) HDTNP (22/05) HDTNP (29/05) Hold n start from July (17/06)</t>
  </si>
  <si>
    <t>Amrita Jain</t>
  </si>
  <si>
    <t>Flat 72, Emilia C2, Gardenia Street</t>
  </si>
  <si>
    <t>Referred By Mohar Ray Dahiya // Replacement tom (23/03) No Rose n Orchid (14/04) Send replacement tom of Car (29/07) Payment from Amrita  Das Gupta (20/09) Today Returned (24/10) Do not count last fdel (29/10) Hold due to non payment (26/12) Skip due to non payment (01/01/26) Send one del tom (04/01) HDTNP (27/02)</t>
  </si>
  <si>
    <t>Rose n Orchid</t>
  </si>
  <si>
    <t>Devika Tandon</t>
  </si>
  <si>
    <t>A-293, AIPL The Peaceful Homes</t>
  </si>
  <si>
    <t>Disha Gopal</t>
  </si>
  <si>
    <t>T-10/4A, Central Park Resorts, Sec 48</t>
  </si>
  <si>
    <t>Micxed Flowers // Hold till 8th Jan (24/12)</t>
  </si>
  <si>
    <t>Mixed Flowers</t>
  </si>
  <si>
    <t>Geetanjali Babbar</t>
  </si>
  <si>
    <t>N-206, Sispal Vihar</t>
  </si>
  <si>
    <t>Tuesday and FRiday//Monday and Thursday//Send on Monday This week and send rajni too(03/04) Returned-send tom(11/04) Day Changed to Monday(11/04) Sent replacement of Gerbera today(20/04) She likes BOP+Rajni+Car Comb (20/04) Thursday and Monday Morning Slot(13/06) NO BOP(03/08) Hold today ansend after a week(20/11)  Holy Change(16/03) Skip 1 del(16/03) Skip 1 del AND ALWAYS SEND 10 STICKS(02/05) Skip 3rd Feb Del (28/01) Skip tom Delivery (06/04) Dont start from 16th June--start from 19th June (14/06) Skip Friday (13/09) Skip between 24th to 2nd Nov (24/10) Hold n start from Feb (13/01) Skip tom del (14/03) Do Not count last del (21/06) Skip comig Delivery(24/06) Sent a rewplacement today (23/10) Hold geetanjali babbar today (03/01) Skip 1 week (04/01) Skip 18th n 21st Mar (03/03) Skip Friday (09/04) Skip friday (26/06) Paytm From Merajul Alam (23/09) No Del From 09th to 13th (04/12) Skip 10th and 13th Feb (31/01) Skip 1 week (23/03) Replacement tom (21/04) HDTNP (29/05) Hold till 1st weel of July (20/06) paytm from sunil babbar (03/07)</t>
  </si>
  <si>
    <t>Skip 18th n 21st Mar 25</t>
  </si>
  <si>
    <t>Jaya Todi</t>
  </si>
  <si>
    <t>T-6/1001, M3M Heights, Sec 65</t>
  </si>
  <si>
    <t>Saturday</t>
  </si>
  <si>
    <t>Manisha Aswani</t>
  </si>
  <si>
    <t>4-I/302, Orris Aster Court. Sec 85</t>
  </si>
  <si>
    <t>After 5:30 PM</t>
  </si>
  <si>
    <t>Insta // Sent replacement today (05/04) Sent Replacement today (19/04) Do Not Count last Del (06/05) Hold she will confirm (14/05) Payment confussion(29/06) Skip 1 week (22/04) Today Hold and skip (15/05) HDTNP (29/05) HDTNP (03/07)</t>
  </si>
  <si>
    <t>Premium Flowers Extra next (16/08)</t>
  </si>
  <si>
    <t>Meenakshi Dua-- Evening Only</t>
  </si>
  <si>
    <t>T-9/803, Orchid Petals</t>
  </si>
  <si>
    <t>Friday and Tuesday// Rajni Next (14/11) Upgrade to Elations and No Heliconia and BOP // Send Rajni and Guldawari next (26/12)(26/12) No Charm (25/02) Sprya Daisy or Guldawari Tom (03/04) Send any from Guldawari/Rajnior Lily (06/04) No Flowers till 28th (17/11) Send from Orienta/ Daisy or Rajni tom (21/12) Send Replacement tom (01/03). skip tomorrow (25/04) Send replacement tom (04/07)</t>
  </si>
  <si>
    <t xml:space="preserve">HELICONIA n BOP n GERBERA </t>
  </si>
  <si>
    <t>No Yel/Wht/Red in Glad and Guldawari</t>
  </si>
  <si>
    <t>Meenu Singh</t>
  </si>
  <si>
    <t xml:space="preserve">FLAT NO 16 A, TOWER 2, FAIRWAY EAST, M3M GOLF ESTATE
</t>
  </si>
  <si>
    <t>Savor</t>
  </si>
  <si>
    <t>Mix of 1 Less Flower with more number of flowers (01/07)  NO RAJNI (03/09) Skip 3 Weeks (08/04) Skip 2 week (10/06) Returned today (13/09) Sent Replacement today (07.10) Hold today (20/12) Returned today n hold till 6th Jan (27/12) Hold due to non payment (10/10) Skip 2 weeks (14/10) Skip 1 week (13/11) Hold due to non payment (26/12) Hold due to non payment (09/01) Hold due to non payment (16/01) Hold due to non payment (23/01) Hold due to non payment (06/02) Hold due to non payment (13/02) Today Returned (03/07)</t>
  </si>
  <si>
    <t>Diff Flowers n Combination</t>
  </si>
  <si>
    <t>Ms. Namrata Agarwal</t>
  </si>
  <si>
    <t>18/1101,Orchid Petals, Sohna Road</t>
  </si>
  <si>
    <t>More Lilies n Orchids (20/05), NO ORCHID(12/10)  NO HELICONIA and send vase Next for 200(01/02) Send 1 vase for 200 tom(05/02)NO BOP(13/03) Paytm from Vipul Agarwal (09/06) Skip 3 weeks after current cycle (10/06) Paytm from Vipul Agarwal (14/07) Do not count last del (09/09) Skip 2 week (29/05) Today Returned (20/06) Hold due to non payment (16/01) Hold due to non payment (23/01) HDTNP (27/02) HDTNP (06/03) HDTNP (13/03) Skip 3 week (19/04)</t>
  </si>
  <si>
    <t>Neelam Ahuja</t>
  </si>
  <si>
    <t>4002, M3m Latitude, Sec 65</t>
  </si>
  <si>
    <t>Charm</t>
  </si>
  <si>
    <t>Friday and Monday// Lilies/BOP/Rajni/Spray Daisy(19/04) Paytm from Joe Ahuja// Paytm from Jyoti Gandhi// Skip 1 week(14/08) Not avaible tili 3rd Oct (26/09) Gpay From Joe Ahuja (18/10) Loves BOP (04/11) Heliconia or Anthurium next (22/12) Gpay from Pradeep Chib (03/02) Skip 1 week (02/03) Skip 1 week (23/03) No Spray Daisy (15/05) No gerbera/Sptray Daisy and Car for few Deliveries (26/05) Hold till 11th July (02/07) Being birthday--send some best flowers (31/07) BOP Next (13/09) Asiatic Next (24/10) SEnd anthurium also (13/04) No Statice (21/04) Hold n start from 13th May (02/05) Hold till 6th july (30/06) Skip tom (28/07) Send 1 Del Tom (03/08) Skip Friday Del (03/09) Today Hold (15/11) Skip friday Del (10/12) Skip Monday Del (24/01) Skip this monday (16/02) Skip Friday (26/02) Skip Friday (11/03) Referal credit of Vishal Dhawan added (24/03) Hold today (12/05) Paytm From Jyoti Gandhi (18/06) Skip monday (02/08) Skip 1 week a913/12) Skip 1 week and no del till next friday  (31/12) Skip tom (22/01) Hold today (09/02) Skip 1 week (18/02) Today Returned (06/03) Skip tom (22/03) Skip tom (23/04) Hold Monday (03/05) Skip Monday (10/05) Skip 1 week (21/06) Skip Only mOnday--send on friday (28/06)</t>
  </si>
  <si>
    <t>Spray Daisy n GERBERA n Statice</t>
  </si>
  <si>
    <t>Neeraj Rathore</t>
  </si>
  <si>
    <t>A-1302, PalM Drive, Sec 66</t>
  </si>
  <si>
    <t>Friday n Monday// No Gerbera *25/09) Payment from Dharmesh I Rathod (11/12) Rose next (29/12) No Orchid also (23/02) No Glad (31/03) No BOP (26/07) BMF Vase Sent (23/08) Rs. 500 added as referal credit against subscription of Radhika (08/03) Skip 3 Deliveries (21/09) hold today n skip 1 week (06/10) Upgrade to Elation and day Friday (29/10) One Kind Flowers (30/01) Skip 2 week (05/02) Holdn send on monday (24/04) Skip 2 weeks (07/05) Returned today (22/05)</t>
  </si>
  <si>
    <t>GERBERA  n BOP</t>
  </si>
  <si>
    <t>One Kind (30/01)  Rajni next (18/02)</t>
  </si>
  <si>
    <t>Nikhil Ranganathan-- Evening Only</t>
  </si>
  <si>
    <t>24/7, Primrose Vatika</t>
  </si>
  <si>
    <t>Friday n Monday// Holy Change(16/03) Orchids this week(05/06) Do Not Count last Delivery(13/08) Skip 1 week (16/10) Skip 1 week (22/12) Received one more payment of 2900 today (07/01) Hold n start from 31st Mar (12/03) Monday n Friday // Send Flower food next (24/06) Skip tom Del (12/10) Skip Friday Delivery (17/10) Change to Bliss (13/12) Skip 2 week (09/01) Skip 1 week (22/02) Skip 8th Del (01/03) In Pooja's Account (01/07) Skip 1 week (09/7) Skip 1 week (14/08) Skip 1 week (27.10) Skip 2 weeks (04/06) Skip 1 week (22/01) Skip 1 week (25/03) Send vase tom (27/04)</t>
  </si>
  <si>
    <t>Parul Hazel</t>
  </si>
  <si>
    <t>E-1202, Palm Drive</t>
  </si>
  <si>
    <t>Send vase replacement tomorrow(27/10) Skip 1 week(27/12) Return-send next week(27/01)Skip 1 week(07/02) Rose next time(26/02) 1 stick extra next week(09/03) Skip 1 week(20/03) Send 1 stick extra in next del(18/05) Today hold n skip 1 week(25/05) Skip 2 week(14/06) Inform Before Sending(01/07) Send 2 pack of FF tom(19/07) Today hold-send tom(21/10) return-send on Thursday(26/10) Rajni Next(21/12) Hold -send on Monday(28/12) Skip 1 week(09/03) Rajni Next(28/01) Rajni tom(28/02) Pls send Mix of Spray daisy + Rajni and send tom only this week(04/03) Skiped 1 week due to HOLI(29/03) Skip 1 week(17/08) Rajni/Rose next(12/10) Send rajni Tom(30/10) Skip 1 week(19/12) Skip 1 week(12/03) Sewnt a replacement today(17/04) Skip 1 we Hold today (29/03)ek(01/06) Skip 2 Weeks(23/06) Skip 1 week(28/07) Skip 1 week (22/12) Skip 2 weeks (01/01/23) Skip 1 week (13/04) Send on sunday this week (14/04) Send 1 delivery tom (19/06)] Skip 1 week (28/09) Skip 1 week (10/04) Send Replacement tom (10/01) Skip 1 week (20/01) Skip friday n send on monday this week (26/06) Send thsi week flowers on monday (14/08) Skip 1 week (16/12) skip tom and send on 28th (17/03) Hold today and check next week before sending (22/05)</t>
  </si>
  <si>
    <t>Ranjeeta Sanghvi</t>
  </si>
  <si>
    <t>T-3/TH-B, Bellevue. Central Park 2</t>
  </si>
  <si>
    <t>Sachi Poudiyal</t>
  </si>
  <si>
    <t>H. No. 901, Ground Floor, Sec 17 B, Next to St PBN School</t>
  </si>
  <si>
    <t>Vasanta Poddar</t>
  </si>
  <si>
    <t>S-64, 2nd Floor, Uppal Southend</t>
  </si>
  <si>
    <t xml:space="preserve"> Skip 1 week (11/03) Skip 2 week (29/05) Sent 1 Del today (21/08) Send tom (06/02) Skip 1 week (19/02)</t>
  </si>
  <si>
    <t>ORCHID</t>
  </si>
  <si>
    <t>Aishwarya -- Acacia</t>
  </si>
  <si>
    <t>11/2, Acacia, Vatika City</t>
  </si>
  <si>
    <t>Upgrade to elation (06/11) Hold due to non payment (18/12) hold due to non payment (16/01) Skip 2 week (24/06)</t>
  </si>
  <si>
    <t>Bhumika Gupta</t>
  </si>
  <si>
    <t>H-37, 2nd Floor, Aaron Ville, Sec 48</t>
  </si>
  <si>
    <t>No Rose n Glad n flowers in same color // Long Stems (20/04) Gpay from Tanmay Oberoi (15/06) Skip 3 Sunday (04/08) Skip 3 weeks (4/08) Day Change to Friday (27/09) Skip 1 week (15/01) Skip Friday (26/03) Returned today (01/05) Skip 1 week (20/06)</t>
  </si>
  <si>
    <t>Rose n Glad</t>
  </si>
  <si>
    <t>Long Stems</t>
  </si>
  <si>
    <t>2  del of this cycle   -  1-cycles pmnt   Pending - Collect 1950</t>
  </si>
  <si>
    <t>Priyanka Chaturvedi</t>
  </si>
  <si>
    <t xml:space="preserve">Flat No. A-303, The Peaceful Homes, Sec 70-A
</t>
  </si>
  <si>
    <t>Friday and Sunday//Saturday evening slot and Sunday morning Slot(06/08) Send 100 Gm Mogra also(03/09) Received cash of 100 today(04/09) Skip coming week(20/09) Skip 1 week(15/10) Skip tom n send on comong fridayu this week(29/01) W Car next(26/02)  Holy Change(16/03) Return today(15/04) Hold n start from July (01/05) Skip 13th Delivery (10/01) NO ROSE (29/01) Sent replacement today (05/02) Send bothe deliveries together on sunday (12/05) Skip 1 week (25/05) Send both deliveries on Sunday only (01/06) Double Delivery only on Sunday (10/06) Paytm From Gaurav Chaturvedi (26/03) Hold til next saturday (20/06) Skip this sunday (11/10) No Spray Daisy (22/11) Today REturned (12/01) Skip 2nd week (03/04) No Del between 7th to 14th (05/04) Skip this sunday (18/06) Skip tom (04/10) Skip 1 week (10/12) Today Returned (04/01)</t>
  </si>
  <si>
    <t>ROSE n SPRAY DAISY</t>
  </si>
  <si>
    <t>Amitt Nenwani</t>
  </si>
  <si>
    <t>Villa 21, Z Block, Tatvam Villas</t>
  </si>
  <si>
    <t>Elegance</t>
  </si>
  <si>
    <t>Friday n Monday//Mixed // Skip 1 week (17/04) Skip this week (12/11) Skip this week and send on 03rd Jan (29/12) Skip tom (15/03) Skip 1 week (26/03)</t>
  </si>
  <si>
    <t>Mixed Flowers// Change to enchantement from next cycle (12/1)</t>
  </si>
  <si>
    <t>G-00065</t>
  </si>
  <si>
    <t>Shilpa Tambi</t>
  </si>
  <si>
    <t>A4/1603, Yulip Yellow, Sec 69</t>
  </si>
  <si>
    <t>Gift From 9993806367 // Change day to Friday (08/07)</t>
  </si>
  <si>
    <t>Sumita Shahi</t>
  </si>
  <si>
    <t xml:space="preserve">T-A/501, Spaze I-tech Park, </t>
  </si>
  <si>
    <t>Skip 1 week (04/01) Skip 1 week (25/06) Send tom (26/06) Tday returned (15/08) Hold tom (05/09) Today hold n skip 1 week (26/09) Skip tom (19/03) Upgrade to Joy and four plus 1 Pack (12/04) Hold today (01/05) Skip 1 week (23/06)</t>
  </si>
  <si>
    <t>Malvika Anand</t>
  </si>
  <si>
    <t>A1, Cloud 9 Cottages, Vill Dhumaspur, Sec 67 A</t>
  </si>
  <si>
    <t>Ankita Aeron</t>
  </si>
  <si>
    <t>D-701, Shree Vardhman Victoria, Sec 70</t>
  </si>
  <si>
    <t>Car Next (27/06) Do not send on 8th and 15th Aug (31/07) Skip 1 week (18/09) Skip 2 week (15/10) Skip 1 week (09/06)</t>
  </si>
  <si>
    <t>Car Next (27/06)</t>
  </si>
  <si>
    <t>Ishita Chopra</t>
  </si>
  <si>
    <t>B-69, Ground Floor, Soutthend Floor, Sec 49</t>
  </si>
  <si>
    <t>No Red Rose // Today returned due to timing missunderstaning (21/11) No Roses (06/01)</t>
  </si>
  <si>
    <t>Roses</t>
  </si>
  <si>
    <t>Mohar Ray Dahiya</t>
  </si>
  <si>
    <t>Sovereign-3/201, Vatika City</t>
  </si>
  <si>
    <t>Friday and Monday(29/06)Chamged to Friday//NO Tape Usage(10/12) Rajni and Car next -- No Red Car(14/01)  Glad and Rose-- Pref both Red(11/02) Spray Daisy and Guldawari this week(24/02) Send Mix of BOP and anthurium(28/02) Mix of Orchid and Lily next(10/03)   NO BOP AND ANTHURIUM(18/04)NO BOP/ANTHURIUM/HELICONIA AND ORIENTAL(01/06) Spray Daisy Next(10/07) Mix Glad Next(30/08) Lilies if they are good else  any other flower in Red/Orange or Yellow (19/10) Yellow Glad Next (27/11) No Joy Package and sned Rose and Guldawari Tom (15/12) Send mix of Red n W Car anmd Guldawari tom (22/12) Pls send on sunday this week instead of friday (08/01) Guldawari and Orchids Next (16/01) NO RAJNI til they become better(04/08) Send replacement today(23/09) Aster in Subscription (19/10) Glad Next (08/11) No Delivery between (5th Jan to 16th Jan (28/12) NO BOP n GERBERA (23/02) Hold till 23rd Jan (30/12) Rs. 725 added against referal credit of Amrita Jain Subscription (08/03) Do not count last del (19/04) Friday missed (16/06) Skip this friday (25/06) Hold from 5th to 12th (04/01)</t>
  </si>
  <si>
    <t>BOP n GERBERA</t>
  </si>
  <si>
    <t>Ms. Monaliza</t>
  </si>
  <si>
    <t>C-4/703, Sovereign, Vatika City</t>
  </si>
  <si>
    <t>Never send Rajni, Gerbera and Daisy(17/06)Rtrnd today send tomorrow(22/07)Day chenged to Monday(23/07)Don’t send between 22nd to 30th(07/10) Returnde-send next week(25/02) Preferred Flowers-- Rose + Orchid+Oriental + Heliconia(30/11) Sent 1 del today(15/10) Sent replacement today and never colorefull roses(15/02)  Holy Change(16/03) Skip 2 weeks (26/09) Skip 1 week (24/11) Send 1  Del tom (26/11) Senty replacement today (22/05) Return-send next week (30/06) No Sunflowers (03/03) Skip 1 week (21/03) Hold she is changing house (06/05) Hold today due to non payment (02/10) Hold due to non payment (09/10) Hold due to non payment (26/12) Hold due to non payment (23/01) Hold due to non payment (30/01) From Rohit Ramani (17/02) Skip tom (28/05) Return today (03/07)</t>
  </si>
  <si>
    <t>Nidhi Bansal</t>
  </si>
  <si>
    <t>03, Tatvam Villa's,Sector 48</t>
  </si>
  <si>
    <t>Send Mix of Rajni and Spray Daisy next and send on Friday this week(10/02) Send Dahelia and rajni Next(19/02) Asiatic n Rajni next(26/02) Mix of rajni and daisy(19/03) Always send Lily and Some other flower(02/10) Lily and Rose next(12/11) Rajni this week(03/12) Rajni this week(08/12) Rajni next(07/01) Hold n start from April and Check before sending(28/02) Return-Send next week(17/06) Repeat flowers(10/08) Rajni next 15/12) Add changed (07/07) Send Replacement tom (05/07) Long stems (30/10) 2700 CASH AND 50 PAYTM (08/05)</t>
  </si>
  <si>
    <t>Long Stems (30/10)</t>
  </si>
  <si>
    <t>Nidhi Sharma Malhotra</t>
  </si>
  <si>
    <t>8130207722//9999016333</t>
  </si>
  <si>
    <t>Topaz-36, First Floor, Emaar Emerald Hills, Sec 65</t>
  </si>
  <si>
    <t>Friday n Monday//NO Glad(11/03)  Holy Change(16/03) Send next delivery on Monday (26/04) Heliconia Next (03/05) Now felicity (25/05) Today Returned (15/07) Paytm From sante (16/04) Date was updated from 13th july to 04th Aug -- deliveries missed-- now updated from Jule -- Still deliveries missed(05/07</t>
  </si>
  <si>
    <t>GLAD</t>
  </si>
  <si>
    <t>Parul Mahajan</t>
  </si>
  <si>
    <t>T-5/1002, Vipul Greens,Sec 48</t>
  </si>
  <si>
    <t>Tuesday and saturday//Sunday and Thursday//Paytm From Parul Kaistha(23/04) Hold n send now from 2nd July(01/06) Start from tomorrow(28/06) FF sold n received 80 today(27/07) Skip 1 week(16/08) Send FF Next(07/09) FF Tom(13/09) Hold today n skip next week(26/10) Hold n start after 15th jan(20/12) START AND SWITCH TO SATURDAY ONCE LOCKDOWN IS OVER(27/08/20) Day Changed to Sunday(26/11) Upgrade to 1250 pack and send remaining flower of last del(08/02) Senmd Pending Flowers(15/02) Change to Charm Package(03/04) Flower Food Next(16/04) Today Missed-send flower food next(18/04) Received paytm of 250 today(23/04) Sunday and Thursday(20/06) Skip n start from 13th(08/09) Upgrade to Grace(02/10) Send Sunday del tom with Orchids(15/10) NOW Savor(17/11) Payment from Fun times with rhea, send remaining flowers in next del(17/11) Hold n start after 16th Jan(16/12)  Holy Change(16/03) Skip 1 week(14/04) Skip 1 week(27/07) Hold today (10/11) Skip 1 week n wait for new Add (05/02) Hold till 26th June (22/05) Skip 1 week (14/08) Skip 2 week (02/10) Skip 1 week (22/11) Skip 1 week (21/01) Hold till she confirm (25/05) Hold till 26th (16/10) Paytm from Parul Kayastha (20/03)</t>
  </si>
  <si>
    <t>Prabudh Vaidya</t>
  </si>
  <si>
    <t>T-B/503, Shree Vardhman Mantra, Sec 67</t>
  </si>
  <si>
    <t>Priya Chaturvedi</t>
  </si>
  <si>
    <t>D-2003, Bestech Alturea, Sec 79</t>
  </si>
  <si>
    <t>Today Returned (08/08) {ayment From Chinmananda Devgoswami (25/10) Four Plus 1 Pack (15/04) Skip 1 week (07/05)</t>
  </si>
  <si>
    <t>Priyanka Dey</t>
  </si>
  <si>
    <t>D/1003, 10th Floor, Emaar Palm Heights, Sec 77</t>
  </si>
  <si>
    <t>After 5 PM</t>
  </si>
  <si>
    <t>Lily Next (28/07) Returned and hold (15/08) Four plus 1 Pack // Today returned (16/05)</t>
  </si>
  <si>
    <t>Ritika -- DLF Regal</t>
  </si>
  <si>
    <t>E-144, DLF Regal Garden, Sec 90</t>
  </si>
  <si>
    <t>From Ritika Hatanagdy</t>
  </si>
  <si>
    <t>Shilpi Samantray</t>
  </si>
  <si>
    <t>Q-294, DLF Ultima</t>
  </si>
  <si>
    <t>Flower Food next (21/05) Do not count todays delivery (30/05) Skip 1 week (26/06) Skip 1 week (09/07) No asiatic Lilies (07/08) No glad now (25/09) Replacement tom (24/10) Skip 1 week (08/11) Skip 2 week (12/12) Skip 1 week (21/01) HDTNP (27/02) Skip 1 week (09/04) HDTNP (15/05) Next del on 5th JUne (18/05)</t>
  </si>
  <si>
    <t>lilies n Glad</t>
  </si>
  <si>
    <t>More Eustoams</t>
  </si>
  <si>
    <t>Shivani Kapoor</t>
  </si>
  <si>
    <t>94, Tattvam Villa</t>
  </si>
  <si>
    <t>Grace</t>
  </si>
  <si>
    <t>Monday n Friday// Payment from Sanjeev K (05/05) Skip 1 week (26/07) Skip 1 week (04/11) Skip this Friday (26/12) Skip 1 week (01/01/25) Skip tom (02/02) No delivery on Monday (01/03) Skip 14th n send on 17th (11/03) Now start from 7th July (24/06)</t>
  </si>
  <si>
    <t>No White</t>
  </si>
  <si>
    <t>Shweta Katiyar</t>
  </si>
  <si>
    <t>G-122, DLF Primus, Sec 82 A</t>
  </si>
  <si>
    <t>No Eustoma// Skip tom (31/12/25) Replacement of guldawari tom (16/01)</t>
  </si>
  <si>
    <t>Eustoma</t>
  </si>
  <si>
    <t>Shweta Malhotra</t>
  </si>
  <si>
    <t>B-001, Park View Spa Next, Sec 67</t>
  </si>
  <si>
    <t>Friday n MOnday//Thursday and Sunday//Oriental//Rajni//BOP//Pink car(13/01) For Next 3 Del-- Rajni//Orchid//Oriental(14/02) This Cycle-- Asiatic//Rajni//P Oriental//P car(07/03) Asiatic Lily Twice and Rest Gerbera and Orchids(10/04) Flower Food Next(17/04) Received Rs.250/-(18/04) lilie sfor next 2 del pls(03/09) Change to Joy Now(18/09) Next Car or Lilies-- NO GULDAWARI(31/10) Oriental Or Spray Daisy next(21/12) NO Rose-- Send Tom(09/01)  Holy Change(16/03) Send a replacement tom(15/04) Replacement tom(08/05) Either single or double color only -- NO Multicolor(30/10) No GULDAWARI n GERBERA (05/01) SEnt a replacement (12/04) Sent replacement today (13/05) Sent replacement today (26/06) No Anthurium (17/05) In Pooja's Account // Send Replacement tom (05/07) Send Replacement tom (09/08) Send replacement tom (22/11) Send Replacement tom (11/04) No But HDTNP (12/06)ton Daisy (02/05)</t>
  </si>
  <si>
    <t>ANTHURIUM n GULDAWARI n Button Daisy</t>
  </si>
  <si>
    <t>Surabhi Sukriti</t>
  </si>
  <si>
    <t>D-804, Bestech Park Viw Spa Next, Sec 67</t>
  </si>
  <si>
    <t>Skip 1 week (01/10) Add changed (05/04) Today Hold (26/06)</t>
  </si>
  <si>
    <t>Vipin</t>
  </si>
  <si>
    <t>9555977401 // 9654829329</t>
  </si>
  <si>
    <t>Villa / VB-5, Tata Primanti, Sec 72</t>
  </si>
  <si>
    <t>Send in evening slot tom (11/03) Paytm From Hina Kapoor (06/04) Send replacement Tom (17/05) Send replacement of W Eustoma (17/05) Paytm from Tarun Kumar (15/95) Replacement tom (16/05) Paytm From Vimpin Kapooria (28/06)</t>
  </si>
  <si>
    <t>Anubhi</t>
  </si>
  <si>
    <t>T-10/6C, Central Park Resort</t>
  </si>
  <si>
    <t>1st del tom n then every Friday and Never Roses (19/07) Hold due to non payment (23/01) Start from Mar (12/02) HDTNP (13/03)</t>
  </si>
  <si>
    <t>Rose</t>
  </si>
  <si>
    <t>Leena -- Orchid Petals</t>
  </si>
  <si>
    <t>T-24/1103, Orchid Petals</t>
  </si>
  <si>
    <t>1st del tom and then every Friday // Upgrade to Bliss (08/01) Hold today (06/02) Skip Friday and send on Sunday this week (20/05)</t>
  </si>
  <si>
    <t>Mamta Wassan -- From Dilip Puri</t>
  </si>
  <si>
    <t>1/9, Hamelia Street, Vatika City</t>
  </si>
  <si>
    <t>Changed to Friday//Next P Asiatic(26/10)Skip 1 week(22/11) Skip 1 week(22/12) Hold n skip this week(11/01) NO RED ROSE(18/01) Skip 1 week(14/03) Return-send again tomorrow(29/03) NO MIXED FLOWERS (06/04) Send Replacement and NO ORCHIDS TILL IT GET HEALTHY(28/04) AVOID CAR(09/05) Hold again-start after 15th and inform before sending(05/07) SEND ONLY ASIATIC TILL OTHER FOWERS ARE IN BEST SHAPE OTHRE THAN ROSE/ORCHID N CAR(15/10) Skip next 2 weeks(18/11) Skip 1 week(05/12)  Hold n start from 1st week of Apr// Inform before sending(20/03) Skip 1 week(24/12) Skip 1 week(29/01) Skip 1 week(08/02) Skip 1 week(12/02) Skip 1 week(27/03) Skip 2 weeks(23/04) Skip 1 week(12/09) Holy Change(16/03) Skip 2 weeks and check before sending(03/07) Skip 1 week (05/01) Sent replacement today (30/04) Skip 1 week (28/05) Skip 1 week (29/11) Skip 3 weeks (13/05) Skip 1 week (12/07) skip 2 week (16/11) Skip 1 week (01/12) Skip 1 week (8/01) Skip 1 week (23/02) Skip 1 week (24/03) Skip 1 week n semd on Monday (13/08) Skip 1 week (04/09) Skip 1 week (04/10) Skip 1 wek (15/10) From Dilip Puri -- send only 2 weeks (12/11) Send on sunday this week and skip 24th Feb (18/03) Start from 1st June (19/05) Send tom evebing (29/05) Skip 1 week (09/06)</t>
  </si>
  <si>
    <t>Navritu Kaushal Rai-- After 5:30 PM</t>
  </si>
  <si>
    <t>H. No. 3403, 1st Floor, Sec 23</t>
  </si>
  <si>
    <t>Friday and Monday//Monday and Thursday// NO WHITE FLOWERS OTHER THAN RAJNI(10/04) BOP//Glad ( No White)// Orchid//Spray Daisy//Carnations//Rajni-- No white flower other than Rajni(26/07) This cycle-- BOP/Spray Daisy/Car/Glad/Rose(29/08) Hold today (28/10) NO ROSE-- NO WHITE COLOR(03/12) NO ROSE n GERBERA ---- And send 3 stems extra in next delivery (30/12) Now Delight (15/02) Do Not count last Del (17/04) Send tom ()6/02) Send Replacement tom (18/04)</t>
  </si>
  <si>
    <t>Lily</t>
  </si>
  <si>
    <t>Radha Bhatnagar</t>
  </si>
  <si>
    <t>D-35, 2nd Floor, Vipul World</t>
  </si>
  <si>
    <t>Revathi-- After 5 PM</t>
  </si>
  <si>
    <t>A-1201, The Emaar Palm Drive</t>
  </si>
  <si>
    <t>Friday and Tuesday// NO RAJNIGANDHA NOW ONLY LILIES//CAR AND GLAD(26/07)  NO WONLY LILIES, HELICONIA AND CAR IN YELLOW OR ORANGE ONLY(11/09)  ONLY  LILIES/GLADIOLI AND HELICONIA ONLY IN YELL AND ORANGE COLOR-- NOCARNATION(01/10) Rajni or Bop next(18/10) Send 1 FF Next(29/06) LILY n GLAD ARE PREFERRED(29/06) Now From Rose//Car//Glad//Guldawari//Asiatic//Oriental(03/08) Skip this friday(09/08) No Upgrade (17/10) Skip 1 week (114/11) Skip 1 week after tom Delivery (09/03) No Del on Froday-- sned on Tuesda (29/03) Glad Next (01/05) Hold n start after 8th June (12/05) Bop n Heliconia Next (10/02) Skip tom Del (28/03) Flower food next (14/05) Hold till 8th (29/05) No Gerbera and Orchid (28/07) One Payment received today (01/10) Skip Friday Del (27/11) Skip friday (25/12) Return not at home (20/06) Today Returned (20/06) Received one payment of 3250 today (21/07)</t>
  </si>
  <si>
    <t>Gerbera n ORCHID</t>
  </si>
  <si>
    <t>Rinshul Chandra</t>
  </si>
  <si>
    <t>T-2/203 B, 3rd Floor, M3M Golfestate East</t>
  </si>
  <si>
    <t>Send if only payment received in advance (28/06) Paytm from k Sai Ujjwal //</t>
  </si>
  <si>
    <t>M0006</t>
  </si>
  <si>
    <t>Divya Sabharwal</t>
  </si>
  <si>
    <t>Tower 15, flat 1401, Vipul Greens , Sohna Road</t>
  </si>
  <si>
    <t>Friday n Monday//NO GERBERA-Send replacement tomorrow(14/10)NO ORCHIDS(08/03)) NO ROSE(25/01) ) NO GLAD (20/02)  Pls send out of Asiatic//Oriental//bop//Anthurium//Spray Daisy//Gladioli//Guldawari(13/03)NO ANTHURIUMS)(16/06) Skip 1 week (21/05) Skip 1 week (16/06) Hold today (01/09) Send replacement tom (09/09) Skip 1 week (05/10) Skip 1 week (25/10) Skip 2 week (18/03) Statie next (13/05) Friday n MOnday (01/08) NO Car (30/08) Skip 1 week (19/01) Skip tom (02/02) Hold today  and send rajni on sunday instead of Monday (10/02) Skip friday del (11/03) Skip 1 week (19/03) No Orchids also (26/04) Skip 1 week (05/10) Hold till 9th Nov (24/10) Hold tom (23/11) Hold tom (27/11) Skip friday (02/12) Close bi weekly and start joy Pack (04/12) Skip 1 week (31/01) Skip 1 week (01/02) Return today (20/02) Skip 2 week (010/03)</t>
  </si>
  <si>
    <t>CAR n Orchid</t>
  </si>
  <si>
    <t>Ankita Sethi</t>
  </si>
  <si>
    <t>C1/202, Vatika City, Sec 49</t>
  </si>
  <si>
    <t>NO GLAD (22/12) Upgrade to Joy (19/01) NO HELICONIA ALSO (20/01) Hold today-send tom (03/02) Skip today (31/03) Send replacement tom (09/04) Sent replacement today and sent 1 replacement today (04/06) Skip today (09/06) Sent replacement today (26/-06) Skip 1 week (29/06) Skip 1 week (11/08) 1 Flower food next (04/11) Flower food next (24/11) Skip 1 week (22/12) Skip 1 week (04/01) Skip 1 week (09/05) Skip Tom (16/05) Add changed (24/05) Return today (31/05) Skip 1 week (16/01) Skip tom (06/02)  Hold today (18/04) Skip 1 week (02/07) Skip 1 week (11/09) Today returned as guldwari sent which was not restricted (21/11) Hold due to non payment (26/12) HDTNP ((24/04) Send one del Tom (26/04)</t>
  </si>
  <si>
    <t>GLAD n HELICONIA</t>
  </si>
  <si>
    <t>Deepak Kohli</t>
  </si>
  <si>
    <t>539/C, 4th Floor, H Block, Palam Vihar</t>
  </si>
  <si>
    <t>Send 1 bunch Nargis From Amit n Pooja// Wish you a//Sending on 20th instaed of 21st,bcoz of Holi(18/03) Send 1 pack of FF(14/08) Time slot changed to Evening(18/09( Holy Change(16/03) Send tom (06/02)</t>
  </si>
  <si>
    <t>2  del of this cycle   -  0-cycles pmnt   In Process - Collect 0</t>
  </si>
  <si>
    <t>Maj. Gen. KN Singh</t>
  </si>
  <si>
    <t>GH 4/5C Gurgaon One Apartments- Sectr 22</t>
  </si>
  <si>
    <t>Tuesday and friday// NO ORCHIDS(02/09) Skip 1 week(04/08) Skip 1 week(22/09) Skip 1 week (15/12) Today hold (13/01) Skip 2 weeks (23/01) Skip 1 week (30/03) Skip 1 week (13/04) Shift to Bliss (27/04) Send replacement tom (13/05) Skip 1 week (24/05) Skip 1 week (25/07) Skip 1 week (10/08) Skip 2 week (08/01) Skip 17th and send on 19th (15/05) Skip 2 week (09/01) Skip 1 week (11/03) skip 2 week (04/12) Send tom (06/02) hOLD TODAY (08/05)</t>
  </si>
  <si>
    <t>Manisha Mishra</t>
  </si>
  <si>
    <t>E-1202, maceo appartmnet, sector 91</t>
  </si>
  <si>
    <t>Dwarka Expressway</t>
  </si>
  <si>
    <t>Paytm from Rohit Ahuja</t>
  </si>
  <si>
    <t>Meenal</t>
  </si>
  <si>
    <t>168, Deerwood</t>
  </si>
  <si>
    <t>Skip Friday and sned on Monday (07/01) HDTNP (24/04) Skip 2 week (27/05) Today returned (19/06)</t>
  </si>
  <si>
    <t>Mr. Pramod Narula 2</t>
  </si>
  <si>
    <t>Ww-57, Ground floor, Malibu Town, Sohna Road    Sohna Road Gurgaon  </t>
  </si>
  <si>
    <t>Enchantment</t>
  </si>
  <si>
    <t>3 Stick extra in next del(31/08)Send this Tuesday n then Saturday(07/09)Send on 6th This week(05/11)  Today return-send next week(25/01) Send replacement of Daisy(01/02) Send always on Friday(17/03) Rs.240/- Received today against special pack(12/04) Long stick always(26/04) Flower food next(31/05) NO GERBERA(14/06) Send 1 stick extra next(16/08) 2 Stick extra next(23/08) Send extra flower(20/09) NO GERBERA N NO BOP(11/10) Collect Payment(29/02) Send replacement(11/08/20) Hold for 2 weeks and confirm before sending(19/09/20) Skip 1 more week(08/10/20) Sending Del tom due to Diwali(11/11) No Lily and Sunflower(04/07) Upgrade to 4000 and increase 6 more sticks(01/10) Send 2nd Del on 4th(27/10) Send 5th Del on 4th(29/10) Send remaining flowers(19/11) Hold today and skip 1 week(10/12) Skip 1 week(24/02)  Holy Change(16/03) Hold today--send on sunday (22/12) Hold today n send on Monday (20/12) Skip 1 week (02/01) Skip 1 week (11/03) Hold n start after 5th June (04/05) Send flowers on sunday (16/10) Skip 1 week (18/12) Send on Wednesday instead of Friday this week (22/12) No Lilies (07/05)</t>
  </si>
  <si>
    <t>Ms. Anubha T Agarwal</t>
  </si>
  <si>
    <t>D-902, Park View City-1, Sohna Road</t>
  </si>
  <si>
    <t>No Rajni (22/05)Skip coming week del(13/08)Pls skip this week n send next week(03/09)Pls shift time slot to evevning(18/09)Pls shift to morning(10/10) Paytm from manoj Agarwal(13/02) Skip 1 week(03/04) Send 1 stick extra in next Del(19/06) Say Change to Monday(21/08) Upgrade to 650 (01/12) Skiped 1 week due to HOLI(29/03) Flower Food Next(16/04) Upgrade to Bliss and send remaining flowers in 2nd Del(14/09) Skip 1 wek(14/10) skip 1 week(01/01)  Holy Change(16/03) Skip this week n send on sunday(10/08) Send Replacement tom (19/11) Send on monday this week (10/08)  Hold today (26/01) Today Returned (05/04) Today returned (16/08) Send replacement tom (15/09) Yesterday Returned (15/02) Return today (25/04) Skip 1 week (29/05) Skip 1 week (28/07) Skip tom n send on sunday (18/09) Skip 1 week (04/12)</t>
  </si>
  <si>
    <t>Ms. Arpita Bhargava</t>
  </si>
  <si>
    <t>T-4/1701,Tata Primanty,Sector-72</t>
  </si>
  <si>
    <t xml:space="preserve"> NO ROSES(28/12) Prefer Glad and Daisy(11/01)  NO ORCHIDS(31/05)  MORE CHRYSANTHEMUM , GLADIOLI NO ROSE AND ORCHIDS(26/12) Return-send Tom(17/01) NO ORCHIDS OR LILIES, ONLY 15 STICKS(31/07/20)  NO GUldawari now in this season--sent replacement today(12/03)   Holy Change(16/03) Flower F Next(13/05) NO RAJNI N GERBERA(21/07) Skip 1 week (29/10) Send 1 stem extra next (23/12) NO GERBERA n ROSE (14/01) REturn today (10/03) Returnb-send next week (30/06) Today return-send next week (07/07) Skip 2 weeks (27/12) Skip 1 week (26/03) Skip 1 week (25/09) Hold send next week (03/10) Returned today (07/11) Today hold (21/11) Today returned (28/11) Skip 2 week (18/12) Replacement tom (17/04)</t>
  </si>
  <si>
    <t>GERBERA n ROSE</t>
  </si>
  <si>
    <t>G-00011</t>
  </si>
  <si>
    <t>Nainsee Garg</t>
  </si>
  <si>
    <t>A67 Rosewood City Sector 49 Gurgaon 122001</t>
  </si>
  <si>
    <t>Nirvana Country</t>
  </si>
  <si>
    <t>No Glad (15/-5) Skip tom n sned next del on Sunday (29/05) Skip 1 week (03/07) Skip 1 week (12/11) Send tom (01/04) Sent one del today (09/04) Skip 1 week (11/05) Skip this cdel n send on Sunday (12/06)</t>
  </si>
  <si>
    <t>Glad</t>
  </si>
  <si>
    <t>Neera Dutta</t>
  </si>
  <si>
    <t>T-01/402m Vipul Greens</t>
  </si>
  <si>
    <t>Skip 7th Oct(01/10) Skip 1 week (25/10) Skip 6th Jan Delivery (29/12) skip 17th n 24th ns sewnd on 28th (03/02) Hold 1 month (08/04) Skip 1 week (28/05) Skip this week and send on Tuesday (08/07) Skip 1 week (15/11) Return today (22/03) Sent replacement today (07/07) Skip 1 week (21/09) Skip 8th Niv (01/11) Skip 2 week (11/01) Return-send after 10th Feb (31/01) Requested for sunday del (11/03) Today returned-send tom (16/03) Skip 1 week (19/08)</t>
  </si>
  <si>
    <t>Nidhi Sehgal</t>
  </si>
  <si>
    <t>D-23 Flat No 0002 Victory Valley Sec 67</t>
  </si>
  <si>
    <t>Mixed Flowers // Always FF (15/05) Hold till 15th June (19/05) FF with all Flowers (12/06)</t>
  </si>
  <si>
    <t>Mixed Flowers and always FF</t>
  </si>
  <si>
    <t xml:space="preserve">Nikhat </t>
  </si>
  <si>
    <t>90044 52898‬</t>
  </si>
  <si>
    <t>Tower B, flat 074, DLF regal gardens , sector 90</t>
  </si>
  <si>
    <t>Paytm From Puneet Pundora (06/03) Hold today (20/03)</t>
  </si>
  <si>
    <t>Thursday</t>
  </si>
  <si>
    <t>Shweta Bajpai</t>
  </si>
  <si>
    <t>288, Tatvam Villa</t>
  </si>
  <si>
    <t>Hold tOday (12/06) Today Returned (19/06)</t>
  </si>
  <si>
    <t>Smriti Maggon</t>
  </si>
  <si>
    <t>B-901, Emaar Palm Drive, Sec 66</t>
  </si>
  <si>
    <t>Rose//Car//Rajni//BOP(08/02) Holy Change(16/03) 8 Rajnigandha Next (12/10) Hold due to non payment (03/10) Hold due to non payment (16/01) Hold due to non payment (23/01)</t>
  </si>
  <si>
    <t>Sreeparna Ghosh</t>
  </si>
  <si>
    <t>H-701, Mapsko Mountville, Sec 79</t>
  </si>
  <si>
    <t>Send 1 W Asiatic as replacement (30/08) Skip 1 week (06/09) Returned-send next week (03/10) Send replacement of Gerbera tom (02/12) Skip 1 week (20/12) Upgarde to Joy from next cycle and mixed (20/02) Upgrade to Joy and skip 1 week (05/03)</t>
  </si>
  <si>
    <t>Upgarde to Joy from next cycle and mixed (20/02)</t>
  </si>
  <si>
    <t>Sreyoshi  Maitra</t>
  </si>
  <si>
    <t>T-1/1706, M3M Heights, Sec 65</t>
  </si>
  <si>
    <t>No Spray Daisy and Rajni // Payment from Mrittika Maitra (12/03) Send replacement of orchds tom (11/05) Today Returned (04/07) No eustoma (17/08) Hold today (24/10) Pls Send sunflowers on 9th Jan (12/12) HDTNP (13/03) Sent one del today (16/03) No Orchids (30/04) Today Returned (29/05)</t>
  </si>
  <si>
    <t>Orchids n Rajnigandha</t>
  </si>
  <si>
    <t>Sunflower on 9th Jan (12/12)</t>
  </si>
  <si>
    <t>Sudipta Karnik</t>
  </si>
  <si>
    <t>Tower 4, Flat 6A, Bellevue, Central Park,Sector-48    Sec 48 Gurgoan  122001</t>
  </si>
  <si>
    <r>
      <t>Pls send diff flowers in both package(24/07)Pls send only white color flowers other that Rajni till Nov-18(19/10)</t>
    </r>
    <r>
      <rPr>
        <b/>
        <sz val="11"/>
        <color theme="1"/>
        <rFont val="Calibri"/>
        <family val="2"/>
        <scheme val="minor"/>
      </rPr>
      <t>NO ROSE(20/12)</t>
    </r>
    <r>
      <rPr>
        <sz val="11"/>
        <color theme="1"/>
        <rFont val="Calibri"/>
        <family val="2"/>
        <scheme val="minor"/>
      </rPr>
      <t xml:space="preserve"> FLOWER FOOD(10/04) Rs.80/- received against Special Pack(13/04) Send 1 pack of spaecial pack(18/05)  ONLY ASIATIC TILL NEXT INSTR(07/06) Return-send tom(29/06) Sent 2 del today with 40 Car(16/09) Return-send tom(30/11) Change day to Friday(22/02) Hold today-sent next week(10/07/20) Today hold-send tom(04/09/20) Gerbera Next(23/09/20) Sending del Tom due to Diwali(11/11) Skip 1 week(09/07) Skip 1 week(15/09) NO HELICONIA(24/12) Holy Change(16/03) Send replacement tom (03/06)</t>
    </r>
  </si>
  <si>
    <t>Sunita Dogra</t>
  </si>
  <si>
    <t>K-1431, K Block, Palam Vihar</t>
  </si>
  <si>
    <t>Today Returned (03/07)</t>
  </si>
  <si>
    <t>Chhavi Chugh</t>
  </si>
  <si>
    <t>FE-01-1B, M3M Golfestate, Sec 65</t>
  </si>
  <si>
    <t>Send 1 Del Tom (17/10) Skip 1 week (14/11) Skip tom n send on Monday (23/10) Replacement of 1 sunflower tom (07/11) Skip n sned on Monday (16/02) Skip 10th and send on 12th Apr (008/04)</t>
  </si>
  <si>
    <t>1  del of this cycle   -  0-cycles pmnt   Completed - Collect 0</t>
  </si>
  <si>
    <t>Noreen Tung</t>
  </si>
  <si>
    <t>C-1002, GPL Eden Heighrs, Sec 70</t>
  </si>
  <si>
    <t>No Gerbera ( 03/07)</t>
  </si>
  <si>
    <t>Gerbera</t>
  </si>
  <si>
    <t>Renu Kothari</t>
  </si>
  <si>
    <t>4101, M3M Latitude, Sec 65</t>
  </si>
  <si>
    <t>Anshita</t>
  </si>
  <si>
    <t>H. No. 3107, 2nd Flor, Ansal Versalia, Sec 67 A</t>
  </si>
  <si>
    <t>sent one del today (11/12) Skip 1 week (15/01) Skip today (20/02) Today returned (06/03) Skip 1 week (26/03) Hold for 2 week (22/04)</t>
  </si>
  <si>
    <t>Nishtha</t>
  </si>
  <si>
    <t>580, Upper Ground Floor, Sec 30, Jharsa -- Adjacent Veerji Motor World</t>
  </si>
  <si>
    <t>South City 1</t>
  </si>
  <si>
    <t>Samta Mehra</t>
  </si>
  <si>
    <t>D-1401, Park View City-1, Sohna Road</t>
  </si>
  <si>
    <t>Mixed Flowers// Upgrade to Elation (30/03) Skip 3 weeks (13/06) Skip 2 weeks (21/12) Upgrade ti savor (23/02) Skip 1 week (16/04) Skip 1 week (20/06) Hold today (12/09) Skip 1 week (02/10) Skip 1 week (29/12) Skip 1 week (28/03) Skip 1 week (18/06)</t>
  </si>
  <si>
    <t>Priyanka Agarwal</t>
  </si>
  <si>
    <t>624-A, Fairway East, Sector 65</t>
  </si>
  <si>
    <t>Monday and Friday//Tuesday and Saturday//Change to 950 pack and sned in evebing slot of Saturday and Tuesday(09/09) NO GERBERA(15/11) Need to check foe the payment(11/12) Sent replacement today(10/04) No Del between 22nd to 29th Apr(13/04) Star after 29th Apr(22/04) Hold after this cycxle(02/08) Today Flowesr returned (24/04) Now send after 18th (13/05) Hold n start from July (22/05) No Flowers till 16th Nov (13/11) Hold today and 10 Days (19/02) Skop monday Del (22/03) Pls skip coming del (05/06) Return today send next week (23/05) Today Returned (15/08) Tiday Returned agains (18/08) Hold due to non payment (06/10) Hold due to non payment (10/10) Hold due to non payment (09/02) HDTNP (13/03) HDTNP (22/05) HDTNP (25/05)</t>
  </si>
  <si>
    <t>Tahzeeb Mohammad</t>
  </si>
  <si>
    <t>Natura Tower -1, N 2105, M3M Marina, Sec 68</t>
  </si>
  <si>
    <t>Bi weekly Customised</t>
  </si>
  <si>
    <t>Gerbera // Rajni // Sunflowers // Eustoma // Orchid // Skip Monday (15/05)</t>
  </si>
  <si>
    <t>Aarti Malhotra</t>
  </si>
  <si>
    <t>T-10/1402, Orchid Petals</t>
  </si>
  <si>
    <t>Friday and Tuesday//Thursday and Sunday//Like-- Spray daisy//Rajni and guldawari(28/05) Sunday and Thursday(20/06) Shift to Joy package after this(15/09) Skip 1 week(13/01)  Holy Change(16/03) Sent 1 replacement today(05/04) Hold n start from June(04/05) Hold and start after 20th June(06/06) Sent Replacement today(05/07) Do Not Count last Delivery(18/07) NO SPRAY DAISY(23/08) Skip coming Delivery (28/09)Today flowers returned-send on next del date (09/12) Start after 31st // Replace last flowers (28/01) Skip 1 week (02/06) No Del till 28th June (11/06) Skip this friday (06/03) Skip 1 week 911/03) Paytm from Vineet R K (26/10) Hold till 2nd July (31/05)</t>
  </si>
  <si>
    <t>Reina Legal</t>
  </si>
  <si>
    <t>!st Floor, Aihp Palms, 242 &amp; 243 Udyog Vihar Phase 5</t>
  </si>
  <si>
    <t>1st Del today and then evevry Friday Eve (06/07)</t>
  </si>
  <si>
    <t>Supriya Pahwa</t>
  </si>
  <si>
    <t>N6/004, Paras Irene, Sec 70 A</t>
  </si>
  <si>
    <t xml:space="preserve">Paytm From Abhinav Mehra </t>
  </si>
  <si>
    <t>Rachit Bansal</t>
  </si>
  <si>
    <t>T-K/1501, Emaar Palm Drive</t>
  </si>
  <si>
    <t>Skip 3 weeks from 25th (16/07) Skip  a week (11/09) Skip 1 week (02/10) Today hold n send on Sunday (10/10) Skip 1 week (08/01) Todau Hold (16/01) Skip 1 week (12/02) Skip 1 week (19/03) Skip 1 week (15/04)</t>
  </si>
  <si>
    <t>1  del of this cycle   -  1-cycles pmnt   Pending - Collect 1400</t>
  </si>
  <si>
    <t>B56393</t>
  </si>
  <si>
    <t>Sangeeta Sharma</t>
  </si>
  <si>
    <t>T-7/1702, M3M Merlin, Sec 67</t>
  </si>
  <si>
    <t>By 10 AM</t>
  </si>
  <si>
    <t>Bouquet</t>
  </si>
  <si>
    <t>40 Red n P Rose in Full Tissue Wrap</t>
  </si>
  <si>
    <t>1  del of this cycle   -  1-cycles pmnt   Pending - Collect 2500</t>
  </si>
  <si>
    <t xml:space="preserve">
Manisha Kahai
</t>
  </si>
  <si>
    <t xml:space="preserve">Flat number 41, Jasminium 1, Vatika City, Sector 49 (Sohna Road)    Sec 49 Gurgaon  122001 
</t>
  </si>
  <si>
    <t>Day changed to Sat (25/02)Return-send tomorrow(03/11)Hold and start from 11th may(06/04) FF Sold today(03/08) FF Sold today n payment recvd(07/09) Holy Change(16/03) FF Next(20/03) Paytm from Manisha Singh (09/06) 250 returned via paytm (03/.11) Today Returned (18/07)</t>
  </si>
  <si>
    <t>B56402</t>
  </si>
  <si>
    <t>Alok divatia -- After 10 AM</t>
  </si>
  <si>
    <t>BLC 263, 26th Floor, Tower C, The Belaire</t>
  </si>
  <si>
    <t>Golf Course Road</t>
  </si>
  <si>
    <t>By 10:30 AM</t>
  </si>
  <si>
    <t>Amit Jindal</t>
  </si>
  <si>
    <t>T-5/1401, Vipul Greens</t>
  </si>
  <si>
    <t>9:30 AM to 2 PM</t>
  </si>
  <si>
    <t>3 Oriental every week // Today Hold n returned (12/06)</t>
  </si>
  <si>
    <t>B56401</t>
  </si>
  <si>
    <t xml:space="preserve">Anjali Vipul </t>
  </si>
  <si>
    <t>98999 20275</t>
  </si>
  <si>
    <t>Tower 7 Flat 1102, Vipul Greens Sohna road Gurgaon sector 48</t>
  </si>
  <si>
    <t>4 Sunflower or 3 Yel Asiatic</t>
  </si>
  <si>
    <t>1  del of this cycle   -  1-cycles pmnt   Pending - Collect 600</t>
  </si>
  <si>
    <t>Anshu Mittal Roy</t>
  </si>
  <si>
    <t xml:space="preserve"> 97172 00986</t>
  </si>
  <si>
    <t xml:space="preserve"> B203 Godrej 101, Sector 79
</t>
  </si>
  <si>
    <t>15 % Discount (26/07) 3 Month with 10% discount (24/08) Skip 1 week (19/12) Skip 1 week (19/02) Skip 2 week (16/05) Today Returned (12/06) Hold today (19/06)</t>
  </si>
  <si>
    <t>Arshdeep Kaur</t>
  </si>
  <si>
    <t>B-3103, Ireo Victory Valley, Sec 67</t>
  </si>
  <si>
    <t>NO Rose (06/04) Send replacement tom (04/06) Skip next Friday delivery (23/09) Skip 1 week (28/09) Skip 1 week (27/10) Paytm From Karandeep Harjit Singh (26/01) Skip 1 week (28/03) Skip 1 week (18/04) Skip tom (07/05)  Skip 2 week (06/06)</t>
  </si>
  <si>
    <t>ROSE</t>
  </si>
  <si>
    <t>Kamla Anand</t>
  </si>
  <si>
    <t>83  Jasminium 1,Vatika city 
Sec 49</t>
  </si>
  <si>
    <t>Skip tom (09/04)</t>
  </si>
  <si>
    <t>Lakshmi Shankaran</t>
  </si>
  <si>
    <t>C2/202,  Sovereign Vatika City</t>
  </si>
  <si>
    <t>Friday n Monday//Skip 1 week n send 1 Flower foo with next del (11/01) Skip 1 week and send 1 Flowers food box next (21/01) Send 1 FF Tom (05/02) Red n Yel Gerbera Tom (06/04) Sent a replacement today (08/04) same bliss package (27/04) Send change tom (01/06) Send replacement today due to Glad (17/07) No Bliss (27/07) Skip 1 week (29/11) Skip 1 week (23/03) Hold - start from 7th June (16/05) do not count last del (01/11) Today received 900 extra (05/12) Skip 1 week (09/01) Skip 1 week (21/01) Skip tom (22/05) Skip 2 weeks after 8th June (04/06) Today returned (27/06) Skip 1 week (05/11) Skip tom (15/01) Skip 1 week (13/95) Skip 1 week (28/05) Skip 1 week (16/06)</t>
  </si>
  <si>
    <t>GERBERA n GLAD</t>
  </si>
  <si>
    <t>1  del of this cycle   -  1-cycles pmnt   Pending - Collect 2250</t>
  </si>
  <si>
    <t>Monica Bakshi</t>
  </si>
  <si>
    <t>K-1005, Palm Drive</t>
  </si>
  <si>
    <t>No Gerbera (02/12)</t>
  </si>
  <si>
    <t xml:space="preserve">GERBERA </t>
  </si>
  <si>
    <t>1  del of this cycle   -  1-cycles pmnt   Pending - Collect 999</t>
  </si>
  <si>
    <t>Nandita Sharma</t>
  </si>
  <si>
    <t>Sovereign-2/102, Vatila City</t>
  </si>
  <si>
    <t>Hld till 8th Mar (22/02)</t>
  </si>
  <si>
    <t>Nikhita Basu</t>
  </si>
  <si>
    <t>4086, 01st Floor, Amara House, H Block, Ansal Essencia, Sector 67-A</t>
  </si>
  <si>
    <t>Pallabi Dey</t>
  </si>
  <si>
    <t>T-2/403, Uniworld Gardens 1</t>
  </si>
  <si>
    <t>1  del of this cycle   -  1-cycles pmnt   Pending - Collect 1950</t>
  </si>
  <si>
    <t>Rachna Prasad</t>
  </si>
  <si>
    <t>N-3/202, Paras Irene Appartments, Sec 70 A</t>
  </si>
  <si>
    <t>1000 cash and 450 via paytm (01/11) This week send on Sunday (09/02) Paytm From Outside Edge (28/02) Replacement tom (09/03)</t>
  </si>
  <si>
    <t>No Flowers on 13th -send on 15th Feb (09/02)</t>
  </si>
  <si>
    <t>Rasmeeta Nayak</t>
  </si>
  <si>
    <t>H-504, Park View City - 2, Sohna Road</t>
  </si>
  <si>
    <t xml:space="preserve"> NO GLAD(12/04)  NO BOP(12/12)  NO HELICONIA(24/12)  Today returned-send tom(20/05) Return today and skip 1 week(09/09) Double Del tom with Lily and Rajnigandha (20/10) Today Returned -- send on 16th (14/07) Hold n start from 22nd Sep (08/08) Skip 2 week (16/03) Send 4th Del on Wednesday not on Friday (23/10) Today Returned (21/02) Skip n send on Monday (11/03) Skip 1 week (27/03) Skip 1 week (02/07) Hold n skip 2 weeks // hold she will confirm (19/12)</t>
  </si>
  <si>
    <t>Ridhii</t>
  </si>
  <si>
    <t>E-802, Shree Vardhman Green Court, Sec 90</t>
  </si>
  <si>
    <t>12 Del Payment done today (18/03) Hold n start from Aug(12/06) One Payment Received today (09/11)</t>
  </si>
  <si>
    <t>Shilpa Ravikumar</t>
  </si>
  <si>
    <t>A-902, Palm Premier, Emaar Palm Hills, OPP Hyatt Regency, Sec 77</t>
  </si>
  <si>
    <t>Hold till 7th Jan (25/01) Hold till 17th June (01/06)</t>
  </si>
  <si>
    <t>Shilpi Tibrewal</t>
  </si>
  <si>
    <t>Tower-A/3803, Ireo Victory Valley, Sec 67</t>
  </si>
  <si>
    <t>Either Rose or Car// Normal Flowers (04/05) Sent replacement today (26/08) Return yesterday (17/08) Today returned (25/07)</t>
  </si>
  <si>
    <t>1  del of this cycle   -  0-cycles pmnt   CompletedNO COLLECTION-we have extra money - Collect -50</t>
  </si>
  <si>
    <t>Surath Singh</t>
  </si>
  <si>
    <t>B-2205, Ireo Victory Valley,Sec-67</t>
  </si>
  <si>
    <t xml:space="preserve"> NO GERBERA n CAR(11/10)  NO GULDAWARI(23/02)  Holy Change(16/03) Return-send next week(24/06) Returnedas payment was not done (28/04) Paytm From Franky Arora // Hold today as paymenht not paid (14/07) Hold due to non payment (21/07) Hold due to non payment (01/12) Today returned (21/06) Hold (20/06) Return today (27/03) Paytm From Collectosh (29/05)</t>
  </si>
  <si>
    <t>1  del of this cycle   -  1-cycles pmnt   Pending - Collect 2750</t>
  </si>
  <si>
    <t>Vismit Sharma</t>
  </si>
  <si>
    <t>R-164, DLF Ultima, Sec 81</t>
  </si>
  <si>
    <t>Skip 2 week (22/02) Skip 1 week (12/03) Skip 1 week (10/03) Skip 1 week (24/07) Skip 1 week (04/09) Skip 2 week (25/09) Hold n start from Jan (12/12)</t>
  </si>
  <si>
    <t>Pre Flowesr 4</t>
  </si>
  <si>
    <t>Pre Flowers 3</t>
  </si>
  <si>
    <t>pre Flowers 2</t>
  </si>
  <si>
    <t>Pre Flowers 1</t>
  </si>
  <si>
    <t xml:space="preserve">Pre Flowers </t>
  </si>
  <si>
    <t>Flower 1</t>
  </si>
  <si>
    <t>Stick</t>
  </si>
  <si>
    <t>Flower 2</t>
  </si>
  <si>
    <t>Flower 3</t>
  </si>
  <si>
    <t>Consumables</t>
  </si>
  <si>
    <t>Delivered By</t>
  </si>
  <si>
    <t>Priority</t>
  </si>
  <si>
    <t>Feedback</t>
  </si>
  <si>
    <t>Payment</t>
  </si>
  <si>
    <t>6  del of this cycle   -  0-cycles pmnt   Completed - Collect 0</t>
  </si>
  <si>
    <t>4  del of this cycle   -  1-cycles pmnt   Pending - Collect 4850</t>
  </si>
  <si>
    <t>8  del of this cycle   -  0-cycles pmnt   Completed - Collect 0</t>
  </si>
  <si>
    <t>7  del of this cycle   -  0-cycles pmnt   Completed - Collect 0</t>
  </si>
  <si>
    <t>6  del of this cycle   -  1-cycles pmnt   Pending - Collect 2300</t>
  </si>
  <si>
    <t>6  del of this cycle   -  0-cycles pmnt   In Process - Collect 0</t>
  </si>
  <si>
    <t>5  del of this cycle   -  0-cycles pmnt   Completed - Collect 0</t>
  </si>
  <si>
    <t>5  del of this cycle   -  0-cycles pmnt   Complimentary - Collect 0</t>
  </si>
  <si>
    <t>5  del of this cycle   -  1-cycles pmnt   Pending - Collect 3950</t>
  </si>
  <si>
    <t>2  del of this cycle   -  1-cycles pmnt   Pending - Collect 1600</t>
  </si>
  <si>
    <t>2  del of this cycle   -  1-cycles pmnt   Pending - Collect 3000</t>
  </si>
  <si>
    <t>P n W Glad (14 Inch )</t>
  </si>
  <si>
    <t>Sunflower ( 12 Inch)</t>
  </si>
  <si>
    <t>Rajni ( 14 Inch )</t>
  </si>
  <si>
    <t>P n W Glad ( 14 Inch )</t>
  </si>
  <si>
    <t>G n W Car ( 14 Inch )</t>
  </si>
  <si>
    <t>O Asiatic ( 14 Inch )</t>
  </si>
  <si>
    <t>BOP ( 15 Inch )</t>
  </si>
  <si>
    <t>G n W Car  ( 14 Inch )</t>
  </si>
  <si>
    <t xml:space="preserve">B Orchid </t>
  </si>
  <si>
    <t>Mix Alstroemeria ( 12 Inch )</t>
  </si>
  <si>
    <t>P n Y Gerbera ( 12 Inch )</t>
  </si>
  <si>
    <t>Anukriti Tiwari</t>
  </si>
  <si>
    <t>H. No. 2134, 2nd Floor, E Block, Ansal Essencia, Sec 67</t>
  </si>
  <si>
    <t>Paytm From Sankalp Adhyapak (20/01) Returen today and sned on Monday (23/01)</t>
  </si>
  <si>
    <t>Grass</t>
  </si>
  <si>
    <t>FF Sachet + Grass</t>
  </si>
  <si>
    <t>R Rose</t>
  </si>
  <si>
    <t>Full Tissue Wrap</t>
  </si>
  <si>
    <t>Areca Palm + Grass + FF Sachet</t>
  </si>
  <si>
    <t>R Anthurium + Mix Oriental + Y Orchid + R n P Car + BOP + Yel Button Daisy + G Button Daisy + G Amaranthus</t>
  </si>
  <si>
    <t>5 + 5 + 20 + 30 + 3 + 5 + 5 + 10</t>
  </si>
  <si>
    <t>P Spray Daisy ( 14 Inch )</t>
  </si>
  <si>
    <t>Y Asiatic ( 14 Inch )</t>
  </si>
  <si>
    <t>P n Y Spray Daisy ( 14 Inch )</t>
  </si>
  <si>
    <t xml:space="preserve">P n W Spray Daisy ( 14  Inch ) </t>
  </si>
  <si>
    <t xml:space="preserve">W Oriental </t>
  </si>
  <si>
    <t>1 Gypsola</t>
  </si>
  <si>
    <t>2 Gypsola + FF Sachet</t>
  </si>
  <si>
    <t xml:space="preserve">2 Gypsola </t>
  </si>
  <si>
    <t>2 Limonium</t>
  </si>
  <si>
    <t>2 Gypsola</t>
  </si>
  <si>
    <t xml:space="preserve">2 Limonium </t>
  </si>
  <si>
    <t>Spray Daisy</t>
  </si>
  <si>
    <t>Alstroemeria</t>
  </si>
  <si>
    <t>Carnation</t>
  </si>
  <si>
    <t>Asiatic</t>
  </si>
  <si>
    <t>Oriental</t>
  </si>
  <si>
    <t>Hydrangea</t>
  </si>
  <si>
    <t>total revenue</t>
  </si>
  <si>
    <t>revenue for the day</t>
  </si>
  <si>
    <t>Total</t>
  </si>
  <si>
    <t>Sticks in bndl</t>
  </si>
  <si>
    <t>Current Cost/bdl</t>
  </si>
  <si>
    <t>bi weekly</t>
  </si>
  <si>
    <t>BPTP Centra 1</t>
  </si>
  <si>
    <t>NA</t>
  </si>
  <si>
    <t>Customized Plans</t>
  </si>
  <si>
    <t>A-2, G Floor</t>
  </si>
  <si>
    <t xml:space="preserve"> left of prev day</t>
  </si>
  <si>
    <t>TO BUY</t>
  </si>
  <si>
    <t>Wastage</t>
  </si>
  <si>
    <t>To buy wth wastage</t>
  </si>
  <si>
    <t>Bundles to buy</t>
  </si>
  <si>
    <t xml:space="preserve">Flowers </t>
  </si>
  <si>
    <t>COST</t>
  </si>
  <si>
    <t>Quantity</t>
  </si>
  <si>
    <t>Rate</t>
  </si>
  <si>
    <t>Arika</t>
  </si>
  <si>
    <t>victoria</t>
  </si>
  <si>
    <t>Murraiya</t>
  </si>
  <si>
    <t>grass</t>
  </si>
  <si>
    <t>Taal Palm</t>
  </si>
  <si>
    <t>Nargis</t>
  </si>
  <si>
    <t>Rose petal</t>
  </si>
  <si>
    <t>Genda</t>
  </si>
  <si>
    <t>Limonium</t>
  </si>
  <si>
    <t>Mogra</t>
  </si>
  <si>
    <t>Gypsy</t>
  </si>
  <si>
    <t>B Daisy</t>
  </si>
  <si>
    <t>Leather Fern</t>
  </si>
  <si>
    <t>Cycus Palm</t>
  </si>
  <si>
    <t>O Marigold Lari</t>
  </si>
  <si>
    <t>Y Marigold Lari</t>
  </si>
  <si>
    <t>Ashok Lari</t>
  </si>
  <si>
    <t>Mogra Lari</t>
  </si>
  <si>
    <t>Rajni Lari</t>
  </si>
  <si>
    <t>Daisy Lari</t>
  </si>
  <si>
    <t>Pls Make in Wine Glass with Money Plant Palm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</si>
</sst>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5" formatCode="&quot;₹&quot;\ #,##0.00"/>
    <numFmt numFmtId="166" formatCode="dd\/mm\/yy"/>
    <numFmt numFmtId="167" formatCode="0.0"/>
  </numFmts>
  <fonts count="27" x14ac:knownFonts="1">
    <font>
      <sz val="11"/>
      <color theme="1"/>
      <name val="Calibri"/>
      <family val="2"/>
      <scheme val="minor"/>
    </font>
    <font>
      <sz val="11"/>
      <color theme="1"/>
      <name val="Calibri"/>
      <family val="2"/>
      <scheme val="minor"/>
    </font>
    <font>
      <b/>
      <sz val="11"/>
      <color theme="0"/>
      <name val="Calibri"/>
      <family val="2"/>
      <scheme val="minor"/>
    </font>
    <font>
      <b/>
      <sz val="11"/>
      <color theme="1"/>
      <name val="Calibri"/>
      <family val="2"/>
      <scheme val="minor"/>
    </font>
    <font>
      <b/>
      <sz val="12"/>
      <name val="Calibri"/>
      <family val="2"/>
    </font>
    <font>
      <b/>
      <i/>
      <sz val="11"/>
      <name val="Calibri"/>
      <family val="2"/>
      <scheme val="minor"/>
    </font>
    <font>
      <b/>
      <sz val="11"/>
      <name val="Calibri"/>
      <family val="2"/>
    </font>
    <font>
      <b/>
      <sz val="22"/>
      <name val="Calibri"/>
      <family val="2"/>
      <scheme val="minor"/>
    </font>
    <font>
      <b/>
      <sz val="11"/>
      <name val="Calibri"/>
      <family val="2"/>
      <scheme val="minor"/>
    </font>
    <font>
      <sz val="11"/>
      <name val="Calibri"/>
      <family val="2"/>
    </font>
    <font>
      <u/>
      <sz val="11"/>
      <color theme="10"/>
      <name val="Calibri"/>
      <family val="2"/>
      <scheme val="minor"/>
    </font>
    <font>
      <b/>
      <sz val="11"/>
      <color indexed="8"/>
      <name val="Calibri"/>
      <family val="2"/>
    </font>
    <font>
      <b/>
      <sz val="11"/>
      <color rgb="FFFFFFFF"/>
      <name val="Calibri"/>
      <family val="2"/>
      <scheme val="minor"/>
    </font>
    <font>
      <b/>
      <sz val="14"/>
      <name val="Calibri"/>
      <family val="2"/>
      <scheme val="minor"/>
    </font>
    <font>
      <i/>
      <sz val="11"/>
      <color theme="1"/>
      <name val="Calibri"/>
      <family val="2"/>
      <scheme val="minor"/>
    </font>
    <font>
      <b/>
      <i/>
      <sz val="11"/>
      <color theme="1"/>
      <name val="Calibri"/>
      <family val="2"/>
      <scheme val="minor"/>
    </font>
    <font>
      <b/>
      <i/>
      <sz val="11"/>
      <color rgb="FF000000"/>
      <name val="Calibri"/>
      <family val="2"/>
      <scheme val="minor"/>
    </font>
    <font>
      <b/>
      <i/>
      <sz val="10"/>
      <color rgb="FF000000"/>
      <name val="Calibri"/>
      <family val="2"/>
      <scheme val="minor"/>
    </font>
    <font>
      <i/>
      <sz val="11"/>
      <color rgb="FF000000"/>
      <name val="Calibri"/>
      <family val="2"/>
      <scheme val="minor"/>
    </font>
    <font>
      <i/>
      <sz val="11"/>
      <name val="Calibri"/>
      <family val="2"/>
      <scheme val="minor"/>
    </font>
    <font>
      <b/>
      <i/>
      <sz val="12"/>
      <color rgb="FF000000"/>
      <name val="Calibri"/>
      <family val="2"/>
      <scheme val="minor"/>
    </font>
    <font>
      <b/>
      <i/>
      <sz val="11"/>
      <color rgb="FF7030A0"/>
      <name val="Calibri"/>
      <family val="2"/>
      <scheme val="minor"/>
    </font>
    <font>
      <i/>
      <sz val="11"/>
      <color rgb="FF7030A0"/>
      <name val="Calibri"/>
      <family val="2"/>
      <scheme val="minor"/>
    </font>
    <font>
      <b/>
      <i/>
      <sz val="11"/>
      <color theme="0"/>
      <name val="Calibri"/>
      <family val="2"/>
      <scheme val="minor"/>
    </font>
    <font>
      <i/>
      <sz val="12"/>
      <color theme="1"/>
      <name val="Calibri"/>
      <family val="2"/>
      <scheme val="minor"/>
    </font>
    <font>
      <sz val="12"/>
      <color theme="1"/>
      <name val="Calibri"/>
      <family val="2"/>
      <scheme val="minor"/>
    </font>
    <font>
      <i/>
      <sz val="10"/>
      <color theme="1"/>
      <name val="Calibri"/>
      <family val="2"/>
      <scheme val="minor"/>
    </font>
  </fonts>
  <fills count="15">
    <fill>
      <patternFill patternType="none"/>
    </fill>
    <fill>
      <patternFill patternType="gray125"/>
    </fill>
    <fill>
      <patternFill patternType="solid">
        <fgColor theme="0"/>
        <bgColor indexed="64"/>
      </patternFill>
    </fill>
    <fill>
      <patternFill patternType="solid">
        <fgColor rgb="FFF6C3FF"/>
        <bgColor indexed="64"/>
      </patternFill>
    </fill>
    <fill>
      <patternFill patternType="solid">
        <fgColor rgb="FFFF0000"/>
        <bgColor indexed="64"/>
      </patternFill>
    </fill>
    <fill>
      <patternFill patternType="solid">
        <fgColor rgb="FFFFFF00"/>
        <bgColor indexed="64"/>
      </patternFill>
    </fill>
    <fill>
      <patternFill patternType="solid">
        <fgColor rgb="FF7030A0"/>
        <bgColor indexed="64"/>
      </patternFill>
    </fill>
    <fill>
      <patternFill patternType="solid">
        <fgColor rgb="FF92D050"/>
        <bgColor indexed="64"/>
      </patternFill>
    </fill>
    <fill>
      <patternFill patternType="solid">
        <fgColor rgb="FFC00000"/>
        <bgColor indexed="64"/>
      </patternFill>
    </fill>
    <fill>
      <patternFill patternType="solid">
        <fgColor theme="9" tint="0.39997558519241921"/>
        <bgColor indexed="64"/>
      </patternFill>
    </fill>
    <fill>
      <patternFill patternType="solid">
        <fgColor rgb="FF00B0F0"/>
        <bgColor indexed="64"/>
      </patternFill>
    </fill>
    <fill>
      <patternFill patternType="solid">
        <fgColor rgb="FFFF99FF"/>
        <bgColor indexed="64"/>
      </patternFill>
    </fill>
    <fill>
      <patternFill patternType="solid">
        <fgColor rgb="FFFFC000"/>
        <bgColor indexed="64"/>
      </patternFill>
    </fill>
    <fill>
      <patternFill patternType="solid">
        <fgColor rgb="FFCC00CC"/>
        <bgColor indexed="64"/>
      </patternFill>
    </fill>
    <fill>
      <patternFill patternType="solid">
        <fgColor theme="4" tint="-0.249977111117893"/>
        <bgColor indexed="64"/>
      </patternFill>
    </fill>
  </fills>
  <borders count="5">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medium">
        <color indexed="64"/>
      </left>
      <right style="thin">
        <color auto="1"/>
      </right>
      <top style="thin">
        <color auto="1"/>
      </top>
      <bottom style="thin">
        <color auto="1"/>
      </bottom>
      <diagonal/>
    </border>
    <border>
      <left style="medium">
        <color indexed="64"/>
      </left>
      <right style="thin">
        <color auto="1"/>
      </right>
      <top style="thin">
        <color auto="1"/>
      </top>
      <bottom/>
      <diagonal/>
    </border>
  </borders>
  <cellStyleXfs count="5">
    <xf numFmtId="0" fontId="0" fillId="0" borderId="0"/>
    <xf numFmtId="9" fontId="1" fillId="0" borderId="0" applyFont="0" applyFill="0" applyBorder="0" applyAlignment="0" applyProtection="0"/>
    <xf numFmtId="0" fontId="1" fillId="0" borderId="0"/>
    <xf numFmtId="0" fontId="10" fillId="0" borderId="0" applyNumberFormat="0" applyFill="0" applyBorder="0" applyAlignment="0" applyProtection="0"/>
    <xf numFmtId="9" fontId="25" fillId="0" borderId="0" applyFont="0" applyFill="0" applyBorder="0" applyAlignment="0" applyProtection="0"/>
  </cellStyleXfs>
  <cellXfs count="76">
    <xf numFmtId="0" fontId="0" fillId="0" borderId="0" xfId="0"/>
    <xf numFmtId="0" fontId="1" fillId="2" borderId="1" xfId="0" applyFont="1" applyFill="1" applyBorder="1" applyAlignment="1">
      <alignment horizontal="center" vertical="center" wrapText="1" shrinkToFit="1"/>
    </xf>
    <xf numFmtId="0" fontId="4" fillId="2" borderId="1" xfId="2" applyFont="1" applyFill="1" applyBorder="1" applyAlignment="1">
      <alignment horizontal="center" vertical="center" wrapText="1" shrinkToFit="1"/>
    </xf>
    <xf numFmtId="1" fontId="4" fillId="2" borderId="1" xfId="2" applyNumberFormat="1" applyFont="1" applyFill="1" applyBorder="1" applyAlignment="1">
      <alignment horizontal="center" vertical="center" wrapText="1" shrinkToFit="1"/>
    </xf>
    <xf numFmtId="0" fontId="6" fillId="2" borderId="1" xfId="2" applyFont="1" applyFill="1" applyBorder="1" applyAlignment="1">
      <alignment horizontal="center" vertical="center" wrapText="1" shrinkToFit="1"/>
    </xf>
    <xf numFmtId="165" fontId="4" fillId="2" borderId="1" xfId="2" applyNumberFormat="1" applyFont="1" applyFill="1" applyBorder="1" applyAlignment="1">
      <alignment horizontal="center" vertical="center" wrapText="1" shrinkToFit="1"/>
    </xf>
    <xf numFmtId="166" fontId="6" fillId="2" borderId="1" xfId="2" applyNumberFormat="1" applyFont="1" applyFill="1" applyBorder="1" applyAlignment="1">
      <alignment horizontal="center" vertical="center" wrapText="1" shrinkToFit="1"/>
    </xf>
    <xf numFmtId="0" fontId="7" fillId="2" borderId="1" xfId="0" applyFont="1" applyFill="1" applyBorder="1" applyAlignment="1">
      <alignment horizontal="center" vertical="center" wrapText="1"/>
    </xf>
    <xf numFmtId="0" fontId="8" fillId="2" borderId="1" xfId="0" applyFont="1" applyFill="1" applyBorder="1" applyAlignment="1">
      <alignment horizontal="center" vertical="center" wrapText="1"/>
    </xf>
    <xf numFmtId="0" fontId="1" fillId="3" borderId="1" xfId="0" applyFont="1" applyFill="1" applyBorder="1" applyAlignment="1">
      <alignment horizontal="center" vertical="center" wrapText="1"/>
    </xf>
    <xf numFmtId="0" fontId="0" fillId="2" borderId="1" xfId="0" applyFill="1" applyBorder="1" applyAlignment="1">
      <alignment horizontal="center" vertical="center" wrapText="1"/>
    </xf>
    <xf numFmtId="0" fontId="9" fillId="2" borderId="1" xfId="2" applyFont="1" applyFill="1" applyBorder="1" applyAlignment="1">
      <alignment horizontal="center" vertical="center" wrapText="1" shrinkToFit="1"/>
    </xf>
    <xf numFmtId="0" fontId="1" fillId="2" borderId="1" xfId="0" applyFont="1" applyFill="1" applyBorder="1" applyAlignment="1">
      <alignment horizontal="center" vertical="center" wrapText="1"/>
    </xf>
    <xf numFmtId="0" fontId="0" fillId="2" borderId="1" xfId="0" applyFill="1" applyBorder="1" applyAlignment="1">
      <alignment horizontal="center" vertical="center" wrapText="1" shrinkToFit="1"/>
    </xf>
    <xf numFmtId="0" fontId="0" fillId="0" borderId="1" xfId="0" applyBorder="1" applyAlignment="1">
      <alignment wrapText="1" shrinkToFit="1"/>
    </xf>
    <xf numFmtId="0" fontId="11" fillId="2" borderId="1" xfId="0" applyFont="1" applyFill="1" applyBorder="1" applyAlignment="1">
      <alignment horizontal="center" vertical="center" wrapText="1"/>
    </xf>
    <xf numFmtId="0" fontId="12" fillId="4" borderId="1" xfId="0" applyFont="1" applyFill="1" applyBorder="1" applyAlignment="1">
      <alignment horizontal="center" vertical="center" wrapText="1"/>
    </xf>
    <xf numFmtId="0" fontId="9" fillId="5" borderId="1" xfId="2" applyFont="1" applyFill="1" applyBorder="1" applyAlignment="1">
      <alignment horizontal="center" vertical="center" wrapText="1" shrinkToFit="1"/>
    </xf>
    <xf numFmtId="0" fontId="0" fillId="5" borderId="1" xfId="0" applyFill="1" applyBorder="1" applyAlignment="1">
      <alignment horizontal="center" vertical="center" wrapText="1"/>
    </xf>
    <xf numFmtId="0" fontId="2" fillId="4" borderId="1" xfId="0" applyFont="1" applyFill="1" applyBorder="1" applyAlignment="1">
      <alignment horizontal="center" vertical="center" wrapText="1"/>
    </xf>
    <xf numFmtId="0" fontId="1" fillId="3" borderId="1" xfId="0" applyFont="1" applyFill="1" applyBorder="1" applyAlignment="1">
      <alignment horizontal="center" vertical="center" wrapText="1" shrinkToFit="1"/>
    </xf>
    <xf numFmtId="0" fontId="8" fillId="6" borderId="1" xfId="0" applyFont="1" applyFill="1" applyBorder="1" applyAlignment="1">
      <alignment horizontal="center" vertical="center" wrapText="1"/>
    </xf>
    <xf numFmtId="0" fontId="0" fillId="7" borderId="1" xfId="0" applyFill="1" applyBorder="1" applyAlignment="1">
      <alignment horizontal="center" vertical="center" wrapText="1" shrinkToFit="1"/>
    </xf>
    <xf numFmtId="0" fontId="0" fillId="2" borderId="2" xfId="0" applyFill="1" applyBorder="1" applyAlignment="1">
      <alignment horizontal="center" vertical="center" wrapText="1"/>
    </xf>
    <xf numFmtId="0" fontId="0" fillId="7" borderId="1" xfId="0" applyFill="1" applyBorder="1" applyAlignment="1">
      <alignment horizontal="center" vertical="center" wrapText="1"/>
    </xf>
    <xf numFmtId="0" fontId="2" fillId="6" borderId="1" xfId="0" applyFont="1" applyFill="1" applyBorder="1" applyAlignment="1">
      <alignment horizontal="center" vertical="center" wrapText="1"/>
    </xf>
    <xf numFmtId="0" fontId="0" fillId="2" borderId="2" xfId="0" applyFill="1" applyBorder="1" applyAlignment="1">
      <alignment horizontal="center" vertical="center" wrapText="1" shrinkToFit="1"/>
    </xf>
    <xf numFmtId="0" fontId="13" fillId="2" borderId="1" xfId="0" applyFont="1" applyFill="1" applyBorder="1" applyAlignment="1">
      <alignment horizontal="center" vertical="center" wrapText="1"/>
    </xf>
    <xf numFmtId="0" fontId="12" fillId="8" borderId="1" xfId="0" applyFont="1" applyFill="1" applyBorder="1" applyAlignment="1">
      <alignment horizontal="center" vertical="center" wrapText="1"/>
    </xf>
    <xf numFmtId="0" fontId="14" fillId="0" borderId="1" xfId="0" applyFont="1" applyBorder="1" applyAlignment="1">
      <alignment wrapText="1" shrinkToFit="1"/>
    </xf>
    <xf numFmtId="0" fontId="15" fillId="0" borderId="1" xfId="0" applyFont="1" applyBorder="1" applyAlignment="1">
      <alignment wrapText="1" shrinkToFit="1"/>
    </xf>
    <xf numFmtId="0" fontId="16" fillId="0" borderId="3" xfId="2" applyFont="1" applyBorder="1" applyAlignment="1">
      <alignment horizontal="center" vertical="center" wrapText="1"/>
    </xf>
    <xf numFmtId="0" fontId="16" fillId="2" borderId="1" xfId="2" applyFont="1" applyFill="1" applyBorder="1" applyAlignment="1">
      <alignment horizontal="center" vertical="center" wrapText="1"/>
    </xf>
    <xf numFmtId="0" fontId="16" fillId="0" borderId="1" xfId="2" applyFont="1" applyBorder="1" applyAlignment="1">
      <alignment horizontal="center" vertical="center" wrapText="1"/>
    </xf>
    <xf numFmtId="0" fontId="14" fillId="0" borderId="0" xfId="0" applyFont="1" applyAlignment="1">
      <alignment horizontal="center" vertical="center" wrapText="1"/>
    </xf>
    <xf numFmtId="0" fontId="17" fillId="0" borderId="0" xfId="2" applyFont="1" applyAlignment="1">
      <alignment horizontal="center" vertical="center" wrapText="1"/>
    </xf>
    <xf numFmtId="0" fontId="18" fillId="0" borderId="3" xfId="2" applyFont="1" applyBorder="1" applyAlignment="1">
      <alignment horizontal="center" vertical="center" wrapText="1"/>
    </xf>
    <xf numFmtId="0" fontId="18" fillId="0" borderId="1" xfId="2" applyFont="1" applyBorder="1" applyAlignment="1">
      <alignment horizontal="center" vertical="center" wrapText="1"/>
    </xf>
    <xf numFmtId="1" fontId="14" fillId="0" borderId="0" xfId="0" applyNumberFormat="1" applyFont="1" applyAlignment="1">
      <alignment horizontal="center" vertical="center" wrapText="1"/>
    </xf>
    <xf numFmtId="0" fontId="19" fillId="0" borderId="1" xfId="2" applyFont="1" applyBorder="1" applyAlignment="1">
      <alignment horizontal="center" vertical="center" wrapText="1"/>
    </xf>
    <xf numFmtId="0" fontId="14" fillId="0" borderId="1" xfId="0" applyFont="1" applyBorder="1" applyAlignment="1">
      <alignment horizontal="center" vertical="center" wrapText="1"/>
    </xf>
    <xf numFmtId="2" fontId="18" fillId="0" borderId="1" xfId="2" applyNumberFormat="1" applyFont="1" applyBorder="1" applyAlignment="1">
      <alignment horizontal="center" vertical="center" wrapText="1"/>
    </xf>
    <xf numFmtId="1" fontId="18" fillId="0" borderId="0" xfId="2" applyNumberFormat="1" applyFont="1" applyAlignment="1">
      <alignment horizontal="center" vertical="center" wrapText="1"/>
    </xf>
    <xf numFmtId="1" fontId="19" fillId="0" borderId="1" xfId="2" applyNumberFormat="1" applyFont="1" applyBorder="1" applyAlignment="1">
      <alignment horizontal="center" vertical="center" wrapText="1"/>
    </xf>
    <xf numFmtId="0" fontId="18" fillId="5" borderId="3" xfId="2" applyFont="1" applyFill="1" applyBorder="1" applyAlignment="1">
      <alignment horizontal="center" vertical="center" wrapText="1"/>
    </xf>
    <xf numFmtId="0" fontId="18" fillId="9" borderId="1" xfId="2" applyFont="1" applyFill="1" applyBorder="1" applyAlignment="1">
      <alignment horizontal="center" vertical="center" wrapText="1"/>
    </xf>
    <xf numFmtId="0" fontId="16" fillId="9" borderId="3" xfId="2" applyFont="1" applyFill="1" applyBorder="1" applyAlignment="1">
      <alignment horizontal="center" vertical="center" wrapText="1"/>
    </xf>
    <xf numFmtId="0" fontId="20" fillId="5" borderId="3" xfId="2" applyFont="1" applyFill="1" applyBorder="1" applyAlignment="1">
      <alignment horizontal="center" vertical="center" wrapText="1"/>
    </xf>
    <xf numFmtId="0" fontId="18" fillId="10" borderId="1" xfId="2" applyFont="1" applyFill="1" applyBorder="1" applyAlignment="1">
      <alignment horizontal="center" vertical="center" wrapText="1"/>
    </xf>
    <xf numFmtId="1" fontId="14" fillId="0" borderId="0" xfId="1" applyNumberFormat="1" applyFont="1" applyAlignment="1">
      <alignment horizontal="center" vertical="center" wrapText="1"/>
    </xf>
    <xf numFmtId="0" fontId="20" fillId="2" borderId="3" xfId="2" applyFont="1" applyFill="1" applyBorder="1" applyAlignment="1">
      <alignment horizontal="center" vertical="center" wrapText="1"/>
    </xf>
    <xf numFmtId="0" fontId="16" fillId="7" borderId="3" xfId="2" applyFont="1" applyFill="1" applyBorder="1" applyAlignment="1">
      <alignment horizontal="center" vertical="center" wrapText="1"/>
    </xf>
    <xf numFmtId="0" fontId="16" fillId="7" borderId="1" xfId="2" applyFont="1" applyFill="1" applyBorder="1" applyAlignment="1">
      <alignment horizontal="center" vertical="center" wrapText="1"/>
    </xf>
    <xf numFmtId="0" fontId="16" fillId="5" borderId="3" xfId="2" applyFont="1" applyFill="1" applyBorder="1" applyAlignment="1">
      <alignment horizontal="center" vertical="center" wrapText="1"/>
    </xf>
    <xf numFmtId="1" fontId="16" fillId="0" borderId="1" xfId="2" applyNumberFormat="1" applyFont="1" applyBorder="1" applyAlignment="1">
      <alignment horizontal="center" vertical="center" wrapText="1"/>
    </xf>
    <xf numFmtId="9" fontId="18" fillId="0" borderId="1" xfId="2" applyNumberFormat="1" applyFont="1" applyBorder="1" applyAlignment="1">
      <alignment horizontal="center" vertical="center" wrapText="1"/>
    </xf>
    <xf numFmtId="1" fontId="18" fillId="0" borderId="1" xfId="2" applyNumberFormat="1" applyFont="1" applyBorder="1" applyAlignment="1">
      <alignment horizontal="center" vertical="center" wrapText="1"/>
    </xf>
    <xf numFmtId="167" fontId="18" fillId="0" borderId="1" xfId="2" applyNumberFormat="1" applyFont="1" applyBorder="1" applyAlignment="1">
      <alignment horizontal="center" vertical="center" wrapText="1"/>
    </xf>
    <xf numFmtId="0" fontId="16" fillId="4" borderId="3" xfId="2" applyFont="1" applyFill="1" applyBorder="1" applyAlignment="1">
      <alignment horizontal="center" vertical="center" wrapText="1"/>
    </xf>
    <xf numFmtId="0" fontId="18" fillId="4" borderId="1" xfId="2" applyFont="1" applyFill="1" applyBorder="1" applyAlignment="1">
      <alignment horizontal="center" vertical="center" wrapText="1"/>
    </xf>
    <xf numFmtId="0" fontId="5" fillId="11" borderId="3" xfId="2" applyFont="1" applyFill="1" applyBorder="1" applyAlignment="1">
      <alignment horizontal="center" vertical="center" wrapText="1"/>
    </xf>
    <xf numFmtId="0" fontId="19" fillId="11" borderId="1" xfId="2" applyFont="1" applyFill="1" applyBorder="1" applyAlignment="1">
      <alignment horizontal="center" vertical="center" wrapText="1"/>
    </xf>
    <xf numFmtId="0" fontId="0" fillId="0" borderId="0" xfId="0" applyAlignment="1">
      <alignment horizontal="center"/>
    </xf>
    <xf numFmtId="0" fontId="18" fillId="5" borderId="1" xfId="2" applyFont="1" applyFill="1" applyBorder="1" applyAlignment="1">
      <alignment horizontal="center" vertical="center" wrapText="1"/>
    </xf>
    <xf numFmtId="0" fontId="16" fillId="12" borderId="3" xfId="2" applyFont="1" applyFill="1" applyBorder="1" applyAlignment="1">
      <alignment horizontal="center" vertical="center" wrapText="1"/>
    </xf>
    <xf numFmtId="0" fontId="18" fillId="12" borderId="1" xfId="2" applyFont="1" applyFill="1" applyBorder="1" applyAlignment="1">
      <alignment horizontal="center" vertical="center" wrapText="1"/>
    </xf>
    <xf numFmtId="0" fontId="21" fillId="13" borderId="3" xfId="2" applyFont="1" applyFill="1" applyBorder="1" applyAlignment="1">
      <alignment horizontal="center" vertical="center" wrapText="1"/>
    </xf>
    <xf numFmtId="0" fontId="22" fillId="13" borderId="1" xfId="2" applyFont="1" applyFill="1" applyBorder="1" applyAlignment="1">
      <alignment horizontal="center" vertical="center" wrapText="1"/>
    </xf>
    <xf numFmtId="0" fontId="16" fillId="14" borderId="3" xfId="2" applyFont="1" applyFill="1" applyBorder="1" applyAlignment="1">
      <alignment horizontal="center" vertical="center" wrapText="1"/>
    </xf>
    <xf numFmtId="0" fontId="23" fillId="14" borderId="1" xfId="2" applyFont="1" applyFill="1" applyBorder="1" applyAlignment="1">
      <alignment horizontal="center" vertical="center" wrapText="1"/>
    </xf>
    <xf numFmtId="0" fontId="24" fillId="0" borderId="4" xfId="0" applyFont="1" applyBorder="1" applyAlignment="1">
      <alignment horizontal="center" vertical="center" wrapText="1"/>
    </xf>
    <xf numFmtId="0" fontId="24" fillId="0" borderId="1" xfId="0" applyFont="1" applyBorder="1" applyAlignment="1">
      <alignment horizontal="center" vertical="center" wrapText="1"/>
    </xf>
    <xf numFmtId="9" fontId="14" fillId="0" borderId="0" xfId="4" applyFont="1" applyAlignment="1">
      <alignment horizontal="center" vertical="center" wrapText="1"/>
    </xf>
    <xf numFmtId="0" fontId="15" fillId="0" borderId="0" xfId="0" applyFont="1" applyAlignment="1">
      <alignment horizontal="center" vertical="center" wrapText="1"/>
    </xf>
    <xf numFmtId="0" fontId="26" fillId="0" borderId="0" xfId="0" applyFont="1" applyAlignment="1">
      <alignment horizontal="center" vertical="center" wrapText="1"/>
    </xf>
    <xf numFmtId="0" fontId="14" fillId="0" borderId="0" xfId="0" quotePrefix="1" applyFont="1" applyAlignment="1">
      <alignment horizontal="center" vertical="center" wrapText="1"/>
    </xf>
  </cellXfs>
  <cellStyles count="5">
    <cellStyle name="Hyperlink 2" xfId="3" xr:uid="{0A30303C-FBAA-4685-8DAA-500BA1621EFB}"/>
    <cellStyle name="Normal" xfId="0" builtinId="0"/>
    <cellStyle name="Normal 2" xfId="2" xr:uid="{F16A091B-22EC-46A8-B10E-066B1F70AFD3}"/>
    <cellStyle name="Percent" xfId="1" builtinId="5"/>
    <cellStyle name="Percent 2" xfId="4" xr:uid="{DBCE6B89-58DC-4651-AAB3-859B4EE19D16}"/>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externalLink" Target="externalLinks/externalLink1.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externalLink" Target="externalLinks/externalLink2.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https://d.docs.live.net/f90bce48fe946bb5/Desktop/Final%20Feedback%20June%202026%20(31).xlsx" TargetMode="External"/><Relationship Id="rId1" Type="http://schemas.openxmlformats.org/officeDocument/2006/relationships/externalLinkPath" Target="Final%20Feedback%20June%202026%20(31).xlsx" TargetMode="External"/></Relationships>
</file>

<file path=xl/externalLinks/_rels/externalLink2.xml.rels><?xml version="1.0" encoding="UTF-8" standalone="yes"?>
<Relationships xmlns="http://schemas.openxmlformats.org/package/2006/relationships"><Relationship Id="rId2" Type="http://schemas.openxmlformats.org/officeDocument/2006/relationships/externalLinkPath" Target="file:///C:\Users\Amit%20Tripathi\Downloads\Feedback%20July%2026%20(11).xlsx" TargetMode="External"/><Relationship Id="rId1" Type="http://schemas.openxmlformats.org/officeDocument/2006/relationships/externalLinkPath" Target="file:///C:\Users\Amit%20Tripathi\Downloads\Feedback%20July%2026%20(11).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01-06-26"/>
      <sheetName val="02-06-26"/>
      <sheetName val="03-06-26"/>
      <sheetName val="04-06-26"/>
      <sheetName val="05-06-26"/>
      <sheetName val="06-6-26"/>
      <sheetName val=" 07-06-26"/>
      <sheetName val="08-06-26"/>
      <sheetName val="09-06-26"/>
      <sheetName val="10-06-26"/>
      <sheetName val="11-06-26"/>
      <sheetName val="12-06-26"/>
      <sheetName val="13-06-26"/>
      <sheetName val="14-06-26"/>
      <sheetName val="15-06-26"/>
      <sheetName val="16-06-26"/>
      <sheetName val="17-06-26"/>
      <sheetName val="18-06-26"/>
      <sheetName val="19-06-26"/>
      <sheetName val="20-06-26"/>
      <sheetName val="21-06-26"/>
      <sheetName val="22-06-26"/>
      <sheetName val="23-06-26"/>
      <sheetName val="24-06-26"/>
      <sheetName val="25-06-26"/>
      <sheetName val="26-06-26"/>
      <sheetName val="27-06-26"/>
      <sheetName val="28-06-26"/>
      <sheetName val="29-06-26"/>
      <sheetName val="30-06-26"/>
      <sheetName val="Sheet2"/>
    </sheetNames>
    <sheetDataSet>
      <sheetData sheetId="0"/>
      <sheetData sheetId="1"/>
      <sheetData sheetId="2"/>
      <sheetData sheetId="3"/>
      <sheetData sheetId="4">
        <row r="2">
          <cell r="A2">
            <v>3312</v>
          </cell>
          <cell r="B2" t="str">
            <v>Pallabi Dey</v>
          </cell>
          <cell r="C2">
            <v>9953755297</v>
          </cell>
          <cell r="D2" t="str">
            <v>T-2/403, Uniworld Gardens 1</v>
          </cell>
          <cell r="E2" t="str">
            <v>Sohna Road 1</v>
          </cell>
          <cell r="F2" t="str">
            <v>Monday</v>
          </cell>
          <cell r="G2" t="str">
            <v>4 Pm to 7 PM</v>
          </cell>
          <cell r="H2">
            <v>1950</v>
          </cell>
          <cell r="I2">
            <v>487.5</v>
          </cell>
          <cell r="J2" t="str">
            <v>Joy</v>
          </cell>
          <cell r="N2" t="str">
            <v>4  del of this cycle   -  0-cycles pmnt   Completed - Collect 0</v>
          </cell>
          <cell r="O2" t="str">
            <v>Mix Asiatic 4     Grass</v>
          </cell>
          <cell r="P2" t="str">
            <v>O Asiatic ( 16 inch) 4     Grass</v>
          </cell>
          <cell r="Q2" t="str">
            <v>Mix Car 22     Grass</v>
          </cell>
          <cell r="R2" t="str">
            <v>Sunflower ( 15 inch ) 5     Grass</v>
          </cell>
          <cell r="S2" t="str">
            <v>P n W Glad ( 14 Inch ) 22 Collect 1375 Carry Receipt Book Collect 1375 Carry Receipt Book Grass</v>
          </cell>
          <cell r="T2" t="str">
            <v>P n Y Spray Daisy ( 14 Inch ) 7     FF Sachet + Grass</v>
          </cell>
        </row>
        <row r="3">
          <cell r="A3">
            <v>139</v>
          </cell>
          <cell r="B3" t="str">
            <v>Mr. Pramod Narula 2</v>
          </cell>
          <cell r="C3">
            <v>9899048440</v>
          </cell>
          <cell r="D3" t="str">
            <v>Ww-57, Ground floor, Malibu Town, Sohna Road    Sohna Road Gurgaon  </v>
          </cell>
          <cell r="E3" t="str">
            <v>Sohna Road 1</v>
          </cell>
          <cell r="F3" t="str">
            <v>Friday</v>
          </cell>
          <cell r="G3" t="str">
            <v>9 AM - 12 PM</v>
          </cell>
          <cell r="H3">
            <v>4750</v>
          </cell>
          <cell r="I3">
            <v>1187.5</v>
          </cell>
          <cell r="J3" t="str">
            <v>Enchantment</v>
          </cell>
          <cell r="K3" t="str">
            <v>3 Stick extra in next del(31/08)Send this Tuesday n then Saturday(07/09)Send on 6th This week(05/11)  Today return-send next week(25/01) Send replacement of Daisy(01/02) Send always on Friday(17/03) Rs.240/- Received today against special pack(12/04) Long stick always(26/04) Flower food next(31/05) NO GERBERA(14/06) Send 1 stick extra next(16/08) 2 Stick extra next(23/08) Send extra flower(20/09) NO GERBERA N NO BOP(11/10) Collect Payment(29/02) Send replacement(11/08/20) Hold for 2 weeks and confirm before sending(19/09/20) Skip 1 more week(08/10/20) Sending Del tom due to Diwali(11/11) No Lily and Sunflower(04/07) Upgrade to 4000 and increase 6 more sticks(01/10) Send 2nd Del on 4th(27/10) Send 5th Del on 4th(29/10) Send remaining flowers(19/11) Hold today and skip 1 week(10/12) Skip 1 week(24/02)  Holy Change(16/03) Hold today--send on sunday (22/12) Hold today n send on Monday (20/12) Skip 1 week (02/01) Skip 1 week (11/03) Hold n start after 5th June (04/05) Send flowers on sunday (16/10) Skip 1 week (18/12) Send on Wednesday instead of Friday this week (22/12) No Lilies (07/05)</v>
          </cell>
          <cell r="L3" t="str">
            <v>lilies n Glad</v>
          </cell>
          <cell r="N3" t="str">
            <v>1  del of this cycle   -  1-cycles pmnt   Pending - Collect 4750</v>
          </cell>
          <cell r="O3" t="str">
            <v>P n W Spray Daisy 10 B Daisy 18 P n W Glad 18 FF Sachet + Grass</v>
          </cell>
          <cell r="P3" t="str">
            <v>Sunflower ( 15 inch) 8 R n W Car  18 P n W Glad 18 FF Sachet + Grass</v>
          </cell>
          <cell r="Q3" t="str">
            <v>P n W Spray Daisy ( 15 inch ) 10 P n W Car ( 14 inch ) 18 Mix Alstroemeria ( 14 inch )  18 FF Sachet + Grass</v>
          </cell>
          <cell r="R3" t="str">
            <v>Y Asiatic ( 15 inch ) 6 P n W Glad ( 14 inch ) 18 Rajni ( 14 Inch ) 18 Grass</v>
          </cell>
          <cell r="S3" t="str">
            <v>Sunflower ( 14 Inch ) 6 R n W Car ( 14 Inch ) 18 Mix Alstroemeria ( 12 Inch ) 18 FF Sachet + Grass</v>
          </cell>
          <cell r="T3" t="str">
            <v>P n Y Spray Daisy ( 14 Inch ) 10 P n W Glad ( 14 Inch ) 18 P n W Car ( 14 Inch ) 18 Grass</v>
          </cell>
        </row>
        <row r="4">
          <cell r="A4">
            <v>3098</v>
          </cell>
          <cell r="B4" t="str">
            <v>Jayati Dhingra</v>
          </cell>
          <cell r="C4">
            <v>9953158378</v>
          </cell>
          <cell r="D4" t="str">
            <v>3001, 30th Floor, M3M Lattitude, Sec 65</v>
          </cell>
          <cell r="E4" t="str">
            <v>Badshahpur</v>
          </cell>
          <cell r="F4" t="str">
            <v>Friday</v>
          </cell>
          <cell r="G4" t="str">
            <v>9 AM - 12 PM</v>
          </cell>
          <cell r="H4">
            <v>999</v>
          </cell>
          <cell r="I4">
            <v>249.75</v>
          </cell>
          <cell r="J4" t="str">
            <v>Delight</v>
          </cell>
          <cell r="K4" t="str">
            <v>No Rajni for some time being (31/10) Skip 1 week (21/01) Skip 1 week (23/02) Send tom (26/02) Skip 1 week (21/05) Returned Today (29/05)</v>
          </cell>
          <cell r="N4" t="str">
            <v>4  del of this cycle   -  0-cycles pmnt   CompletedNO COLLECTION-we have extra money - Collect -1</v>
          </cell>
          <cell r="O4" t="str">
            <v>B Daisy 9     FF Sachet + Grass</v>
          </cell>
          <cell r="P4" t="str">
            <v>P n W Glad ( 15 inch) 9     Grass</v>
          </cell>
          <cell r="Q4" t="str">
            <v>Bop 2     FF Sachet + Grass</v>
          </cell>
          <cell r="R4" t="e">
            <v>#N/A</v>
          </cell>
          <cell r="S4" t="str">
            <v>R n W Car ( 14 Inch ) 9     FF Sachet + Grass</v>
          </cell>
          <cell r="T4" t="str">
            <v>P Asiatic ( 14 Inch ) 2     Grass</v>
          </cell>
        </row>
        <row r="5">
          <cell r="A5">
            <v>36</v>
          </cell>
          <cell r="B5" t="str">
            <v>Ms. Anubha T Agarwal</v>
          </cell>
          <cell r="C5">
            <v>9818690761</v>
          </cell>
          <cell r="D5" t="str">
            <v>D-902, Park View City-1, Sohna Road</v>
          </cell>
          <cell r="E5" t="str">
            <v>Sohna Road 2</v>
          </cell>
          <cell r="F5" t="str">
            <v>Friday</v>
          </cell>
          <cell r="G5" t="str">
            <v>4 Pm to 7 PM</v>
          </cell>
          <cell r="H5">
            <v>999</v>
          </cell>
          <cell r="I5">
            <v>249.75</v>
          </cell>
          <cell r="J5" t="str">
            <v>Delight</v>
          </cell>
          <cell r="K5" t="str">
            <v>No Rajni (22/05)Skip coming week del(13/08)Pls skip this week n send next week(03/09)Pls shift time slot to evevning(18/09)Pls shift to morning(10/10) Paytm from manoj Agarwal(13/02) Skip 1 week(03/04) Send 1 stick extra in next Del(19/06) Say Change to Monday(21/08) Upgrade to 650 (01/12) Skiped 1 week due to HOLI(29/03) Flower Food Next(16/04) Upgrade to Bliss and send remaining flowers in 2nd Del(14/09) Skip 1 wek(14/10) skip 1 week(01/01)  Holy Change(16/03) Skip this week n send on sunday(10/08) Send Replacement tom (19/11) Send on monday this week (10/08)  Hold today (26/01) Today Returned (05/04) Today returned (16/08) Send replacement tom (15/09) Yesterday Returned (15/02) Return today (25/04) Skip 1 week (29/05) Skip 1 week (28/07) Skip tom n send on sunday (18/09) Skip 1 week (04/12)</v>
          </cell>
          <cell r="N5" t="str">
            <v>1  del of this cycle   -  1-cycles pmnt   Pending - Collect 999</v>
          </cell>
          <cell r="O5" t="str">
            <v>Sunflower ( Height 16 inch) 2     FF Sachet + Grass</v>
          </cell>
          <cell r="P5" t="str">
            <v>Alstomeria 9     Grass</v>
          </cell>
          <cell r="Q5" t="str">
            <v>P n W Glad ( 14 inch ) 9     Grass</v>
          </cell>
          <cell r="R5" t="str">
            <v>R n W Car( 14 inch ) 9     FF Sachet + Grass</v>
          </cell>
          <cell r="S5" t="str">
            <v>O Asiatic ( 15 Inch ) 2     Grass</v>
          </cell>
          <cell r="T5" t="str">
            <v>Sunflower ( 12 Inch ) 2     FF Sachet + Grass</v>
          </cell>
        </row>
        <row r="6">
          <cell r="A6">
            <v>3078</v>
          </cell>
          <cell r="B6" t="str">
            <v>Jayati Dhingra</v>
          </cell>
          <cell r="C6">
            <v>9953158378</v>
          </cell>
          <cell r="D6" t="str">
            <v>3001, 30th Floor, M3M Lattitude, Sec 65</v>
          </cell>
          <cell r="E6" t="str">
            <v>Badshahpur</v>
          </cell>
          <cell r="F6" t="str">
            <v>Friday</v>
          </cell>
          <cell r="G6" t="str">
            <v>9 AM - 12 PM</v>
          </cell>
          <cell r="H6">
            <v>1950</v>
          </cell>
          <cell r="I6">
            <v>487.5</v>
          </cell>
          <cell r="J6" t="str">
            <v>Joy</v>
          </cell>
          <cell r="K6" t="str">
            <v>No Rajni for some time being (31/10) Skip 1 week (17/12) Skip 1 week (21/01) Skip 1 week (12/02) Skip 1 week (23/02) Send tom (26/02) Replacement tom (16/05) Skip 1 week (21/05) Returned today (29/05)</v>
          </cell>
          <cell r="M6" t="str">
            <v>Check before sending (21/05)</v>
          </cell>
          <cell r="N6" t="str">
            <v>2  del of this cycle   -  0-cycles pmnt   Completed - Collect 0</v>
          </cell>
          <cell r="O6" t="str">
            <v>P Asiatic 2 P n W Glad 11   FF Sachet + Grass</v>
          </cell>
          <cell r="P6" t="str">
            <v>P n W Spray Daisy ( 15 inch ) 4 B Daisy 10   FF Sachet + Grass</v>
          </cell>
          <cell r="Q6" t="str">
            <v>Sunflower ( 15 inch ) 3 R n W Car ( 14 inch ) 11   Grass</v>
          </cell>
          <cell r="R6" t="e">
            <v>#N/A</v>
          </cell>
          <cell r="S6" t="str">
            <v>Pur Eustoma 2 Mix Alstroemeria ( 12 Inch )  11   FF Sachet + Grass</v>
          </cell>
          <cell r="T6" t="str">
            <v>W Asiatic ( 14 Inch ) 2 P n W Glad ( 14 Inch ) 11   Grass</v>
          </cell>
        </row>
        <row r="7">
          <cell r="A7">
            <v>1994</v>
          </cell>
          <cell r="B7" t="str">
            <v>M P Bezbaruah</v>
          </cell>
          <cell r="C7">
            <v>9810623627</v>
          </cell>
          <cell r="D7" t="str">
            <v>323, Deerwood Chase, Sector 50</v>
          </cell>
          <cell r="E7" t="str">
            <v>Nirvana Country</v>
          </cell>
          <cell r="F7" t="str">
            <v>Friday</v>
          </cell>
          <cell r="G7" t="str">
            <v>9 AM - 12 PM</v>
          </cell>
          <cell r="H7">
            <v>999</v>
          </cell>
          <cell r="I7">
            <v>249.75</v>
          </cell>
          <cell r="J7" t="str">
            <v>Delight</v>
          </cell>
          <cell r="K7" t="str">
            <v>Send car on Thursday (05/06) Skip 2 week (18/04) No Rajni till Sep (10/07)</v>
          </cell>
          <cell r="M7" t="str">
            <v>No Rajni till sep(10/07)</v>
          </cell>
          <cell r="N7" t="str">
            <v>1  del of this cycle   -  1-cycles pmnt   Pending - Collect 999</v>
          </cell>
          <cell r="O7" t="str">
            <v>R n W Car 9     FF Sachet + Grass</v>
          </cell>
          <cell r="P7" t="str">
            <v>P Spray Daisy ( 16 Inch) 3     FF Sachet + Grass</v>
          </cell>
          <cell r="Q7" t="str">
            <v>Mix Alstroemeria ( 14 inch ) 9     FF Sachet + Grass</v>
          </cell>
          <cell r="R7" t="str">
            <v>P n W Glad ( 16 Inch) 9     Grass</v>
          </cell>
          <cell r="S7" t="str">
            <v>P Asiatic ( 15 Inch ) 2     Grass</v>
          </cell>
          <cell r="T7" t="str">
            <v>P n W Car ( 14 Inch ) 9     Grass</v>
          </cell>
        </row>
        <row r="8">
          <cell r="A8">
            <v>3337</v>
          </cell>
          <cell r="B8" t="str">
            <v>Shweta Bajpai</v>
          </cell>
          <cell r="C8">
            <v>9205184535</v>
          </cell>
          <cell r="D8" t="str">
            <v>288, Tatvam Villa</v>
          </cell>
          <cell r="E8" t="str">
            <v>Sohna Road 2</v>
          </cell>
          <cell r="F8" t="str">
            <v>Friday</v>
          </cell>
          <cell r="G8" t="str">
            <v>4 Pm to 7 PM</v>
          </cell>
          <cell r="H8">
            <v>1450</v>
          </cell>
          <cell r="I8">
            <v>1450</v>
          </cell>
          <cell r="J8" t="str">
            <v>Bliss</v>
          </cell>
          <cell r="N8" t="str">
            <v>3  del of this cycle   -  0-cycles pmnt   Completed - Collect 0</v>
          </cell>
          <cell r="O8" t="str">
            <v>Sunflower ( Height 16 inch) 4     FF Sachet + Grass</v>
          </cell>
          <cell r="P8" t="str">
            <v>Alstomeria 16     Grass</v>
          </cell>
          <cell r="Q8" t="str">
            <v>P n W Glad ( 14 inch ) 16     Grass</v>
          </cell>
          <cell r="R8" t="str">
            <v>P Asiatic ( 15 inch ) 3     Grass</v>
          </cell>
          <cell r="S8" t="str">
            <v>R n W Car ( 14 Inch ) 16     FF Sachet + Grass</v>
          </cell>
          <cell r="T8" t="str">
            <v>P n Y Spray Daisy ( 14 Inch ) 5     FF Sachet + Grass</v>
          </cell>
        </row>
        <row r="9">
          <cell r="A9">
            <v>3369</v>
          </cell>
          <cell r="B9" t="str">
            <v>Renu Kothari</v>
          </cell>
          <cell r="C9">
            <v>9987323757</v>
          </cell>
          <cell r="D9" t="str">
            <v>4101, M3M Latitude, Sec 65</v>
          </cell>
          <cell r="E9" t="str">
            <v>Badshahpur</v>
          </cell>
          <cell r="F9" t="str">
            <v>Friday</v>
          </cell>
          <cell r="G9" t="str">
            <v>9 AM - 12 PM</v>
          </cell>
          <cell r="H9">
            <v>1450</v>
          </cell>
          <cell r="I9">
            <v>362.5</v>
          </cell>
          <cell r="J9" t="str">
            <v>Bliss</v>
          </cell>
          <cell r="N9" t="str">
            <v>3  del of this cycle   -  0-cycles pmnt   Completed - Collect 0</v>
          </cell>
          <cell r="O9" t="e">
            <v>#N/A</v>
          </cell>
          <cell r="P9" t="e">
            <v>#N/A</v>
          </cell>
          <cell r="Q9" t="e">
            <v>#N/A</v>
          </cell>
          <cell r="R9" t="str">
            <v>R n W Car ( 14 inch ) 16     FF Sachet + Grass</v>
          </cell>
          <cell r="S9" t="str">
            <v>P Asiatic ( 15 Inch ) 3     Grass</v>
          </cell>
          <cell r="T9" t="str">
            <v>P n W Glad ( 14 Inch ) 16     Grass</v>
          </cell>
        </row>
        <row r="10">
          <cell r="A10">
            <v>1914</v>
          </cell>
          <cell r="B10" t="str">
            <v>Neelam Ahuja</v>
          </cell>
          <cell r="C10">
            <v>7011107486</v>
          </cell>
          <cell r="D10" t="str">
            <v>4002, M3m Latitude, Sec 65</v>
          </cell>
          <cell r="E10" t="str">
            <v>Badshahpur</v>
          </cell>
          <cell r="F10" t="str">
            <v>Friday</v>
          </cell>
          <cell r="G10" t="str">
            <v>9 AM - 12 PM</v>
          </cell>
          <cell r="H10">
            <v>3000</v>
          </cell>
          <cell r="I10">
            <v>375</v>
          </cell>
          <cell r="J10" t="str">
            <v>Charm</v>
          </cell>
          <cell r="K10" t="str">
            <v>Friday and Monday// Lilies/BOP/Rajni/Spray Daisy(19/04) Paytm from Joe Ahuja// Paytm from Jyoti Gandhi// Skip 1 week(14/08) Not avaible tili 3rd Oct (26/09) Gpay From Joe Ahuja (18/10) Loves BOP (04/11) Heliconia or Anthurium next (22/12) Gpay from Pradeep Chib (03/02) Skip 1 week (02/03) Skip 1 week (23/03) No Spray Daisy (15/05) No gerbera/Sptray Daisy and Car for few Deliveries (26/05) Hold till 11th July (02/07) Being birthday--send some best flowers (31/07) BOP Next (13/09) Asiatic Next (24/10) SEnd anthurium also (13/04) No Statice (21/04) Hold n start from 13th May (02/05) Hold till 6th july (30/06) Skip tom (28/07) Send 1 Del Tom (03/08) Skip Friday Del (03/09) Today Hold (15/11) Skip friday Del (10/12) Skip Monday Del (24/01) Skip this monday (16/02) Skip Friday (26/02) Skip Friday (11/03) Referal credit of Vishal Dhawan added (24/03) Hold today (12/05) Paytm From Jyoti Gandhi (18/06) Skip monday (02/08) Skip 1 week a913/12) Skip 1 week and no del till next friday  (31/12) Skip tom (22/01) Hold today (09/02) Skip 1 week (18/02) Today Returned (06/03) Skip tom (22/03) Skip tom (23/04) Hold Monday (03/05) Skip Monday (10/05)</v>
          </cell>
          <cell r="L10" t="str">
            <v>Spray Daisy n GERBERA n Statice</v>
          </cell>
          <cell r="N10" t="str">
            <v>5  del of this cycle   -  0-cycles pmnt   Completed - Collect 0</v>
          </cell>
          <cell r="O10" t="str">
            <v>mix car 15     Grass</v>
          </cell>
          <cell r="P10" t="str">
            <v>R Orchid 4     FF Sachet + Grass</v>
          </cell>
          <cell r="Q10" t="str">
            <v>Mix Alstroemeria ( 14 inch ) 15     FF Sachet + Grass</v>
          </cell>
          <cell r="R10" t="str">
            <v>Sunflower ( 15 inch ) 3     Grass</v>
          </cell>
          <cell r="S10" t="str">
            <v>O Asiatic ( 15 Inch ) 3     Grass</v>
          </cell>
          <cell r="T10" t="str">
            <v>P n W Car ( 14 Inch ) 15     FF Sachet + Grass</v>
          </cell>
        </row>
        <row r="11">
          <cell r="A11">
            <v>3178</v>
          </cell>
          <cell r="B11" t="str">
            <v>Disha Gopal</v>
          </cell>
          <cell r="C11">
            <v>8588003677</v>
          </cell>
          <cell r="D11" t="str">
            <v>T-10/4A, Central Park Resorts, Sec 48</v>
          </cell>
          <cell r="E11" t="str">
            <v>Sohna Road 2</v>
          </cell>
          <cell r="F11" t="str">
            <v>Friday</v>
          </cell>
          <cell r="G11" t="str">
            <v>4 PM to 7 PM</v>
          </cell>
          <cell r="H11">
            <v>1950</v>
          </cell>
          <cell r="I11">
            <v>487.5</v>
          </cell>
          <cell r="J11" t="str">
            <v>Joy</v>
          </cell>
          <cell r="K11" t="str">
            <v>Micxed Flowers // Hold till 8th Jan (24/12)</v>
          </cell>
          <cell r="M11" t="str">
            <v>Mixed Flowers</v>
          </cell>
          <cell r="N11" t="str">
            <v>3  del of this cycle   -  0-cycles pmnt   Completed - Collect 0</v>
          </cell>
          <cell r="O11" t="str">
            <v>P Asiatic 2 B Daisy 11   Grass</v>
          </cell>
          <cell r="P11" t="str">
            <v>Pur Eustoma ( 14 inch )  2 P n W Car 11   FF Sachet + Grass</v>
          </cell>
          <cell r="Q11" t="str">
            <v>Sunflower ( 15 inch ) 3 Mix Alstroemeria ( 14 inch ) 11   Grass</v>
          </cell>
          <cell r="R11" t="str">
            <v>P n Y Spray Daisy ( 15 inch ) 4 P n W Glad ( 14 inch ) 11   FF Sachet + Grass</v>
          </cell>
          <cell r="S11" t="str">
            <v>O Asiatic ( 15 Inch ) 2 R n W Car ( 14 Inch ) 11   Grass</v>
          </cell>
          <cell r="T11" t="str">
            <v>P Eustoma ( 14 Inch ) 2 Mix Alstroemeria ( 12 Inch ) 11   FF Sachet + Grass</v>
          </cell>
        </row>
        <row r="12">
          <cell r="A12">
            <v>3244</v>
          </cell>
          <cell r="B12" t="str">
            <v>Richa Bhatli</v>
          </cell>
          <cell r="C12">
            <v>9911518397</v>
          </cell>
          <cell r="D12" t="str">
            <v>A-313, DLF Primus, Sec 82 A</v>
          </cell>
          <cell r="E12" t="str">
            <v>Manesar</v>
          </cell>
          <cell r="F12" t="str">
            <v>Friday</v>
          </cell>
          <cell r="G12" t="str">
            <v>4 PM to 7 PM</v>
          </cell>
          <cell r="H12">
            <v>1450</v>
          </cell>
          <cell r="I12">
            <v>362.5</v>
          </cell>
          <cell r="J12" t="str">
            <v>Bliss</v>
          </cell>
          <cell r="N12" t="str">
            <v>4  del of this cycle   -  0-cycles pmnt   Completed - Collect 0</v>
          </cell>
          <cell r="O12" t="str">
            <v>P Asiatic 3     Grass</v>
          </cell>
          <cell r="P12" t="str">
            <v>P n W Spray Daisy ( 15 inch ) 5     FF Sachet + Grass</v>
          </cell>
          <cell r="Q12" t="str">
            <v>R n W Car ( 14 inch ) 16     FF Sachet + Grass</v>
          </cell>
          <cell r="R12" t="str">
            <v>P n W Glad ( 16 Inch) 16     Grass</v>
          </cell>
          <cell r="S12" t="str">
            <v>O Asiatic ( 15 Inch ) 3     Grass</v>
          </cell>
          <cell r="T12" t="str">
            <v>Mix Alstroemeria ( 12 Inch ) 16     FF Sachet + Grass</v>
          </cell>
        </row>
        <row r="13">
          <cell r="A13">
            <v>3077</v>
          </cell>
          <cell r="B13" t="str">
            <v>Shweta Katiyar</v>
          </cell>
          <cell r="C13">
            <v>9999435065</v>
          </cell>
          <cell r="D13" t="str">
            <v>G-122, DLF Primus, Sec 82 A</v>
          </cell>
          <cell r="E13" t="str">
            <v>Manesar</v>
          </cell>
          <cell r="F13" t="str">
            <v>Friday</v>
          </cell>
          <cell r="G13" t="str">
            <v>4 PM to 7 PM</v>
          </cell>
          <cell r="H13">
            <v>1950</v>
          </cell>
          <cell r="I13">
            <v>487.5</v>
          </cell>
          <cell r="J13" t="str">
            <v>Joy</v>
          </cell>
          <cell r="K13" t="str">
            <v>No Eustoma// Skip tom (31/12/25) Replacement of guldawari tom (16/01)</v>
          </cell>
          <cell r="L13" t="str">
            <v>Eustoma</v>
          </cell>
          <cell r="N13" t="str">
            <v>2  del of this cycle   -  0-cycles pmnt   Completed - Collect 0</v>
          </cell>
          <cell r="O13" t="str">
            <v>P Asiatic 2 R n W Car 11   Grass</v>
          </cell>
          <cell r="P13" t="str">
            <v>BOP 2 P n W Gerbera ( 14 inch ) 11   FF Sachet + Grass</v>
          </cell>
          <cell r="Q13" t="str">
            <v>P n W Spray Daisy ( 15 inch ) 4 Mix Alstroemeria ( 14 inch ) 10   FF Sachet + Grass</v>
          </cell>
          <cell r="R13" t="str">
            <v>Sunflower ( 15 inch ) 3 P n W Glad ( 14 inch ) 11   Grass</v>
          </cell>
          <cell r="S13" t="str">
            <v>P Asiatic ( 15 Inch ) 2 P n W Car ( 14 Inch ) 11   Grass</v>
          </cell>
          <cell r="T13" t="str">
            <v>Pur Eustom ( 14 Inch ) 2 Mix Alstroemeria ( 12 Inch ) 11   FF Sachet + Grass</v>
          </cell>
        </row>
        <row r="14">
          <cell r="A14" t="str">
            <v>G-00011</v>
          </cell>
          <cell r="B14" t="str">
            <v>Nainsee Garg</v>
          </cell>
          <cell r="C14">
            <v>9810561802</v>
          </cell>
          <cell r="D14" t="str">
            <v>A67 Rosewood City Sector 49 Gurgaon 122001</v>
          </cell>
          <cell r="E14" t="str">
            <v>Nirvana Country</v>
          </cell>
          <cell r="F14" t="str">
            <v>Friday</v>
          </cell>
          <cell r="G14" t="str">
            <v>9 AM to 2 PM</v>
          </cell>
          <cell r="H14">
            <v>2350</v>
          </cell>
          <cell r="I14">
            <v>293.75</v>
          </cell>
          <cell r="J14" t="str">
            <v>Felicity</v>
          </cell>
          <cell r="K14" t="str">
            <v>No Glad (15/-5) Skip tom n sned next del on Sunday (29/05) Skip 1 week (03/07) Skip 1 week (12/11) Send tom (01/04) Sent one del today (09/04) Skip 1 week (11/05)</v>
          </cell>
          <cell r="L14" t="str">
            <v>Glad</v>
          </cell>
          <cell r="N14" t="str">
            <v>1  del of this cycle   -  1-cycles pmnt   Pending - Collect 2350</v>
          </cell>
          <cell r="O14" t="str">
            <v>O Asiatic 2 B Daisy 11   Grass</v>
          </cell>
          <cell r="P14" t="str">
            <v>Shd Pur n O Car 22     FF Sachet + Grass</v>
          </cell>
          <cell r="Q14" t="e">
            <v>#N/A</v>
          </cell>
          <cell r="R14" t="str">
            <v>P n Y Spray Daisy ( 15 inch ) 4 Glad 11   FF Sachet + Grass</v>
          </cell>
          <cell r="S14" t="str">
            <v>P Asiatic ( 15 Inch ) 2 Mix Alstroemeria ( 12 Inch )  20   Grass</v>
          </cell>
          <cell r="T14" t="str">
            <v>R n W Car ( 14 Inch ) 11     FF Sachet + Grass</v>
          </cell>
        </row>
        <row r="15">
          <cell r="A15">
            <v>1147</v>
          </cell>
          <cell r="B15" t="str">
            <v xml:space="preserve">Reena </v>
          </cell>
          <cell r="C15">
            <v>9811157690</v>
          </cell>
          <cell r="D15" t="str">
            <v>31/1, Ixia, Vatika City</v>
          </cell>
          <cell r="E15" t="str">
            <v>Sohna Road 1</v>
          </cell>
          <cell r="F15" t="str">
            <v>Tuesday</v>
          </cell>
          <cell r="G15" t="str">
            <v>9 AM to 2 PM</v>
          </cell>
          <cell r="H15">
            <v>1600</v>
          </cell>
          <cell r="I15">
            <v>200</v>
          </cell>
          <cell r="J15" t="str">
            <v>Bloom</v>
          </cell>
          <cell r="K15" t="str">
            <v>Tuesday and Friday//NO Rose/Rajni and ORCHID(30/10) Pink car Next(08/11) No Rose/No Rajni/No Orchids(30/11  NO RAJNI n HELICONIA (30/12) Star From Sunday (24/08) Skip coming Friday (07/12) Skip 1 week (18/01) Shift tom del to Sunday (20/06) Skip Friday Del (15/08) Today Returned(03/09) Skip 27th Del (22/12) Skip tom (30/01) Today Returned-send again (04/04) Hold n start from 15th (07/04) Skip friday (26/06) Skip 1 week (07/08) Skip tom del (11/09) Skip 1 week (01/11) Skip tom (30/04)</v>
          </cell>
          <cell r="L15" t="str">
            <v>RAJNI n HELICONIA</v>
          </cell>
          <cell r="N15" t="str">
            <v>8  del of this cycle   -  0-cycles pmnt   CompletedNO COLLECTION-we have extra money - Collect -150</v>
          </cell>
          <cell r="O15" t="e">
            <v>#N/A</v>
          </cell>
          <cell r="P15" t="str">
            <v>Sunflower ( 15 inch) 2     Grass</v>
          </cell>
          <cell r="Q15" t="str">
            <v>P Spray Daisy ( 15 inch ) 2     FF Sachet + Grass</v>
          </cell>
          <cell r="R15" t="str">
            <v>P n W Car ( 14 inch ) 7     FF Sachet + Grass</v>
          </cell>
          <cell r="S15" t="str">
            <v>Mix Alstroemeria ( 12 Inch ) 7     FF Sachet + Grass</v>
          </cell>
          <cell r="T15" t="str">
            <v>W Spray Daisy ( 14 Inch ) 2     FF Sachet + Grass</v>
          </cell>
        </row>
        <row r="16">
          <cell r="A16">
            <v>2652</v>
          </cell>
          <cell r="B16" t="str">
            <v>Shilpi Samantray</v>
          </cell>
          <cell r="C16">
            <v>8527486150</v>
          </cell>
          <cell r="D16" t="str">
            <v>Q-294, DLF Ultima</v>
          </cell>
          <cell r="E16" t="str">
            <v>Manesar</v>
          </cell>
          <cell r="F16" t="str">
            <v>Friday</v>
          </cell>
          <cell r="G16" t="str">
            <v>4 Pm to 7 PM</v>
          </cell>
          <cell r="H16">
            <v>1450</v>
          </cell>
          <cell r="I16">
            <v>362.5</v>
          </cell>
          <cell r="J16" t="str">
            <v>Bliss</v>
          </cell>
          <cell r="K16" t="str">
            <v>Flower Food next (21/05) Do not count todays delivery (30/05) Skip 1 week (26/06) Skip 1 week (09/07) No asiatic Lilies (07/08) No glad now (25/09) Replacement tom (24/10) Skip 1 week (08/11) Skip 2 week (12/12) Skip 1 week (21/01) HDTNP (27/02) Skip 1 week (09/04) HDTNP (15/05) Next del on 5th JUne (18/05)</v>
          </cell>
          <cell r="L16" t="str">
            <v>lilies n Glad</v>
          </cell>
          <cell r="M16" t="str">
            <v>More Eustoams</v>
          </cell>
          <cell r="N16" t="str">
            <v>2  del of this cycle   -  0-cycles pmnt   Completed - Collect 0</v>
          </cell>
          <cell r="O16" t="str">
            <v>P Eustoma 2 Glad  7   FF Sachet + Grass</v>
          </cell>
          <cell r="P16" t="str">
            <v>P Spray Daisy ( 16 Inch) 3 R n W Car 7   FF Sachet + Grass</v>
          </cell>
          <cell r="Q16" t="e">
            <v>#N/A</v>
          </cell>
          <cell r="R16" t="e">
            <v>#N/A</v>
          </cell>
          <cell r="S16" t="e">
            <v>#N/A</v>
          </cell>
          <cell r="T16" t="str">
            <v>O Asiatic ( 14 Inch ) 2 P n W Glad ( 14 Inch ) 7   Grass</v>
          </cell>
        </row>
        <row r="17">
          <cell r="A17">
            <v>163</v>
          </cell>
          <cell r="B17" t="str">
            <v>Rasmeeta Nayak</v>
          </cell>
          <cell r="C17">
            <v>8800444342</v>
          </cell>
          <cell r="D17" t="str">
            <v>H-504, Park View City - 2, Sohna Road</v>
          </cell>
          <cell r="E17" t="str">
            <v>Sohna Road 1</v>
          </cell>
          <cell r="F17" t="str">
            <v>Friday</v>
          </cell>
          <cell r="G17" t="str">
            <v>9 AM - 12 PM</v>
          </cell>
          <cell r="H17">
            <v>1950</v>
          </cell>
          <cell r="I17">
            <v>487.5</v>
          </cell>
          <cell r="J17" t="str">
            <v>Joy</v>
          </cell>
          <cell r="K17" t="str">
            <v xml:space="preserve"> NO GLAD(12/04)  NO BOP(12/12)  NO HELICONIA(24/12)  Today returned-send tom(20/05) Return today and skip 1 week(09/09) Double Del tom with Lily and Rajnigandha (20/10) Today Returned -- send on 16th (14/07) Hold n start from 22nd Sep (08/08) Skip 2 week (16/03) Send 4th Del on Wednesday not on Friday (23/10) Today Returned (21/02) Skip n send on Monday (11/03) Skip 1 week (27/03) Skip 1 week (02/07) Hold n skip 2 weeks // hold she will confirm (19/12)</v>
          </cell>
          <cell r="N17" t="str">
            <v>4  del of this cycle   -  0-cycles pmnt   Completed - Collect 0</v>
          </cell>
          <cell r="O17" t="str">
            <v>P n W Spray Daisy 7     FF Sachet + Grass</v>
          </cell>
          <cell r="P17" t="str">
            <v>Shd Pur n O Car 22     FF Sachet + Grass</v>
          </cell>
          <cell r="Q17" t="str">
            <v>Mix Alstroemeria ( 14 inch ) 22     FF Sachet + Grass</v>
          </cell>
          <cell r="R17" t="str">
            <v>P n W Glad ( 16 Inch) 22     Grass</v>
          </cell>
          <cell r="S17" t="str">
            <v>Y Orchid  7     FF Sachet + Grass</v>
          </cell>
          <cell r="T17" t="str">
            <v>W Asiatic ( 14 Inch ) 4     Grass</v>
          </cell>
        </row>
        <row r="18">
          <cell r="A18">
            <v>3142</v>
          </cell>
          <cell r="B18" t="str">
            <v>Bindlish</v>
          </cell>
          <cell r="C18">
            <v>7065915359</v>
          </cell>
          <cell r="D18" t="str">
            <v>L-904, Sispal Vihar</v>
          </cell>
          <cell r="E18" t="str">
            <v>Sohna Road 1</v>
          </cell>
          <cell r="F18" t="str">
            <v>Friday</v>
          </cell>
          <cell r="G18" t="str">
            <v>9 AM to 2 PM</v>
          </cell>
          <cell r="H18">
            <v>999</v>
          </cell>
          <cell r="I18">
            <v>249.75</v>
          </cell>
          <cell r="J18" t="str">
            <v>Delight</v>
          </cell>
          <cell r="K18" t="str">
            <v>Skip 1 week (20/11) Skip 1 week (29/01) Skip 1 week (23/04)</v>
          </cell>
          <cell r="N18" t="str">
            <v>4  del of this cycle   -  0-cycles pmnt   Completed - Collect 0</v>
          </cell>
          <cell r="O18" t="str">
            <v>P Spray Daisy 3     FF Sachet + Grass</v>
          </cell>
          <cell r="P18" t="str">
            <v>P n W Glad ( 15 inch) 9     Grass</v>
          </cell>
          <cell r="Q18" t="str">
            <v>R n W Car ( 14 inch ) 9     FF Sachet + Grass</v>
          </cell>
          <cell r="R18" t="str">
            <v>Sunflower ( 15 inch ) 2     Grass</v>
          </cell>
          <cell r="S18" t="str">
            <v>O Asiatic ( 15 Inch ) 2     Grass</v>
          </cell>
          <cell r="T18" t="str">
            <v>Mix Alstroemeria ( 12 Inch ) 9     FF Sachet + Grass</v>
          </cell>
        </row>
        <row r="19">
          <cell r="A19">
            <v>2427</v>
          </cell>
          <cell r="B19" t="str">
            <v>Amrita Jain</v>
          </cell>
          <cell r="C19">
            <v>9560706242</v>
          </cell>
          <cell r="D19" t="str">
            <v>Flat 72, Emilia C2, Gardenia Street</v>
          </cell>
          <cell r="E19" t="str">
            <v>Sohna Road 1</v>
          </cell>
          <cell r="F19" t="str">
            <v>Friday</v>
          </cell>
          <cell r="G19" t="str">
            <v>9 AM - 12 PM</v>
          </cell>
          <cell r="H19">
            <v>1450</v>
          </cell>
          <cell r="I19">
            <v>362.5</v>
          </cell>
          <cell r="J19" t="str">
            <v>Bliss</v>
          </cell>
          <cell r="K19" t="str">
            <v>Referred By Mohar Ray Dahiya // Replacement tom (23/03) No Rose n Orchid (14/04) Send replacement tom of Car (29/07) Payment from Amrita  Das Gupta (20/09) Today Returned (24/10) Do not count last fdel (29/10) Hold due to non payment (26/12) Skip due to non payment (01/01/26) Send one del tom (04/01) HDTNP (27/02)</v>
          </cell>
          <cell r="L19" t="str">
            <v>Rose n Orchid</v>
          </cell>
          <cell r="N19" t="str">
            <v>3  del of this cycle   -  0-cycles pmnt   Completed - Collect 0</v>
          </cell>
          <cell r="O19" t="str">
            <v>P Eustoma 2 R n W Car 7   FF Sachet + Grass</v>
          </cell>
          <cell r="P19" t="str">
            <v>P Spray Daisy ( 16 Inch) 3 Alstromia 7   FF Sachet + Grass</v>
          </cell>
          <cell r="Q19" t="str">
            <v>Y Asiatic ( 15 inch ) 2 P n W Glad ( 14 inch ) 7   Grass</v>
          </cell>
          <cell r="R19" t="str">
            <v>Sunflower ( 15 inch ) 2 B Daisy ( 12 inch ) 7   Grass</v>
          </cell>
          <cell r="S19" t="str">
            <v>Pur Eustoma 2 P n W Car ( 14 Inch ) 7   FF Sachet + Grass</v>
          </cell>
          <cell r="T19" t="str">
            <v>Y Spray Daisy ( 14 Inch ) 3 P n W Glad ( 14 Inch ) 7   FF Sachet + Grass</v>
          </cell>
        </row>
        <row r="20">
          <cell r="A20">
            <v>2389</v>
          </cell>
          <cell r="B20" t="str">
            <v>Sreyoshi  Maitra</v>
          </cell>
          <cell r="C20">
            <v>9711760109</v>
          </cell>
          <cell r="D20" t="str">
            <v>T-1/1706, M3M Heights, Sec 65</v>
          </cell>
          <cell r="E20" t="str">
            <v>Badshahpur</v>
          </cell>
          <cell r="F20" t="str">
            <v>Friday</v>
          </cell>
          <cell r="G20" t="str">
            <v>9 AM - 12 PM</v>
          </cell>
          <cell r="H20">
            <v>1950</v>
          </cell>
          <cell r="I20">
            <v>487.5</v>
          </cell>
          <cell r="J20" t="str">
            <v>Joy</v>
          </cell>
          <cell r="K20" t="str">
            <v>No Spray Daisy and Rajni // Payment from Mrittika Maitra (12/03) Send replacement of orchds tom (11/05) Today Returned (04/07) No eustoma (17/08) Hold today (24/10) Pls Send sunflowers on 9th Jan (12/12) HDTNP (13/03) Sent one del today (16/03) No Orchids (30/04) Today Returned (29/05)</v>
          </cell>
          <cell r="L20" t="str">
            <v>Orchids n Rajnigandha</v>
          </cell>
          <cell r="M20" t="str">
            <v>Sunflower on 9th Jan (12/12)</v>
          </cell>
          <cell r="N20" t="str">
            <v>1  del of this cycle   -  1-cycles pmnt   Pending - Collect 1950</v>
          </cell>
          <cell r="O20" t="str">
            <v>Sunflower ( Height 16 inch) 5     FF Sachet + Grass</v>
          </cell>
          <cell r="P20" t="str">
            <v>P n W Spray Daisy ( 15 inch ) 7     FF Sachet + Grass</v>
          </cell>
          <cell r="Q20" t="str">
            <v>P n W Glad ( 14 inch ) 22     Grass</v>
          </cell>
          <cell r="R20" t="str">
            <v>P Asiatic ( 15 inch ) 4     Grass</v>
          </cell>
          <cell r="S20" t="str">
            <v>R n W Car ( 14 Inch ) 22     FF Sachet + Grass</v>
          </cell>
          <cell r="T20" t="str">
            <v>Pur n P Eustoma ( 14 Inch ) 4     FF Sachet + Grass</v>
          </cell>
        </row>
        <row r="21">
          <cell r="A21">
            <v>3011</v>
          </cell>
          <cell r="B21" t="str">
            <v>Nandita Sharma</v>
          </cell>
          <cell r="C21">
            <v>9702930000</v>
          </cell>
          <cell r="D21" t="str">
            <v>Sovereign-2/102, Vatila City</v>
          </cell>
          <cell r="E21" t="str">
            <v>Sohna Road 1</v>
          </cell>
          <cell r="F21" t="str">
            <v>Friday</v>
          </cell>
          <cell r="G21" t="str">
            <v>9 AM to 2 PM</v>
          </cell>
          <cell r="H21">
            <v>1450</v>
          </cell>
          <cell r="I21">
            <v>362.5</v>
          </cell>
          <cell r="J21" t="str">
            <v>Bliss</v>
          </cell>
          <cell r="K21" t="str">
            <v>Hld till 8th Mar (22/02)</v>
          </cell>
          <cell r="N21" t="str">
            <v>4  del of this cycle   -  0-cycles pmnt   Completed - Collect 0</v>
          </cell>
          <cell r="O21" t="str">
            <v>P Asiatic 2 R n W Car 7   Grass</v>
          </cell>
          <cell r="P21" t="str">
            <v>Y Spray Daisy ( 16 inch)  3 Alstromia 7   FF Sachet + Grass</v>
          </cell>
          <cell r="Q21" t="str">
            <v>Bop 2 P n W Glad ( 14 inch ) 7   FF Sachet + Grass</v>
          </cell>
          <cell r="R21" t="str">
            <v>Sunflower ( 15 inch ) 2 P n W Car ( 14 inch ) 7   FF Sachet + Grass</v>
          </cell>
          <cell r="S21" t="str">
            <v>O Asiatic ( 15 Inch ) 2 Mix Alstroemeria ( 12 Inch )  7   Grass</v>
          </cell>
          <cell r="T21" t="str">
            <v>P Spray Daisy ( 14 Inch ) 3 P n W Glad ( 14 Inch ) 7   FF Sachet + Grass</v>
          </cell>
        </row>
        <row r="22">
          <cell r="A22">
            <v>296</v>
          </cell>
          <cell r="B22" t="str">
            <v>Madhu Thapliyal</v>
          </cell>
          <cell r="C22">
            <v>9999364696</v>
          </cell>
          <cell r="D22" t="str">
            <v>2/201, Sovereign, Vatika City</v>
          </cell>
          <cell r="E22" t="str">
            <v>Sohna Road 1</v>
          </cell>
          <cell r="F22" t="str">
            <v>Friday</v>
          </cell>
          <cell r="G22" t="str">
            <v>9 AM - 12 PM</v>
          </cell>
          <cell r="H22">
            <v>1450</v>
          </cell>
          <cell r="I22">
            <v>362.5</v>
          </cell>
          <cell r="J22" t="str">
            <v>Bliss</v>
          </cell>
          <cell r="K22" t="str">
            <v xml:space="preserve">  Orchids tom(11/10) Pls sned on thursday with Lilies(27/10) Orchids next(22/11) Orchids Next(06/12) Skip n send Chrysanthemum on Momday(17/01) Skip 1 week and  Orchids Next(24/01) Lilies Next(31/01) Orchids nxt(07/02) Paytm from Chandresh(08/02) P n W Chrysanthemum Tom(14/02) NO R Orchids next(21/02)  NO RAJNI N GLAD(25/02)  No Red Daisy (13/10) Skip 1 week (20/10) 1 Spray Daisy Next (30/10) Skip 1 week (07/11) NO GLAD (02/12) Skip 1 week (08/12) Upgrade to Joy (16/12) NO GLAD  AND NO HELICONIA(22/12) Skip 1 week (05/01) P n W Gerbera Next (09/01) SEnt repolacement today (16/01) Skip 1 week (25/01) Spray Daisy Next (16/02) Spray Daisy next (06/04) Sent replacement (09/04) skip 1 wek (13/04) Skip 1 week (20/04) Change to Bliss and send flower food -- No BOP n Glad (18/05) Skip 1 week (31/05) Return today and skip 2 week (09/06) Skip 1 week (14/06) Sent replacement today (26/06) Skip 1 week (29/06) Skip 1 week (08/11) Skip 1 week (18/12) Skip 1 week (25/01) Skip 1 week (08/02) Skip 2 week (21/03) Hold tom (16/05) Skip 2 week (10/096) Sent replacement today (15/07) Skip 1 week (22/07) Spray Daisy next (15/08) Hold today (25/10) Skip this week (25/10) Return today n hold next week also (03/01) Skip 1 week (23/01) Hold today (28/03) Skip 1 week (10/04) Skip tom (19/06) Skip 1 week (02/07) Skip 1 week (24/07) Skip 1 week (01/08) Skip 1 week (15/10) Skip 1 week (19/11) Skip 1 week (05/01) Skip 1 week (17/01) Skip 1 week (29/01) Skip 1 week (22/03) Statice next (19/04)</v>
          </cell>
          <cell r="L22" t="str">
            <v>GLAD n BOP</v>
          </cell>
          <cell r="M22" t="str">
            <v>Statice next (19/04)</v>
          </cell>
          <cell r="N22" t="str">
            <v>4  del of this cycle   -  0-cycles pmnt   Completed - Collect 0</v>
          </cell>
          <cell r="O22" t="str">
            <v>P n Y Spray Daisy 5     FF Sachet + Grass</v>
          </cell>
          <cell r="P22" t="str">
            <v>R n W Car 16     FF Sachet + Grass</v>
          </cell>
          <cell r="Q22" t="str">
            <v>P Asiatic ( 15 inch ) 3     Grass</v>
          </cell>
          <cell r="R22" t="str">
            <v>Sunflower ( 15 inch ) 4     Grass</v>
          </cell>
          <cell r="S22" t="str">
            <v>Mix Alstroemeria ( 12 Inch ) 16     FF Sachet + Grass</v>
          </cell>
          <cell r="T22" t="str">
            <v>P n W Spray Daisy ( 14 Inch ) 5     FF Sachet + Grass</v>
          </cell>
        </row>
        <row r="23">
          <cell r="A23">
            <v>2018</v>
          </cell>
          <cell r="B23" t="str">
            <v>Lakshmi Shankaran</v>
          </cell>
          <cell r="C23">
            <v>9818054747</v>
          </cell>
          <cell r="D23" t="str">
            <v>C2/202,  Sovereign Vatika City</v>
          </cell>
          <cell r="E23" t="str">
            <v>Sohna Road 1</v>
          </cell>
          <cell r="F23" t="str">
            <v>Friday</v>
          </cell>
          <cell r="G23" t="str">
            <v>9 AM - 12 PM</v>
          </cell>
          <cell r="H23">
            <v>1450</v>
          </cell>
          <cell r="I23">
            <v>362.5</v>
          </cell>
          <cell r="J23" t="str">
            <v>Bliss</v>
          </cell>
          <cell r="K23" t="str">
            <v>Friday n Monday//Skip 1 week n send 1 Flower foo with next del (11/01) Skip 1 week and send 1 Flowers food box next (21/01) Send 1 FF Tom (05/02) Red n Yel Gerbera Tom (06/04) Sent a replacement today (08/04) same bliss package (27/04) Send change tom (01/06) Send replacement today due to Glad (17/07) No Bliss (27/07) Skip 1 week (29/11) Skip 1 week (23/03) Hold - start from 7th June (16/05) do not count last del (01/11) Today received 900 extra (05/12) Skip 1 week (09/01) Skip 1 week (21/01) Skip tom (22/05) Skip 2 weeks after 8th June (04/06) Today returned (27/06) Skip 1 week (05/11) Skip tom (15/01) Skip 1 week (13/95) Skip 1 week (28/05)</v>
          </cell>
          <cell r="L23" t="str">
            <v>GERBERA n GLAD</v>
          </cell>
          <cell r="N23" t="str">
            <v>1  del of this cycle   -  1-cycles pmnt   Pending - Collect 1450</v>
          </cell>
          <cell r="O23" t="str">
            <v>R n W Car 16     FF Sachet + Grass</v>
          </cell>
          <cell r="P23" t="str">
            <v>O Asiatic ( 16 inch) 3     Grass</v>
          </cell>
          <cell r="Q23" t="e">
            <v>#N/A</v>
          </cell>
          <cell r="R23" t="str">
            <v>P n Y Spray Daisy ( 15 inch ) 5     FF Sachet + Grass</v>
          </cell>
          <cell r="S23" t="e">
            <v>#N/A</v>
          </cell>
          <cell r="T23" t="str">
            <v>Mix Alstroemeria ( 12 Inch ) 16     FF Sachet + Grass</v>
          </cell>
        </row>
        <row r="24">
          <cell r="A24">
            <v>1996</v>
          </cell>
          <cell r="B24" t="str">
            <v>Ankita Sethi</v>
          </cell>
          <cell r="C24">
            <v>9899660037</v>
          </cell>
          <cell r="D24" t="str">
            <v>C1/202, Vatika City, Sec 49</v>
          </cell>
          <cell r="E24" t="str">
            <v>Sohna Road 1</v>
          </cell>
          <cell r="F24" t="str">
            <v>Friday</v>
          </cell>
          <cell r="G24" t="str">
            <v>9 AM - 12 PM</v>
          </cell>
          <cell r="H24">
            <v>1450</v>
          </cell>
          <cell r="I24">
            <v>362.5</v>
          </cell>
          <cell r="J24" t="str">
            <v>Bliss</v>
          </cell>
          <cell r="K24" t="str">
            <v>NO GLAD (22/12) Upgrade to Joy (19/01) NO HELICONIA ALSO (20/01) Hold today-send tom (03/02) Skip today (31/03) Send replacement tom (09/04) Sent replacement today and sent 1 replacement today (04/06) Skip today (09/06) Sent replacement today (26/-06) Skip 1 week (29/06) Skip 1 week (11/08) 1 Flower food next (04/11) Flower food next (24/11) Skip 1 week (22/12) Skip 1 week (04/01) Skip 1 week (09/05) Skip Tom (16/05) Add changed (24/05) Return today (31/05) Skip 1 week (16/01) Skip tom (06/02)  Hold today (18/04) Skip 1 week (02/07) Skip 1 week (11/09) Today returned as guldwari sent which was not restricted (21/11) Hold due to non payment (26/12) HDTNP ((24/04) Send one del Tom (26/04)</v>
          </cell>
          <cell r="L24" t="str">
            <v>GLAD n HELICONIA</v>
          </cell>
          <cell r="N24" t="str">
            <v>1  del of this cycle   -  1-cycles pmnt   Pending - Collect 1450</v>
          </cell>
          <cell r="O24" t="str">
            <v>Sunflower ( Height 16 inch) 4     FF Sachet + Grass</v>
          </cell>
          <cell r="P24" t="str">
            <v>P Eustoma ( 14 inch ) 3     FF Sachet + Grass</v>
          </cell>
          <cell r="Q24" t="str">
            <v>R n W Car ( 14 inch ) 16     FF Sachet + Grass</v>
          </cell>
          <cell r="R24" t="str">
            <v>Glad 16     FF Sachet + Grass</v>
          </cell>
          <cell r="S24" t="str">
            <v>P Asiatic ( 15 Inch ) 3     Grass</v>
          </cell>
          <cell r="T24" t="str">
            <v>P n Y Spray Daisy ( 14 Inch ) 5     FF Sachet + Grass</v>
          </cell>
        </row>
        <row r="25">
          <cell r="A25">
            <v>2991</v>
          </cell>
          <cell r="B25" t="str">
            <v>Smriti Singh Bhatia</v>
          </cell>
          <cell r="C25">
            <v>9818648787</v>
          </cell>
          <cell r="D25" t="str">
            <v>T-3/4201, M3M Heights, 65th Avenue, Sec 65</v>
          </cell>
          <cell r="E25" t="str">
            <v>Badshahpur</v>
          </cell>
          <cell r="F25" t="str">
            <v>Friday</v>
          </cell>
          <cell r="G25" t="str">
            <v>9 AM - 12 PM</v>
          </cell>
          <cell r="H25">
            <v>1450</v>
          </cell>
          <cell r="I25">
            <v>362.5</v>
          </cell>
          <cell r="J25" t="str">
            <v>Bliss</v>
          </cell>
          <cell r="K25" t="str">
            <v>Hold next week // Skip 2 week (22/12) Day Change to Friday (28/03) Paytm From Ravish Bhatia (17/04) HDTNP 915/05) HDTNP (22/05) HDTNP (29/05)</v>
          </cell>
          <cell r="N25" t="str">
            <v>3  del of this cycle   -  1-cycles pmnt   Pending - Collect 0</v>
          </cell>
          <cell r="O25" t="str">
            <v>Sunflower ( Height 16 inch) 2 P n W Glad 7   FF Sachet + Grass</v>
          </cell>
          <cell r="P25" t="str">
            <v>P Asiatic ( 16 inch) 2 B Daisy 7   Grass</v>
          </cell>
          <cell r="Q25" t="e">
            <v>#N/A</v>
          </cell>
          <cell r="R25" t="e">
            <v>#N/A</v>
          </cell>
          <cell r="S25" t="str">
            <v xml:space="preserve">Collect 725 Carry Receipt Book Collect 725 Carry Receipt Book Collect 725 Carry Receipt Book </v>
          </cell>
          <cell r="T25" t="str">
            <v>P n W Car ( 14 Inch ) 16     FF Sachet + Grass</v>
          </cell>
        </row>
        <row r="26">
          <cell r="A26">
            <v>2190</v>
          </cell>
          <cell r="B26" t="str">
            <v>Vismit Sharma</v>
          </cell>
          <cell r="C26">
            <v>9205393464</v>
          </cell>
          <cell r="D26" t="str">
            <v>R-164, DLF Ultima, Sec 81</v>
          </cell>
          <cell r="E26" t="str">
            <v>Manesar</v>
          </cell>
          <cell r="F26" t="str">
            <v>Friday</v>
          </cell>
          <cell r="G26" t="str">
            <v>4 Pm to 7 PM</v>
          </cell>
          <cell r="H26">
            <v>1950</v>
          </cell>
          <cell r="I26">
            <v>487.5</v>
          </cell>
          <cell r="J26" t="str">
            <v>Joy</v>
          </cell>
          <cell r="K26" t="str">
            <v>Skip 2 week (22/02) Skip 1 week (12/03) Skip 1 week (10/03) Skip 1 week (24/07) Skip 1 week (04/09) Skip 2 week (25/09) Hold n start from Jan (12/12)</v>
          </cell>
          <cell r="N26" t="str">
            <v>4  del of this cycle   -  0-cycles pmnt   Completed - Collect 0</v>
          </cell>
          <cell r="O26" t="str">
            <v>O Asiatic 4     Grass</v>
          </cell>
          <cell r="P26" t="str">
            <v>Shd Pur n O Car 22     FF Sachet + Grass</v>
          </cell>
          <cell r="Q26" t="str">
            <v>Mix Alstroemeria ( 14 inch ) 22     FF Sachet + Grass</v>
          </cell>
          <cell r="R26" t="str">
            <v>P n W Glad ( 14 inch ) 22     FF Sachet + Grass</v>
          </cell>
          <cell r="S26" t="str">
            <v>Y Orchid  7     FF Sachet + Grass</v>
          </cell>
          <cell r="T26" t="str">
            <v>P n Y Spray Daisy ( 14 Inch ) 7     FF Sachet + Grass</v>
          </cell>
        </row>
        <row r="27">
          <cell r="A27">
            <v>1377</v>
          </cell>
          <cell r="B27" t="str">
            <v>Geetanjali Babbar</v>
          </cell>
          <cell r="C27">
            <v>9958988852</v>
          </cell>
          <cell r="D27" t="str">
            <v>K-905, Sispal Vihar</v>
          </cell>
          <cell r="E27" t="str">
            <v>Sohna Road 1</v>
          </cell>
          <cell r="F27" t="str">
            <v>Friday</v>
          </cell>
          <cell r="G27" t="str">
            <v>9:30 Am to 2 PM</v>
          </cell>
          <cell r="H27">
            <v>2300</v>
          </cell>
          <cell r="I27">
            <v>287.5</v>
          </cell>
          <cell r="J27" t="str">
            <v>Felicity</v>
          </cell>
          <cell r="K27" t="str">
            <v>Tuesday and FRiday//Monday and Thursday//Send on Monday This week and send rajni too(03/04) Returned-send tom(11/04) Day Changed to Monday(11/04) Sent replacement of Gerbera today(20/04) She likes BOP+Rajni+Car Comb (20/04) Thursday and Monday Morning Slot(13/06) NO BOP(03/08) Hold today ansend after a week(20/11)  Holy Change(16/03) Skip 1 del(16/03) Skip 1 del AND ALWAYS SEND 10 STICKS(02/05) Skip 3rd Feb Del (28/01) Skip tom Delivery (06/04) Dont start from 16th June--start from 19th June (14/06) Skip Friday (13/09) Skip between 24th to 2nd Nov (24/10) Hold n start from Feb (13/01) Skip tom del (14/03) Do Not count last del (21/06) Skip comig Delivery(24/06) Sent a rewplacement today (23/10) Hold geetanjali babbar today (03/01) Skip 1 week (04/01) Skip 18th n 21st Mar (03/03) Skip Friday (09/04) Skip friday (26/06) Paytm From Merajul Alam (23/09) No Del From 09th to 13th (04/12) Skip 10th and 13th Feb (31/01) Skip 1 week (23/03) Replacement tom (21/04) HDTNP (29/05)</v>
          </cell>
          <cell r="M27" t="str">
            <v>Skip 18th n 21st Mar 25</v>
          </cell>
          <cell r="N27" t="str">
            <v>5  del of this cycle   -  0-cycles pmnt   Completed - Collect 0</v>
          </cell>
          <cell r="O27" t="str">
            <v>Sunflower ( Height 16 inch) 3    Pls Check for payment with us before sending FF Sachet + Grass</v>
          </cell>
          <cell r="P27" t="str">
            <v>P Asiatic ( 16 inch) 2     Grass</v>
          </cell>
          <cell r="Q27" t="str">
            <v>Rajni ( 14 inch ) 11     Grass</v>
          </cell>
          <cell r="R27" t="str">
            <v>P n W Car ( 14 inch ) 11     FF Sachet + Grass</v>
          </cell>
          <cell r="S27" t="str">
            <v>O Asiatic ( 15 Inch ) 2   Collect payment Collect payment Grass</v>
          </cell>
          <cell r="T27" t="str">
            <v>Rajni ( 14 Inch ) 11     Grass</v>
          </cell>
        </row>
        <row r="28">
          <cell r="A28">
            <v>3120</v>
          </cell>
          <cell r="B28" t="str">
            <v>Pratibha Saran</v>
          </cell>
          <cell r="C28">
            <v>9953670482</v>
          </cell>
          <cell r="D28" t="str">
            <v>Topaz 124, G Floor, Emaar Emerald Hills, Sec 66</v>
          </cell>
          <cell r="E28" t="str">
            <v>Badshahpur</v>
          </cell>
          <cell r="F28" t="str">
            <v>Friday</v>
          </cell>
          <cell r="G28" t="str">
            <v>9 AM to 2 PM</v>
          </cell>
          <cell r="H28">
            <v>2750</v>
          </cell>
          <cell r="I28">
            <v>687.5</v>
          </cell>
          <cell r="J28" t="str">
            <v>Elation</v>
          </cell>
          <cell r="K28" t="str">
            <v>Hold till 28th jan (26/12) Skip 1 week (03/03) Paytm From Pratibha.libra // No Glad n BOP (03/04)</v>
          </cell>
          <cell r="L28" t="str">
            <v>GLAD n BOP n GERBERA</v>
          </cell>
          <cell r="N28" t="str">
            <v>4  del of this cycle   -  0-cycles pmnt   Completed - Collect 0</v>
          </cell>
          <cell r="O28" t="str">
            <v>Mix Spray Daisy 5 P n W Glad 16   2 Limonium + Ff sachet</v>
          </cell>
          <cell r="P28" t="str">
            <v>Sunflower ( 15 inch) 4 R n W Car 16   2 Gypsola</v>
          </cell>
          <cell r="Q28" t="str">
            <v>W Asiatic ( 15 inch ) 3 Mix Alstroemeria ( 14 inch ) 16   2 Limonium</v>
          </cell>
          <cell r="R28" t="str">
            <v>P n W Eustoma ( 14 Inch ) 4 P n W Glad ( 14 inch ) 15   2 Gypsola</v>
          </cell>
          <cell r="S28" t="str">
            <v>P n Y Spray Daisy ( 15 Inch ) 5 P n W Car ( 14 Inch ) 16   2 Limonium + Ff Sachet</v>
          </cell>
          <cell r="T28" t="str">
            <v xml:space="preserve">W Asiatic ( 14 Inch ) 3 Mix Alstroemeria ( 12 Inch ) 16   2 Gypsola </v>
          </cell>
        </row>
        <row r="29">
          <cell r="A29">
            <v>2688</v>
          </cell>
          <cell r="B29" t="str">
            <v>Shabnam Chaudhari</v>
          </cell>
          <cell r="C29">
            <v>9810042409</v>
          </cell>
          <cell r="D29" t="str">
            <v>B-1902, Bestech Parkview Grandspa, Sec 81</v>
          </cell>
          <cell r="E29" t="str">
            <v>Manesar</v>
          </cell>
          <cell r="F29" t="str">
            <v>Friday</v>
          </cell>
          <cell r="G29" t="str">
            <v>4 PM to 7 PM</v>
          </cell>
          <cell r="H29">
            <v>999</v>
          </cell>
          <cell r="I29">
            <v>249.75</v>
          </cell>
          <cell r="J29" t="str">
            <v>Delight</v>
          </cell>
          <cell r="K29" t="str">
            <v>Only Seasonals (23/05) No Glad (06/06) No Yellow n white (15/06) 1 Stem extra (07/11) No Gerbera and do not count todays delivery (30/01) Next 2 time premium (07/03) Do not count todays delivery (27/03) 2 Stem extra next (01/05) No Gerbera and do not count last delivery (09/05) Only gerbera restricted (10/05)</v>
          </cell>
          <cell r="L29" t="str">
            <v>Gerbera</v>
          </cell>
          <cell r="M29" t="str">
            <v>Seasonal Only // 2 stem extra next (01/05)</v>
          </cell>
          <cell r="N29" t="str">
            <v>2  del of this cycle   -  1-cycles pmnt   Pending - Collect 999</v>
          </cell>
          <cell r="O29" t="str">
            <v>R n W Car 9     FF Sachet + Grass</v>
          </cell>
          <cell r="P29" t="str">
            <v>P n Y Gerbera ( 14 inch) 11     FF Sachet + Grass</v>
          </cell>
          <cell r="Q29" t="str">
            <v>P n W Glad ( 14 inch ) 9     Grass</v>
          </cell>
          <cell r="R29" t="str">
            <v>P n W Car ( 14 inch ) 9     FF Sachet + Grass</v>
          </cell>
          <cell r="S29" t="e">
            <v>#N/A</v>
          </cell>
          <cell r="T29" t="str">
            <v>Mix Alstroemeria ( 12 Inch ) 9     FF Sachet + Grass</v>
          </cell>
        </row>
        <row r="30">
          <cell r="A30">
            <v>2678</v>
          </cell>
          <cell r="B30" t="str">
            <v>Saachi Satyaarth</v>
          </cell>
          <cell r="C30">
            <v>9643712005</v>
          </cell>
          <cell r="D30" t="str">
            <v>H-1504, Microtek Greenburg, Sec 86</v>
          </cell>
          <cell r="E30" t="str">
            <v>Manesar</v>
          </cell>
          <cell r="F30" t="str">
            <v>Friday</v>
          </cell>
          <cell r="G30" t="str">
            <v>4 PM to 7 PM</v>
          </cell>
          <cell r="H30">
            <v>1450</v>
          </cell>
          <cell r="I30">
            <v>362.5</v>
          </cell>
          <cell r="J30" t="str">
            <v>Bliss</v>
          </cell>
          <cell r="K30" t="str">
            <v>Skip 1 week (04/06) Do not count last Del (28/03) 1 Sunflower Extra next (03/04)</v>
          </cell>
          <cell r="M30" t="str">
            <v>1 Sunflower Extra Next (03/04)</v>
          </cell>
          <cell r="N30" t="str">
            <v>1  del of this cycle   -  0-cycles pmnt   Completed - Collect 0</v>
          </cell>
          <cell r="O30" t="str">
            <v>Pur Eustoma 2 P n W Car 7   FF Sachet + Grass</v>
          </cell>
          <cell r="P30" t="str">
            <v>P Asiatic ( 16 inch) 2 B Daisy 7   Grass</v>
          </cell>
          <cell r="Q30" t="str">
            <v>Y Spray Daisy ( 15 inch ) 3 Mix Alstroemeria ( 14 inch ) 7   FF Sachet + Grass</v>
          </cell>
          <cell r="R30" t="str">
            <v>Sunflower ( 15 inch ) 2 P n W Glad ( 14 inch ) 7   Grass</v>
          </cell>
          <cell r="S30" t="str">
            <v>O Asiatic ( 15 Inch ) 2 R n W Car ( 14 Inch ) 7   Grass</v>
          </cell>
          <cell r="T30" t="str">
            <v>P Eustoma ( 14 Inch ) 2 Mix Alstroemeria ( 12 Inch ) 7   FF Sachet + Grass</v>
          </cell>
        </row>
        <row r="31">
          <cell r="A31">
            <v>2224</v>
          </cell>
          <cell r="B31" t="str">
            <v>Samta Mehra</v>
          </cell>
          <cell r="C31">
            <v>9811137290</v>
          </cell>
          <cell r="D31" t="str">
            <v>D-1401, Park View City-1, Sohna Road</v>
          </cell>
          <cell r="E31" t="str">
            <v>Sohna Road 2</v>
          </cell>
          <cell r="F31" t="str">
            <v>Friday</v>
          </cell>
          <cell r="G31" t="str">
            <v>9 AM - 12 PM</v>
          </cell>
          <cell r="H31">
            <v>3750</v>
          </cell>
          <cell r="I31">
            <v>937.5</v>
          </cell>
          <cell r="J31" t="str">
            <v>Savor</v>
          </cell>
          <cell r="K31" t="str">
            <v>Mixed Flowers// Upgrade to Elation (30/03) Skip 3 weeks (13/06) Skip 2 weeks (21/12) Upgrade ti savor (23/02) Skip 1 week (16/04) Skip 1 week (20/06) Hold today (12/09) Skip 1 week (02/10) Skip 1 week (29/12) Skip 1 week (28/03)</v>
          </cell>
          <cell r="N31" t="str">
            <v>1  del of this cycle   -  1-cycles pmnt   Pending - Collect 0</v>
          </cell>
          <cell r="O31" t="str">
            <v>Sunflower ( Height 16 inch) 5 R n W Car 21   2 Limonium + Ff sachet</v>
          </cell>
          <cell r="P31" t="e">
            <v>#N/A</v>
          </cell>
          <cell r="Q31" t="str">
            <v>P n W Spray Daisy ( 15 inch ) 5 Mix Alstroemeria ( 14 inch ) 21   2 Gypsola + FF sachet</v>
          </cell>
          <cell r="R31" t="str">
            <v>Y Asiatic ( 15 inch ) 4 P n W Glad ( 14 inch ) 21   2 Limonium + FF aschet</v>
          </cell>
          <cell r="S31" t="str">
            <v>P n W Eustoma ( 14 Inch ) 4 P n W Car ( 14 Inch ) 21   2 Gypsola + FF Sachet</v>
          </cell>
          <cell r="T31" t="str">
            <v>Sunflower ( 12 Inch ) 5 Mix Alstroemeria ( 12 Inch ) 20   2 Limonium + FF Sachet</v>
          </cell>
        </row>
        <row r="32">
          <cell r="A32">
            <v>2435</v>
          </cell>
          <cell r="B32" t="str">
            <v>Manisha Aswani</v>
          </cell>
          <cell r="C32">
            <v>7426027603</v>
          </cell>
          <cell r="D32" t="str">
            <v>4-I/302, Orris Aster Court. Sec 85</v>
          </cell>
          <cell r="E32" t="str">
            <v>Manesar</v>
          </cell>
          <cell r="F32" t="str">
            <v>Friday</v>
          </cell>
          <cell r="G32" t="str">
            <v>After 5:30 PM</v>
          </cell>
          <cell r="H32">
            <v>1450</v>
          </cell>
          <cell r="I32">
            <v>362.5</v>
          </cell>
          <cell r="J32" t="str">
            <v>Bliss</v>
          </cell>
          <cell r="K32" t="str">
            <v>Insta // Sent replacement today (05/04) Sent Replacement today (19/04) Do Not Count last Del (06/05) Hold she will confirm (14/05) Payment confussion(29/06) Skip 1 week (22/04) Today Hold and skip (15/05) HDTNP (29/05)</v>
          </cell>
          <cell r="M32" t="str">
            <v>Premium Flowers Extra next (16/08)</v>
          </cell>
          <cell r="N32" t="str">
            <v>3  del of this cycle   -   0-cycles pmnt   Completed - Collect 0</v>
          </cell>
          <cell r="O32" t="str">
            <v>Sunflower ( Height 16 inch) 4     FF Sachet + Grass</v>
          </cell>
          <cell r="P32" t="str">
            <v>R n W Car 16     FF Sachet + Grass</v>
          </cell>
          <cell r="Q32" t="str">
            <v>P n W Spray Daisy ( 15 inch ) 5     FF Sachet + Grass</v>
          </cell>
          <cell r="R32" t="e">
            <v>#N/A</v>
          </cell>
          <cell r="S32" t="str">
            <v xml:space="preserve">Collect 725 Carry Receipt Book Collect 725 with Change Carry Receipt Book Collect 725 with Change Carry Receipt Book </v>
          </cell>
          <cell r="T32" t="str">
            <v>O Asiatic ( 14 Inch ) 3     Grass</v>
          </cell>
        </row>
        <row r="33">
          <cell r="A33">
            <v>3139</v>
          </cell>
          <cell r="B33" t="str">
            <v>Ishita Chopra</v>
          </cell>
          <cell r="C33">
            <v>9810247803</v>
          </cell>
          <cell r="D33" t="str">
            <v>B-69, Ground Floor, Soutthend Floor, Sec 49</v>
          </cell>
          <cell r="E33" t="str">
            <v>Sohna Road 1</v>
          </cell>
          <cell r="F33" t="str">
            <v>Friday</v>
          </cell>
          <cell r="G33" t="str">
            <v>4 Pm to 7 PM</v>
          </cell>
          <cell r="H33">
            <v>1450</v>
          </cell>
          <cell r="I33">
            <v>362.5</v>
          </cell>
          <cell r="J33" t="str">
            <v>Bliss</v>
          </cell>
          <cell r="K33" t="str">
            <v>No Red Rose // Today returned due to timing missunderstaning (21/11) No Roses (06/01)</v>
          </cell>
          <cell r="L33" t="str">
            <v>Roses</v>
          </cell>
          <cell r="N33" t="str">
            <v>2  del of this cycle   -  0-cycles pmnt   Completed - Collect 0</v>
          </cell>
          <cell r="O33" t="e">
            <v>#N/A</v>
          </cell>
          <cell r="P33" t="e">
            <v>#N/A</v>
          </cell>
          <cell r="Q33" t="e">
            <v>#N/A</v>
          </cell>
          <cell r="R33" t="e">
            <v>#N/A</v>
          </cell>
          <cell r="S33" t="str">
            <v>P n W Car 16     FF Sachet + Grass</v>
          </cell>
          <cell r="T33" t="str">
            <v>O Asiatic ( 14 Inch ) 3     Grass</v>
          </cell>
        </row>
        <row r="34">
          <cell r="A34">
            <v>1618</v>
          </cell>
          <cell r="B34" t="str">
            <v>Nidhi Sharma Malhotra</v>
          </cell>
          <cell r="C34" t="str">
            <v>8130207722//9999016333</v>
          </cell>
          <cell r="D34" t="str">
            <v>Topaz-36, First Floor, Emaar Emerald Hills, Sec 65</v>
          </cell>
          <cell r="E34" t="str">
            <v>Badshahpur</v>
          </cell>
          <cell r="F34" t="str">
            <v>Friday</v>
          </cell>
          <cell r="G34" t="str">
            <v>9 AM to 2 PM</v>
          </cell>
          <cell r="H34">
            <v>3000</v>
          </cell>
          <cell r="I34">
            <v>375</v>
          </cell>
          <cell r="J34" t="str">
            <v>Charm</v>
          </cell>
          <cell r="K34" t="str">
            <v>Friday n Monday//NO Glad(11/03)  Holy Change(16/03) Send next delivery on Monday (26/04) Heliconia Next (03/05) Now felicity (25/05) Today Returned (15/07) Paytm From sante (16/04) Date was updated from 13th july to 04th Aug -- deliveries missed-- now updated from Jule -- Still deliveries missed(05/07</v>
          </cell>
          <cell r="L34" t="str">
            <v>GLAD</v>
          </cell>
          <cell r="N34" t="str">
            <v>3  del of this cycle   -  0-cycles pmnt   Complimentary - Collect 0</v>
          </cell>
          <cell r="O34" t="str">
            <v>B Daisy 15     Grass</v>
          </cell>
          <cell r="P34" t="str">
            <v>P Asiatic ( 16 inch) 3     Grass</v>
          </cell>
          <cell r="Q34" t="str">
            <v>Bop 3     FF Sachet + Grass</v>
          </cell>
          <cell r="R34" t="str">
            <v>P n W Car ( 14 inch ) 15     FF Sachet + Grass</v>
          </cell>
          <cell r="S34" t="str">
            <v>Mix Spray Daisy 4     FF Sachet + Grass</v>
          </cell>
          <cell r="T34" t="str">
            <v>Pur Eustom ( 14 Inch ) 3     FF Sachet + Grass</v>
          </cell>
        </row>
        <row r="35">
          <cell r="A35">
            <v>2899</v>
          </cell>
          <cell r="B35" t="str">
            <v>Mitali</v>
          </cell>
          <cell r="C35">
            <v>8805097625</v>
          </cell>
          <cell r="D35" t="str">
            <v>A-3o4, Emaar Emerald Estate, Sec 65</v>
          </cell>
          <cell r="E35" t="str">
            <v>Badshahpur</v>
          </cell>
          <cell r="F35" t="str">
            <v>Friday</v>
          </cell>
          <cell r="G35" t="str">
            <v>9 AM - 12 PM</v>
          </cell>
          <cell r="H35">
            <v>999</v>
          </cell>
          <cell r="I35">
            <v>249.75</v>
          </cell>
          <cell r="J35" t="str">
            <v>Delight</v>
          </cell>
          <cell r="K35" t="str">
            <v>Skip tom (16/10) Paytm from Mitali Bansal // Returned today (13/03) Send 1 Del tom (15/03)</v>
          </cell>
          <cell r="N35" t="str">
            <v>2  del of this cycle   -  0-cycles pmnt   Completed - Collect 0</v>
          </cell>
          <cell r="O35" t="str">
            <v>R n W Car 9     FF Sachet + Grass</v>
          </cell>
          <cell r="P35" t="str">
            <v>P n W Glad ( 15 inch) 9     Grass</v>
          </cell>
          <cell r="Q35" t="str">
            <v>P Spray Daisy ( 15 inch ) 3     FF Sachet + Grass</v>
          </cell>
          <cell r="R35" t="str">
            <v>Sunflower ( 15 inch ) 2     Grass</v>
          </cell>
          <cell r="S35" t="str">
            <v>Mix Alstroemeria ( 12 Inch ) 9     FF Sachet + Grass</v>
          </cell>
          <cell r="T35" t="str">
            <v>O Asiatic ( 14 Inch ) 2     Grass</v>
          </cell>
        </row>
        <row r="36">
          <cell r="A36">
            <v>1571</v>
          </cell>
          <cell r="B36" t="str">
            <v>Mohar Ray Dahiya</v>
          </cell>
          <cell r="C36">
            <v>9910019898</v>
          </cell>
          <cell r="D36" t="str">
            <v>Sovereign-3/201, Vatika City</v>
          </cell>
          <cell r="E36" t="str">
            <v>Sohna Road 1</v>
          </cell>
          <cell r="F36" t="str">
            <v>Friday</v>
          </cell>
          <cell r="G36" t="str">
            <v>9 AM to 2 PM</v>
          </cell>
          <cell r="H36">
            <v>1600</v>
          </cell>
          <cell r="I36">
            <v>200</v>
          </cell>
          <cell r="J36" t="str">
            <v>Bloom</v>
          </cell>
          <cell r="K36" t="str">
            <v>Friday and Monday(29/06)Chamged to Friday//NO Tape Usage(10/12) Rajni and Car next -- No Red Car(14/01)  Glad and Rose-- Pref both Red(11/02) Spray Daisy and Guldawari this week(24/02) Send Mix of BOP and anthurium(28/02) Mix of Orchid and Lily next(10/03)   NO BOP AND ANTHURIUM(18/04)NO BOP/ANTHURIUM/HELICONIA AND ORIENTAL(01/06) Spray Daisy Next(10/07) Mix Glad Next(30/08) Lilies if they are good else  any other flower in Red/Orange or Yellow (19/10) Yellow Glad Next (27/11) No Joy Package and sned Rose and Guldawari Tom (15/12) Send mix of Red n W Car anmd Guldawari tom (22/12) Pls send on sunday this week instead of friday (08/01) Guldawari and Orchids Next (16/01) NO RAJNI til they become better(04/08) Send replacement today(23/09) Aster in Subscription (19/10) Glad Next (08/11) No Delivery between (5th Jan to 16th Jan (28/12) NO BOP n GERBERA (23/02) Hold till 23rd Jan (30/12) Rs. 725 added against referal credit of Amrita Jain Subscription (08/03) Do not count last del (19/04) Friday missed (16/06) Skip this friday (25/06) Hold from 5th to 12th (04/01)</v>
          </cell>
          <cell r="L36" t="str">
            <v>BOP n GERBERA</v>
          </cell>
          <cell r="N36" t="str">
            <v>3  del of this cycle   -  0-cycles pmnt   Completed - Collect 0</v>
          </cell>
          <cell r="O36" t="str">
            <v>B Daisy 7     Grass</v>
          </cell>
          <cell r="P36" t="str">
            <v>Sunflower ( 15 inch) 2     Grass</v>
          </cell>
          <cell r="Q36" t="str">
            <v>P n W Car ( 14 inch ) 7     FF Sachet + Grass</v>
          </cell>
          <cell r="R36" t="str">
            <v>Rajni ( 16 inch ) 7     Grass</v>
          </cell>
          <cell r="S36" t="str">
            <v>P n W Glad ( 14 Inch ) 7     Grass</v>
          </cell>
          <cell r="T36" t="str">
            <v>R n W Car ( 14 Inch ) 7     FF Sachet + Grass</v>
          </cell>
        </row>
        <row r="37">
          <cell r="A37">
            <v>3081</v>
          </cell>
          <cell r="B37" t="str">
            <v xml:space="preserve">Nikhat </v>
          </cell>
          <cell r="C37" t="str">
            <v>90044 52898‬</v>
          </cell>
          <cell r="D37" t="str">
            <v>Tower B, flat 074, DLF regal gardens , sector 90</v>
          </cell>
          <cell r="E37" t="str">
            <v>Manesar</v>
          </cell>
          <cell r="F37" t="str">
            <v>Friday</v>
          </cell>
          <cell r="G37" t="str">
            <v>4 PM to 7 PM</v>
          </cell>
          <cell r="H37">
            <v>1450</v>
          </cell>
          <cell r="I37">
            <v>362.5</v>
          </cell>
          <cell r="J37" t="str">
            <v>Bliss</v>
          </cell>
          <cell r="K37" t="str">
            <v>Paytm From Puneet Pundora (06/03) Hold today (20/03)</v>
          </cell>
          <cell r="N37" t="str">
            <v>1  del of this cycle   -  1-cycles pmnt   Pending - Collect 1450</v>
          </cell>
          <cell r="O37" t="str">
            <v>P Eustoma 2 P n W Gerbera 7   FF Sachet + Grass</v>
          </cell>
          <cell r="P37" t="str">
            <v>Y Spray Daisy ( 16 inch)  3 Alstomeria 7   FF Sachet + Grass</v>
          </cell>
          <cell r="Q37" t="str">
            <v>Sunflower ( 15 inch ) 2 P n W Glad ( 14 inch ) 7   Grass</v>
          </cell>
          <cell r="R37" t="str">
            <v>P Asiatic ( 15 inch ) 2 P n W Car ( 14 inch ) 7   Grass</v>
          </cell>
          <cell r="S37" t="str">
            <v>Sunflower ( 14 Inch ) 2 Mix Alstroemeria ( 12 Inch )  7   FF Sachet + Grass</v>
          </cell>
          <cell r="T37" t="str">
            <v>Pur Eustom ( 14 Inch ) 2 P n W Glad ( 14 Inch ) 7   FF Sachet + Grass</v>
          </cell>
        </row>
        <row r="38">
          <cell r="A38">
            <v>152</v>
          </cell>
          <cell r="B38" t="str">
            <v xml:space="preserve">
Manisha Kahai
</v>
          </cell>
          <cell r="C38">
            <v>9810013410</v>
          </cell>
          <cell r="D38" t="str">
            <v xml:space="preserve">Flat number 41, Jasminium 1, Vatika City, Sector 49 (Sohna Road)    Sec 49 Gurgaon  122001 
</v>
          </cell>
          <cell r="E38" t="str">
            <v>Sohna Road 1</v>
          </cell>
          <cell r="F38" t="str">
            <v>Friday</v>
          </cell>
          <cell r="G38" t="str">
            <v>9 AM - 12 PM</v>
          </cell>
          <cell r="H38">
            <v>1450</v>
          </cell>
          <cell r="I38">
            <v>362.5</v>
          </cell>
          <cell r="J38" t="str">
            <v>Bliss</v>
          </cell>
          <cell r="K38" t="str">
            <v>Day changed to Sat (25/02)Return-send tomorrow(03/11)Hold and start from 11th may(06/04) FF Sold today(03/08) FF Sold today n payment recvd(07/09) Holy Change(16/03) FF Next(20/03) Paytm from Manisha Singh (09/06) 250 returned via paytm (03/.11) Today Returned (18/07)</v>
          </cell>
          <cell r="N38" t="str">
            <v>4  del of this cycle   -  0-cycles pmnt   Completed - Collect 0</v>
          </cell>
          <cell r="O38" t="str">
            <v>P n W Glad 16     Grass</v>
          </cell>
          <cell r="P38" t="str">
            <v>Pur Eustoma ( 14 inch )  3     FF Sachet + Grass</v>
          </cell>
          <cell r="Q38" t="str">
            <v>P n Y Spray Daisy ( 15 inch ) 5     FF Sachet + Grass</v>
          </cell>
          <cell r="R38" t="str">
            <v>P Asiatic ( 15 inch ) 3     Grass</v>
          </cell>
          <cell r="S38" t="str">
            <v>R n W Car ( 14 Inch ) 16     FF Sachet + Grass</v>
          </cell>
          <cell r="T38" t="str">
            <v>P n W Glad ( 14 Inch ) 16     Grass</v>
          </cell>
        </row>
        <row r="39">
          <cell r="A39">
            <v>3099</v>
          </cell>
          <cell r="B39" t="str">
            <v>Manisha Mishra</v>
          </cell>
          <cell r="C39">
            <v>9910993142</v>
          </cell>
          <cell r="D39" t="str">
            <v>E-1202, maceo appartmnet, sector 91</v>
          </cell>
          <cell r="E39" t="str">
            <v>Dwarka Expressway</v>
          </cell>
          <cell r="F39" t="str">
            <v>Friday</v>
          </cell>
          <cell r="G39" t="str">
            <v>4 PM to 7 PM</v>
          </cell>
          <cell r="H39">
            <v>1950</v>
          </cell>
          <cell r="I39">
            <v>487.5</v>
          </cell>
          <cell r="J39" t="str">
            <v>Joy</v>
          </cell>
          <cell r="K39" t="str">
            <v>Paytm from Rohit Ahuja</v>
          </cell>
          <cell r="N39" t="str">
            <v>1  del of this cycle   -  1-cycles pmnt   Pending - Collect 1950</v>
          </cell>
          <cell r="O39" t="str">
            <v>P n Y Spray Daisy 4 P n W Glad 11   FF Sachet + Grass</v>
          </cell>
          <cell r="P39" t="str">
            <v>P Eustoma ( 14 inch ) 2 P n W Gerbera ( 14 inch ) 11   FF Sachet + Grass</v>
          </cell>
          <cell r="Q39" t="str">
            <v>Sunflower ( 15 inch ) 3 Mix Alstroemeria ( 14 inch ) 10 Ensure Collection Ensure Collection Grass</v>
          </cell>
          <cell r="R39" t="str">
            <v>P Asiatic ( 15 inch ) 2 R n W Car( 14 inch ) 11   Grass</v>
          </cell>
          <cell r="S39" t="str">
            <v>Sunflower ( 14 Inch ) 3  Spray Carnation  10   FF Sachet + Grass</v>
          </cell>
          <cell r="T39" t="str">
            <v>Pur Eustom ( 14 Inch ) 2 P n W Glad ( 14 Inch ) 11   FF Sachet + Grass</v>
          </cell>
        </row>
        <row r="40">
          <cell r="A40">
            <v>2985</v>
          </cell>
          <cell r="B40" t="str">
            <v>Leena -- Orchid Petals</v>
          </cell>
          <cell r="C40">
            <v>9810768350</v>
          </cell>
          <cell r="D40" t="str">
            <v>T-24/1103, Orchid Petals</v>
          </cell>
          <cell r="E40" t="str">
            <v>Sohna Road 1</v>
          </cell>
          <cell r="F40" t="str">
            <v>Friday</v>
          </cell>
          <cell r="G40" t="str">
            <v>9 AM - 12 PM</v>
          </cell>
          <cell r="H40">
            <v>1450</v>
          </cell>
          <cell r="I40">
            <v>362.5</v>
          </cell>
          <cell r="J40" t="str">
            <v>Bliss</v>
          </cell>
          <cell r="K40" t="str">
            <v>1st del tom and then every Friday // Upgrade to Bliss (08/01) Hold today (06/02) Skip Friday and send on Sunday this week (20/05)</v>
          </cell>
          <cell r="N40" t="str">
            <v>1  del of this cycle   -  0-cycles pmnt   Completed - Collect 0</v>
          </cell>
          <cell r="O40" t="str">
            <v>P n W Glad 16     Grass</v>
          </cell>
          <cell r="P40" t="str">
            <v>Pur Eustoma ( 14 inch )  3     FF Sachet + Grass</v>
          </cell>
          <cell r="Q40" t="str">
            <v>P n W Spray Daisy ( 15 inch ) 5     FF Sachet + Grass</v>
          </cell>
          <cell r="R40" t="e">
            <v>#N/A</v>
          </cell>
          <cell r="S40" t="str">
            <v>R n W Car ( 14 Inch ) 16     FF Sachet + Grass</v>
          </cell>
          <cell r="T40" t="str">
            <v>O Asiatic ( 14 Inch ) 3     Grass</v>
          </cell>
        </row>
        <row r="41">
          <cell r="A41">
            <v>2582</v>
          </cell>
          <cell r="B41" t="str">
            <v>Nidhi -- Emaar Palm</v>
          </cell>
          <cell r="C41">
            <v>9873404809</v>
          </cell>
          <cell r="D41" t="str">
            <v>T-57/101, Emaar emerakd Premier Floors, Sec 65</v>
          </cell>
          <cell r="E41" t="str">
            <v>Badshahpur</v>
          </cell>
          <cell r="F41" t="str">
            <v>Friday</v>
          </cell>
          <cell r="G41" t="str">
            <v>9:30 Am to 2 PM</v>
          </cell>
          <cell r="H41">
            <v>999</v>
          </cell>
          <cell r="I41">
            <v>249.75</v>
          </cell>
          <cell r="J41" t="str">
            <v>Delight</v>
          </cell>
          <cell r="K41" t="str">
            <v>From Nidhi Srivastava // No Del till 4th Oct (24/09) Hold due to non payment (26/12) Hold due to non payment (23/01)</v>
          </cell>
          <cell r="N41" t="str">
            <v>4  del of this cycle   -  0-cycles pmnt   Completed - Collect 0</v>
          </cell>
          <cell r="O41" t="str">
            <v>P n W Glad 9     Grass</v>
          </cell>
          <cell r="P41" t="str">
            <v>P Asiatic ( 16 inch) 2     Grass</v>
          </cell>
          <cell r="Q41" t="str">
            <v>R n W Car ( 14 inch ) 9     FF Sachet + Grass</v>
          </cell>
          <cell r="R41" t="str">
            <v>Glad 9     Grass</v>
          </cell>
          <cell r="S41" t="str">
            <v xml:space="preserve">Collect 500 Carry Receipt Book Collect 500 Carry Receipt Book Collect 500 Carry Receipt Book </v>
          </cell>
          <cell r="T41" t="str">
            <v>Y Spray Daisy ( 14 Inch ) 3     FF Sachet + Grass</v>
          </cell>
        </row>
        <row r="42">
          <cell r="A42">
            <v>48</v>
          </cell>
          <cell r="B42" t="str">
            <v>Ms. Namrata Agarwal</v>
          </cell>
          <cell r="C42">
            <v>9873660272</v>
          </cell>
          <cell r="D42" t="str">
            <v>18/1101,Orchid Petals, Sohna Road</v>
          </cell>
          <cell r="E42" t="str">
            <v>Sohna Road 1</v>
          </cell>
          <cell r="F42" t="str">
            <v>Friday</v>
          </cell>
          <cell r="G42" t="str">
            <v>9 AM - 12 PM</v>
          </cell>
          <cell r="H42">
            <v>1950</v>
          </cell>
          <cell r="I42">
            <v>487.5</v>
          </cell>
          <cell r="J42" t="str">
            <v>Joy</v>
          </cell>
          <cell r="K42" t="str">
            <v>More Lilies n Orchids (20/05), NO ORCHID(12/10)  NO HELICONIA and send vase Next for 200(01/02) Send 1 vase for 200 tom(05/02)NO BOP(13/03) Paytm from Vipul Agarwal (09/06) Skip 3 weeks after current cycle (10/06) Paytm from Vipul Agarwal (14/07) Do not count last del (09/09) Skip 2 week (29/05) Today Returned (20/06) Hold due to non payment (16/01) Hold due to non payment (23/01) HDTNP (27/02) HDTNP (06/03) HDTNP (13/03) Skip 3 week (19/04)</v>
          </cell>
          <cell r="N42" t="str">
            <v>3  del of this cycle   -  0-cycles pmnt   Completed - Collect 0</v>
          </cell>
          <cell r="O42" t="e">
            <v>#N/A</v>
          </cell>
          <cell r="P42" t="e">
            <v>#N/A</v>
          </cell>
          <cell r="Q42" t="str">
            <v>P n Y Spray Daisy ( 15 inch ) 7     FF Sachet + Grass</v>
          </cell>
          <cell r="R42" t="str">
            <v>P n W Car ( 14 inch ) 22     FF Sachet + Grass</v>
          </cell>
          <cell r="S42" t="str">
            <v>O Asiatic ( 15 Inch ) 4     Grass</v>
          </cell>
          <cell r="T42" t="str">
            <v>P n W Glad ( 14 Inch ) 22     Grass</v>
          </cell>
        </row>
        <row r="43">
          <cell r="B43" t="str">
            <v>Megha</v>
          </cell>
          <cell r="C43">
            <v>9899820599</v>
          </cell>
          <cell r="D43" t="str">
            <v xml:space="preserve"> Tower #82 House #1001 10th floor EMAAR PALM HILLS Sector 77 </v>
          </cell>
          <cell r="G43" t="str">
            <v>Before 3.0 Pm</v>
          </cell>
          <cell r="H43">
            <v>750</v>
          </cell>
          <cell r="J43" t="str">
            <v>Bouquet</v>
          </cell>
          <cell r="K43" t="str">
            <v>Send today before 2 to Megha 
+91 98998 20599
4 pink aaiatic and 2 pink spray daisies with greens</v>
          </cell>
          <cell r="T43" t="str">
            <v xml:space="preserve">P Asiatic+ P Spray Daisy 4+2 Grass    </v>
          </cell>
        </row>
        <row r="44">
          <cell r="A44">
            <v>3052</v>
          </cell>
          <cell r="B44" t="str">
            <v>Surabhi Singh - Orchid Petals</v>
          </cell>
          <cell r="C44">
            <v>9990327545</v>
          </cell>
          <cell r="D44" t="str">
            <v>T-9/501, Orchid Petals</v>
          </cell>
          <cell r="E44" t="str">
            <v>Sohna Road 1</v>
          </cell>
          <cell r="F44" t="str">
            <v>Friday</v>
          </cell>
          <cell r="G44" t="str">
            <v>9 AM to 2 PM</v>
          </cell>
          <cell r="H44">
            <v>1450</v>
          </cell>
          <cell r="I44">
            <v>362.5</v>
          </cell>
          <cell r="J44" t="str">
            <v>Bliss</v>
          </cell>
          <cell r="K44" t="str">
            <v>Skip 1 week (16/10) Skip 1 week (11/11) Today Hold (20/02) HDTNP (27/02) HDTNP (06/03)</v>
          </cell>
          <cell r="N44" t="str">
            <v>4  del of this cycle   -  0-cycles pmnt   Completed - Collect 0</v>
          </cell>
          <cell r="O44" t="e">
            <v>#N/A</v>
          </cell>
          <cell r="P44" t="e">
            <v>#N/A</v>
          </cell>
          <cell r="Q44" t="e">
            <v>#N/A</v>
          </cell>
          <cell r="R44" t="e">
            <v>#N/A</v>
          </cell>
          <cell r="S44" t="str">
            <v>O Asiatic ( 15 Inch ) 2 Mix Alstroemeria ( 12 Inch )  7   Grass</v>
          </cell>
          <cell r="T44" t="str">
            <v>Sunflower ( 12 Inch ) 2 P n W Glad ( 14 Inch ) 7   FF Sachet + Grass</v>
          </cell>
        </row>
        <row r="45">
          <cell r="A45">
            <v>3257</v>
          </cell>
          <cell r="B45" t="str">
            <v>Dr. Pallavee</v>
          </cell>
          <cell r="C45">
            <v>9990359025</v>
          </cell>
          <cell r="D45" t="str">
            <v>T-6/603, Orchid Petals</v>
          </cell>
          <cell r="E45" t="str">
            <v>Sohna Road 1</v>
          </cell>
          <cell r="F45" t="str">
            <v>Friday</v>
          </cell>
          <cell r="G45" t="str">
            <v>4 Pm to 7 PM</v>
          </cell>
          <cell r="H45">
            <v>999</v>
          </cell>
          <cell r="I45">
            <v>249.75</v>
          </cell>
          <cell r="J45" t="str">
            <v>Delight</v>
          </cell>
          <cell r="K45" t="str">
            <v>From Pallavee Rajboganshi // Hold n start after 20th (03/05)</v>
          </cell>
          <cell r="N45" t="str">
            <v>3  del of this cycle   -  0-cycles pmnt   CompletedNO COLLECTION-we have extra money - Collect -4</v>
          </cell>
          <cell r="O45" t="str">
            <v>B Daisy 9     FF Sachet + Grass</v>
          </cell>
          <cell r="P45" t="e">
            <v>#N/A</v>
          </cell>
          <cell r="Q45" t="e">
            <v>#N/A</v>
          </cell>
          <cell r="R45" t="str">
            <v>R n W Car ( 14 inch ) 9     FF Sachet + Grass</v>
          </cell>
          <cell r="S45" t="str">
            <v>O Asiatic ( 15 Inch ) 2     Grass</v>
          </cell>
          <cell r="T45" t="str">
            <v>P n W Glad ( 14 Inch ) 9     Grass</v>
          </cell>
        </row>
        <row r="46">
          <cell r="A46">
            <v>2385</v>
          </cell>
          <cell r="B46" t="str">
            <v>Vasanta Poddar</v>
          </cell>
          <cell r="C46">
            <v>9899170709</v>
          </cell>
          <cell r="D46" t="str">
            <v>S-64, 2nd Floor, Uppal Southend</v>
          </cell>
          <cell r="E46" t="str">
            <v>Sohna Road 1</v>
          </cell>
          <cell r="F46" t="str">
            <v>Friday</v>
          </cell>
          <cell r="G46" t="str">
            <v>9 AM - 12 PM</v>
          </cell>
          <cell r="H46">
            <v>1950</v>
          </cell>
          <cell r="I46">
            <v>487.5</v>
          </cell>
          <cell r="J46" t="str">
            <v>Joy</v>
          </cell>
          <cell r="K46" t="str">
            <v xml:space="preserve"> Skip 1 week (11/03) Skip 2 week (29/05) Sent 1 Del today (21/08) Send tom (06/02) Skip 1 week (19/02)</v>
          </cell>
          <cell r="L46" t="str">
            <v>ORCHID</v>
          </cell>
          <cell r="N46" t="str">
            <v>3  del of this cycle   -  0-cycles pmnt   Completed - Collect 0</v>
          </cell>
          <cell r="O46" t="str">
            <v>O Asiatic 4     Grass</v>
          </cell>
          <cell r="P46" t="str">
            <v>Shd Pur n O Car 22     FF Sachet + Grass</v>
          </cell>
          <cell r="Q46" t="str">
            <v>P n Y Spray Daisy ( 15 inch ) 7     FF Sachet + Grass</v>
          </cell>
          <cell r="R46" t="str">
            <v>Sunflower ( 15 inch ) 5     Grass</v>
          </cell>
          <cell r="S46" t="str">
            <v>P n W Glad ( 14 Inch ) 22     Grass</v>
          </cell>
          <cell r="T46" t="str">
            <v>W Asiatic ( 14 Inch ) 4     Grass</v>
          </cell>
        </row>
        <row r="47">
          <cell r="A47">
            <v>1238</v>
          </cell>
          <cell r="B47" t="str">
            <v>Meenakshi Dua-- Evening Only</v>
          </cell>
          <cell r="C47">
            <v>9560900277</v>
          </cell>
          <cell r="D47" t="str">
            <v>T-9/803, Orchid Petals</v>
          </cell>
          <cell r="E47" t="str">
            <v>Sohna Road 1</v>
          </cell>
          <cell r="F47" t="str">
            <v>Friday</v>
          </cell>
          <cell r="G47" t="str">
            <v>4 PM to 7PM</v>
          </cell>
          <cell r="H47">
            <v>1950</v>
          </cell>
          <cell r="I47">
            <v>487.5</v>
          </cell>
          <cell r="J47" t="str">
            <v>Joy</v>
          </cell>
          <cell r="K47" t="str">
            <v>Friday and Tuesday// Rajni Next (14/11) Upgrade to Elations and No Heliconia and BOP // Send Rajni and Guldawari next (26/12)(26/12) No Charm (25/02) Sprya Daisy or Guldawari Tom (03/04) Send any from Guldawari/Rajnior Lily (06/04) No Flowers till 28th (17/11) Send from Orienta/ Daisy or Rajni tom (21/12) Send Replacement tom (01/03). skip tomorrow (25/04)</v>
          </cell>
          <cell r="L47" t="str">
            <v xml:space="preserve">HELICONIA n BOP n GERBERA </v>
          </cell>
          <cell r="M47" t="str">
            <v>No Yel/Wht/Red in Glad and Guldawari</v>
          </cell>
          <cell r="N47" t="str">
            <v>3  del of this cycle   -  0-cycles pmnt   Completed - Collect 0</v>
          </cell>
          <cell r="O47" t="str">
            <v>P n Y Spray Daisy 7     FF Sachet + Grass</v>
          </cell>
          <cell r="P47" t="str">
            <v>Alstomeria 22     Grass</v>
          </cell>
          <cell r="Q47" t="str">
            <v>P n W Glad ( 14 inch ) 22     Grass</v>
          </cell>
          <cell r="R47" t="str">
            <v>P Asiatic ( 15 inch ) 4     Grass</v>
          </cell>
          <cell r="S47" t="str">
            <v>R n W Car ( 14 Inch ) 22     FF Sachet + Grass</v>
          </cell>
          <cell r="T47" t="str">
            <v>Pur n P Eustoma ( 14 Inch ) 4     FF Sachet + Grass</v>
          </cell>
        </row>
        <row r="48">
          <cell r="A48">
            <v>2123</v>
          </cell>
          <cell r="B48" t="str">
            <v>Meenu Singh</v>
          </cell>
          <cell r="C48">
            <v>9999982765</v>
          </cell>
          <cell r="D48" t="str">
            <v xml:space="preserve">FLAT NO 16 A, TOWER 2, FAIRWAY EAST, M3M GOLF ESTATE
</v>
          </cell>
          <cell r="E48" t="str">
            <v>Badshahpur</v>
          </cell>
          <cell r="F48" t="str">
            <v>Friday</v>
          </cell>
          <cell r="G48" t="str">
            <v>9 AM - 12 PM</v>
          </cell>
          <cell r="H48">
            <v>3750</v>
          </cell>
          <cell r="I48">
            <v>937.5</v>
          </cell>
          <cell r="J48" t="str">
            <v>Savor</v>
          </cell>
          <cell r="K48" t="str">
            <v>Mix of 1 Less Flower with more number of flowers (01/07)  NO RAJNI (03/09) Skip 3 Weeks (08/04) Skip 2 week (10/06) Returned today (13/09) Sent Replacement today (07.10) Hold today (20/12) Returned today n hold till 6th Jan (27/12) Hold due to non payment (10/10) Skip 2 weeks (14/10) Skip 1 week (13/11) Hold due to non payment (26/12) Hold due to non payment (09/01) Hold due to non payment (16/01) Hold due to non payment (23/01) Hold due to non payment (06/02) Hold due to non payment (13/02)</v>
          </cell>
          <cell r="M48" t="str">
            <v>Diff Flowers n Combination</v>
          </cell>
          <cell r="N48" t="str">
            <v>3  del of this cycle   -  1-cycles pmnt   Pending - Collect 0</v>
          </cell>
          <cell r="O48" t="str">
            <v>W Orchid 6 B Daisy 21   Grass</v>
          </cell>
          <cell r="P48" t="str">
            <v>Sunflower ( 15 inch) 5 P n W Glad 21   Grass</v>
          </cell>
          <cell r="Q48" t="str">
            <v>BOP 3 Mix Alstroemeria ( 14 inch ) 21   FF Sachet + Grass</v>
          </cell>
          <cell r="R48" t="str">
            <v>P Asiatic ( 15 inch ) 4 P n W Car ( 14 inch ) 21   FF Sachet + Grass</v>
          </cell>
          <cell r="S48" t="str">
            <v>P n W Spray Daisy ( 15 Inch ) 5 P n W Glad ( 14 Inch ) 21   2 Gypsola + FF Sachet</v>
          </cell>
          <cell r="T48" t="str">
            <v>Sunflower ( 12 Inch ) 5 Mix Alstroemeria ( 12 Inch ) 20   2 Limonium + FF Sachet</v>
          </cell>
        </row>
        <row r="49">
          <cell r="A49">
            <v>3301</v>
          </cell>
          <cell r="B49" t="str">
            <v>Akanksha -- Orchid Petal</v>
          </cell>
          <cell r="C49">
            <v>9953302209</v>
          </cell>
          <cell r="D49" t="str">
            <v>T-15/401, Orchid Petals</v>
          </cell>
          <cell r="E49" t="str">
            <v>Sohna Road 1</v>
          </cell>
          <cell r="F49" t="str">
            <v>Friday</v>
          </cell>
          <cell r="G49" t="str">
            <v>4 PM to 7 PM</v>
          </cell>
          <cell r="H49">
            <v>1950</v>
          </cell>
          <cell r="I49">
            <v>487.5</v>
          </cell>
          <cell r="J49" t="str">
            <v>Joy</v>
          </cell>
          <cell r="K49" t="str">
            <v>Paytm From Akanksha Jain// Skip 1 week (17/05)</v>
          </cell>
          <cell r="N49" t="str">
            <v>1  del of this cycle   -  1-cycles pmnt   Pending - Collect 1950</v>
          </cell>
          <cell r="O49" t="str">
            <v>Sunflower ( Height 16 inch) 5     FF Sachet + Grass</v>
          </cell>
          <cell r="P49" t="str">
            <v>Shd Pur n O Car 22     FF Sachet + Grass</v>
          </cell>
          <cell r="Q49" t="str">
            <v>Mix Alstroemeria ( 14 inch ) 22     FF Sachet + Grass</v>
          </cell>
          <cell r="R49" t="e">
            <v>#N/A</v>
          </cell>
          <cell r="S49" t="str">
            <v>O Asiatic ( 15 Inch ) 4     Grass</v>
          </cell>
          <cell r="T49" t="str">
            <v>P n W Spray Daisy ( 14 Inch ) 7     FF Sachet + Grass</v>
          </cell>
        </row>
        <row r="50">
          <cell r="A50">
            <v>3185</v>
          </cell>
          <cell r="B50" t="str">
            <v>Kamla Anand</v>
          </cell>
          <cell r="C50">
            <v>9711216660</v>
          </cell>
          <cell r="D50" t="str">
            <v>83  Jasminium 1,Vatika city 
Sec 49</v>
          </cell>
          <cell r="E50" t="str">
            <v>Sohna Road 1</v>
          </cell>
          <cell r="F50" t="str">
            <v>Friday</v>
          </cell>
          <cell r="G50" t="str">
            <v>9 AM - 12 PM</v>
          </cell>
          <cell r="H50">
            <v>999</v>
          </cell>
          <cell r="I50">
            <v>249.75</v>
          </cell>
          <cell r="J50" t="str">
            <v>Delight</v>
          </cell>
          <cell r="K50" t="str">
            <v>Skip tom (09/04)</v>
          </cell>
          <cell r="N50" t="str">
            <v>4  del of this cycle   -  0-cycles pmnt   Completed - Collect 0</v>
          </cell>
          <cell r="O50" t="str">
            <v>P n W Glad 9     Grass</v>
          </cell>
          <cell r="P50" t="str">
            <v>O Asiatic ( 16 inch) 2     Grass</v>
          </cell>
          <cell r="Q50" t="str">
            <v>Mix Alstroemeria ( 14 inch ) 9     FF Sachet + Grass</v>
          </cell>
          <cell r="R50" t="str">
            <v>Sunflower ( 15 inch ) 2     Grass</v>
          </cell>
          <cell r="S50" t="str">
            <v>R n W Car ( 14 Inch ) 9     FF Sachet + Grass</v>
          </cell>
          <cell r="T50" t="str">
            <v>P Spray Daisy ( 14 Inch ) 3     FF Sachet + Grass</v>
          </cell>
        </row>
        <row r="51">
          <cell r="A51">
            <v>3076</v>
          </cell>
          <cell r="B51" t="str">
            <v>Aishwarya -- Acacia</v>
          </cell>
          <cell r="C51">
            <v>8454952029</v>
          </cell>
          <cell r="D51" t="str">
            <v>11/2, Acacia, Vatika City</v>
          </cell>
          <cell r="E51" t="str">
            <v>Sohna Road 1</v>
          </cell>
          <cell r="F51" t="str">
            <v>Friday</v>
          </cell>
          <cell r="G51" t="str">
            <v>9 AM - 12 PM</v>
          </cell>
          <cell r="H51">
            <v>2750</v>
          </cell>
          <cell r="I51">
            <v>687.5</v>
          </cell>
          <cell r="J51" t="str">
            <v>Elation</v>
          </cell>
          <cell r="K51" t="str">
            <v>Upgrade to elation (06/11) Hold due to non payment (18/12) hold due to non payment (16/01)</v>
          </cell>
          <cell r="N51" t="str">
            <v>1  del of this cycle   -  1-cycles pmnt   Pending - Collect 2750</v>
          </cell>
          <cell r="O51" t="str">
            <v>Mix Spray Daisy 3 P n W Car 16   2 Limonium + Ff sachet</v>
          </cell>
          <cell r="P51" t="str">
            <v>BOP 3 B Daisy 16   2 Gypsola</v>
          </cell>
          <cell r="Q51" t="str">
            <v>P Asiatic ( 15 inch ) 3 Mix Alstroemeria ( 14 inch ) 16   2 Limonium</v>
          </cell>
          <cell r="R51" t="str">
            <v>Sunflower ( 15 inch ) 4 P n W Glad ( 14 inch ) 15   2 Gypsola</v>
          </cell>
          <cell r="S51" t="str">
            <v>P n Y Spray Daisy ( 15 Inch ) 5 P n W Car ( 14 Inch ) 16   2 Limonium + Ff Sachet</v>
          </cell>
          <cell r="T51" t="str">
            <v>Pur Eustom ( 14 Inch ) 3 Mix Alstroemeria ( 12 Inch ) 16   2 Gypsola + FF Sachet</v>
          </cell>
        </row>
        <row r="52">
          <cell r="A52">
            <v>953</v>
          </cell>
          <cell r="B52" t="str">
            <v>Nidhi Bansal</v>
          </cell>
          <cell r="C52">
            <v>9818647402</v>
          </cell>
          <cell r="D52" t="str">
            <v>03, Tatvam Villa's,Sector 48</v>
          </cell>
          <cell r="E52" t="str">
            <v>Sohna Road 2</v>
          </cell>
          <cell r="F52" t="str">
            <v>Friday</v>
          </cell>
          <cell r="G52" t="str">
            <v>9 AM - 12 PM</v>
          </cell>
          <cell r="H52">
            <v>2750</v>
          </cell>
          <cell r="I52">
            <v>687.5</v>
          </cell>
          <cell r="J52" t="str">
            <v>Elation</v>
          </cell>
          <cell r="K52" t="str">
            <v>Send Mix of Rajni and Spray Daisy next and send on Friday this week(10/02) Send Dahelia and rajni Next(19/02) Asiatic n Rajni next(26/02) Mix of rajni and daisy(19/03) Always send Lily and Some other flower(02/10) Lily and Rose next(12/11) Rajni this week(03/12) Rajni this week(08/12) Rajni next(07/01) Hold n start from April and Check before sending(28/02) Return-Send next week(17/06) Repeat flowers(10/08) Rajni next 15/12) Add changed (07/07) Send Replacement tom (05/07) Long stems (30/10) 2700 CASH AND 50 PAYTM (08/05)</v>
          </cell>
          <cell r="M52" t="str">
            <v>Long Stems (30/10)</v>
          </cell>
          <cell r="N52" t="str">
            <v>2  del of this cycle   -  0-cycles pmnt   Completed - Collect 0</v>
          </cell>
          <cell r="O52" t="str">
            <v>P Asiatic 3 P n W Car 16   2 Gypsola</v>
          </cell>
          <cell r="P52" t="str">
            <v>P n W Spray Daisy ( 15 inch ) 5 P n W Glad ( 15 inch ) 16   2 Gypsola + FF Sachet</v>
          </cell>
          <cell r="Q52" t="str">
            <v>Sunflower ( 15 inch ) 4 Mix Alstroemeria ( 14 inch ) 15   2 Limonium</v>
          </cell>
          <cell r="R52" t="str">
            <v>W Eustoma ( 14 inch ) 4 P n W Car ( 14 inch ) 15   2 Gypsola + FF Sachet</v>
          </cell>
          <cell r="S52" t="str">
            <v>O Asiatic ( 15 Inch ) 3 P n W Glad ( 14 Inch ) 16   2 Limonium</v>
          </cell>
          <cell r="T52" t="str">
            <v>P n Y Spray Daisy ( 14 Inch ) 5 Mix Alstroemeria ( 12 Inch ) 16   2 Gypsola + FF Sachet</v>
          </cell>
        </row>
        <row r="53">
          <cell r="A53">
            <v>1477</v>
          </cell>
          <cell r="B53" t="str">
            <v>Priyanka Agarwal</v>
          </cell>
          <cell r="C53">
            <v>9810745341</v>
          </cell>
          <cell r="D53" t="str">
            <v>624-A, Fairway East, Sector 65</v>
          </cell>
          <cell r="E53" t="str">
            <v>Badshahpur</v>
          </cell>
          <cell r="F53" t="str">
            <v>Friday</v>
          </cell>
          <cell r="G53" t="str">
            <v>9 AM to 2 PM</v>
          </cell>
          <cell r="H53">
            <v>1600</v>
          </cell>
          <cell r="I53">
            <v>200</v>
          </cell>
          <cell r="J53" t="str">
            <v>Bloom</v>
          </cell>
          <cell r="K53" t="str">
            <v>Monday and Friday//Tuesday and Saturday//Change to 950 pack and sned in evebing slot of Saturday and Tuesday(09/09) NO GERBERA(15/11) Need to check foe the payment(11/12) Sent replacement today(10/04) No Del between 22nd to 29th Apr(13/04) Star after 29th Apr(22/04) Hold after this cycxle(02/08) Today Flowesr returned (24/04) Now send after 18th (13/05) Hold n start from July (22/05) No Flowers till 16th Nov (13/11) Hold today and 10 Days (19/02) Skop monday Del (22/03) Pls skip coming del (05/06) Return today send next week (23/05) Today Returned (15/08) Tiday Returned agains (18/08) Hold due to non payment (06/10) Hold due to non payment (10/10) Hold due to non payment (09/02) HDTNP (13/03) HDTNP (22/05) HDTNP (25/05)</v>
          </cell>
          <cell r="N53" t="str">
            <v>8  del of this cycle   -  0-cycles pmnt   Completed - Collect 0</v>
          </cell>
          <cell r="O53" t="str">
            <v>Y Spray Daisy 2     FF Sachet + Grass</v>
          </cell>
          <cell r="P53" t="str">
            <v>Sunflower ( 15 inch) 2     Grass</v>
          </cell>
          <cell r="Q53" t="str">
            <v>P n W Glad ( 14 inch ) 7   Ensure Collection Ensure Collection Grass</v>
          </cell>
          <cell r="R53" t="e">
            <v>#N/A</v>
          </cell>
          <cell r="S53" t="str">
            <v xml:space="preserve">Collect 1400 Carry Receipt Book Collect 1400 Carry Receipt Book Collect 1400 Carry Receipt Book </v>
          </cell>
          <cell r="T53" t="str">
            <v>Mix Alstroemeria ( 12 Inch ) 7     FF Sachet + Grass</v>
          </cell>
        </row>
        <row r="54">
          <cell r="A54">
            <v>196</v>
          </cell>
          <cell r="B54" t="str">
            <v>Nipun Jain</v>
          </cell>
          <cell r="C54">
            <v>9999113554</v>
          </cell>
          <cell r="D54" t="str">
            <v>Villa-9, Tattvam Villa</v>
          </cell>
          <cell r="E54" t="str">
            <v>Sohna Road 2</v>
          </cell>
          <cell r="F54" t="str">
            <v>Friday</v>
          </cell>
          <cell r="G54" t="str">
            <v>9 AM - 12 PM</v>
          </cell>
          <cell r="H54">
            <v>3960</v>
          </cell>
          <cell r="I54">
            <v>990</v>
          </cell>
          <cell r="J54" t="str">
            <v>Customized</v>
          </cell>
          <cell r="K54" t="str">
            <v>Only Lilies(11/06)Next time 1 stick extra(08/09)Hold for 3 weeks(13/11) NO Rose(21/12) Skip 2 week(15/11) 1 Stick Extra next week (21/12) 1 Stick extra next(28/12) Hold today as payment not received(13/11) Send on Tuesday this week instead of Sunday(17/11) Received 1 more transfer of 2050 today(16/01)  Holy Change(16/03) Not sent on 8th and 15th(15/04) Add changed(29/04) Skip 2 weeks (22/12) Skip 2 weeks (20/01) 3rd Delivery put on hold as payment was not received(03/03) Today again put in hold (10/03) Add Changed-- skip n send on sunday next week (29/03) Hold due to non payment (07/04) 8 Lilies in each Delivery (05/10)  No Grens (11/10) Single color always (26/11) Skip 3 weeks (24/12) Return tiday send tom (23/06) Sent one del Today (24/08) 16 Lilies now in 2 color (27/09) Today returned - not at home (28/11) No Delivery from 24th Dec to 5th Jan (19/12) No Flowers on 15th and 22nd (03/06)</v>
          </cell>
          <cell r="N54" t="str">
            <v>3  del of this cycle   -  0-cycles pmnt   Completed - Collect 0</v>
          </cell>
          <cell r="O54" t="str">
            <v>O Asiatic 8     2 Gypsola</v>
          </cell>
          <cell r="P54" t="str">
            <v>P Asiatic ( 16 inch) 8     2 Limonium</v>
          </cell>
          <cell r="Q54" t="str">
            <v>W Asiatic ( 15 inch ) 8     2 Gypsola</v>
          </cell>
          <cell r="R54" t="str">
            <v>Y Asiatic ( 15 inch ) 8     2 Limonium</v>
          </cell>
          <cell r="S54" t="str">
            <v>O Asiatic ( 15 Inch ) 8     2 Gypsola</v>
          </cell>
          <cell r="T54" t="str">
            <v>P Asiatic ( 14 Inch ) 8     2 Limonium</v>
          </cell>
        </row>
        <row r="55">
          <cell r="A55">
            <v>2117</v>
          </cell>
          <cell r="B55" t="str">
            <v>Inderbir</v>
          </cell>
          <cell r="C55">
            <v>9650136697</v>
          </cell>
          <cell r="D55" t="str">
            <v>1101/C2, Vatika City, Sector 49</v>
          </cell>
          <cell r="E55" t="str">
            <v>Sohna Road 1</v>
          </cell>
          <cell r="F55" t="str">
            <v>Friday</v>
          </cell>
          <cell r="G55" t="str">
            <v>4 Pm to 7 PM</v>
          </cell>
          <cell r="H55">
            <v>999</v>
          </cell>
          <cell r="I55">
            <v>249.75</v>
          </cell>
          <cell r="J55" t="str">
            <v>Delight</v>
          </cell>
          <cell r="K55" t="str">
            <v>sent replacement of Gerbera today (23/07) 300 cahs received (12/09) Skip 1 week (11/01) Hold today (21/02)</v>
          </cell>
          <cell r="N55" t="str">
            <v>3  del of this cycle   -  0-cycles pmnt   CompletedNO COLLECTION-we have extra money - Collect -282</v>
          </cell>
          <cell r="O55" t="str">
            <v>B Daisy 9     FF Sachet + Grass</v>
          </cell>
          <cell r="P55" t="str">
            <v>R n W Car 9     FF Sachet + Grass</v>
          </cell>
          <cell r="Q55" t="str">
            <v>Sunflower ( 15 inch ) 2     Grass</v>
          </cell>
          <cell r="R55" t="str">
            <v>P n W Glad ( 14 inch ) 9     FF Sachet + Grass</v>
          </cell>
          <cell r="S55" t="str">
            <v>O Asiatic ( 15 Inch ) 2     Grass</v>
          </cell>
          <cell r="T55" t="str">
            <v>P Spray Daisy ( 14 Inch ) 3     FF Sachet + Grass</v>
          </cell>
        </row>
        <row r="56">
          <cell r="A56">
            <v>2372</v>
          </cell>
          <cell r="B56" t="str">
            <v>Sumita Shahi</v>
          </cell>
          <cell r="C56">
            <v>9910955257</v>
          </cell>
          <cell r="D56" t="str">
            <v xml:space="preserve">T-A/501, Spaze I-tech Park, </v>
          </cell>
          <cell r="E56" t="str">
            <v>Sohna Road 1</v>
          </cell>
          <cell r="F56" t="str">
            <v>Friday</v>
          </cell>
          <cell r="G56" t="str">
            <v>9 AM - 12 PM</v>
          </cell>
          <cell r="H56">
            <v>1950</v>
          </cell>
          <cell r="I56">
            <v>487.5</v>
          </cell>
          <cell r="J56" t="str">
            <v>Joy</v>
          </cell>
          <cell r="K56" t="str">
            <v>Skip 1 week (04/01) Skip 1 week (25/06) Send tom (26/06) Tday returned (15/08) Hold tom (05/09) Today hold n skip 1 week (26/09) Skip tom (19/03) Upgrade to Joy and four plus 1 Pack (12/04) Hold today (01/05)</v>
          </cell>
          <cell r="N56" t="str">
            <v>2  del of this cycle   -  1-cycles pmnt   Pending - Collect 1950</v>
          </cell>
          <cell r="O56" t="str">
            <v>O Asiatic 4     Grass</v>
          </cell>
          <cell r="P56" t="str">
            <v>Shd Pur n O Car 22     FF Sachet + Grass</v>
          </cell>
          <cell r="Q56" t="str">
            <v>Mix Alstroemeria ( 14 inch ) 22     FF Sachet + Grass</v>
          </cell>
          <cell r="R56" t="str">
            <v>P n Y Spray Daisy ( 15 inch ) 7     FF Sachet + Grass</v>
          </cell>
          <cell r="S56" t="str">
            <v>P n W Glad ( 14 Inch ) 22     Grass</v>
          </cell>
          <cell r="T56" t="str">
            <v>Mix Alstroemeria ( 12 Inch ) 22     FF Sachet + Grass</v>
          </cell>
        </row>
        <row r="57">
          <cell r="A57">
            <v>1630</v>
          </cell>
          <cell r="B57" t="str">
            <v>Nikhil Ranganathan-- Evening Only</v>
          </cell>
          <cell r="C57">
            <v>9910184448</v>
          </cell>
          <cell r="D57" t="str">
            <v>24/7, Primrose Vatika</v>
          </cell>
          <cell r="E57" t="str">
            <v>Sohna Road 1</v>
          </cell>
          <cell r="F57" t="str">
            <v>Friday</v>
          </cell>
          <cell r="G57" t="str">
            <v>4 Pm to 7 PM</v>
          </cell>
          <cell r="H57">
            <v>1450</v>
          </cell>
          <cell r="I57">
            <v>362.5</v>
          </cell>
          <cell r="J57" t="str">
            <v>Bliss</v>
          </cell>
          <cell r="K57" t="str">
            <v>Friday n Monday// Holy Change(16/03) Orchids this week(05/06) Do Not Count last Delivery(13/08) Skip 1 week (16/10) Skip 1 week (22/12) Received one more payment of 2900 today (07/01) Hold n start from 31st Mar (12/03) Monday n Friday // Send Flower food next (24/06) Skip tom Del (12/10) Skip Friday Delivery (17/10) Change to Bliss (13/12) Skip 2 week (09/01) Skip 1 week (22/02) Skip 8th Del (01/03) In Pooja's Account (01/07) Skip 1 week (09/7) Skip 1 week (14/08) Skip 1 week (27.10) Skip 2 weeks (04/06) Skip 1 week (22/01) Skip 1 week (25/03) Send vase tom (27/04)</v>
          </cell>
          <cell r="N57" t="str">
            <v>3  del of this cycle   -  0-cycles pmnt   Completed - Collect 0</v>
          </cell>
          <cell r="O57" t="str">
            <v>P Asiatic 3     Grass</v>
          </cell>
          <cell r="P57" t="str">
            <v>R n W Car 16     FF Sachet + Grass</v>
          </cell>
          <cell r="Q57" t="str">
            <v>Spray Daisy 5     Grass</v>
          </cell>
          <cell r="R57" t="str">
            <v>Sunflower ( 15 inch ) 4     Grass</v>
          </cell>
          <cell r="S57" t="str">
            <v>O Asiatic ( 15 Inch ) 3     Grass</v>
          </cell>
          <cell r="T57" t="str">
            <v>P n W Glad ( 14 Inch ) 16     Grass</v>
          </cell>
        </row>
        <row r="58">
          <cell r="A58">
            <v>1162</v>
          </cell>
          <cell r="B58" t="str">
            <v>Smriti Saxena</v>
          </cell>
          <cell r="C58">
            <v>9811090968</v>
          </cell>
          <cell r="D58" t="str">
            <v>T-6/1201, M3M Merlin, Sec 67</v>
          </cell>
          <cell r="E58" t="str">
            <v>Badshahpur</v>
          </cell>
          <cell r="F58" t="str">
            <v>Friday</v>
          </cell>
          <cell r="G58" t="str">
            <v>9 AM - 12 PM</v>
          </cell>
          <cell r="H58">
            <v>1450</v>
          </cell>
          <cell r="I58">
            <v>362.5</v>
          </cell>
          <cell r="J58" t="str">
            <v>Bliss</v>
          </cell>
          <cell r="K58" t="str">
            <v>Friday n Monday//NO GLAD(18/12) Skip 1 week(24/01) Skip 2 weeks(22/3) NO Rajni(05/06) Skip 1 week and confirm before sending(14/01) Send 2 sticks extra(24/01) 1 stick extra necxt(29/01)  Holy Change(16/03) Change to Bloom(20/05) No Flowers till 17th Aug(08/08) Skip 1 week (05/03) Hold n start afyer 1st June (11/05) Today Returned 923/06) Skip 2 weeks (15/07) Today returned (18/08) Hold due to non payment (16/02) Today Returned (08/03) Return today (20/12) Sent replacement tooday (18/04) Returned today (05/09) Hold due to non payment (17/10) Hold due to non payment (16/01) No Rajni (20/02) HDTNP (24/04)</v>
          </cell>
          <cell r="L58" t="str">
            <v>Rajni</v>
          </cell>
          <cell r="N58" t="str">
            <v>1  del of this cycle   -  1-cycles pmnt   Pending - Collect 1450</v>
          </cell>
          <cell r="O58" t="str">
            <v>P n W Glad 16     Grass</v>
          </cell>
          <cell r="P58" t="str">
            <v>Pur Eustoma ( 14 inch )  3     FF Sachet + Grass</v>
          </cell>
          <cell r="Q58" t="str">
            <v>R n W Car ( 14 inch ) 16     FF Sachet + Grass</v>
          </cell>
          <cell r="R58" t="str">
            <v>P Asiatic ( 15 inch ) 3     Grass</v>
          </cell>
          <cell r="S58" t="str">
            <v>P n Y Spray Daisy ( 15 Inch ) 5     FF Sachet + Grass</v>
          </cell>
          <cell r="T58" t="str">
            <v>Sunflower ( 12 Inch ) 4     FF Sachet + Grass</v>
          </cell>
        </row>
        <row r="59">
          <cell r="A59">
            <v>467</v>
          </cell>
          <cell r="B59" t="str">
            <v>Mamta Wassan -- From Dilip Puri</v>
          </cell>
          <cell r="C59">
            <v>9867722349</v>
          </cell>
          <cell r="D59" t="str">
            <v>1/9, Hamelia Street, Vatika City</v>
          </cell>
          <cell r="E59" t="str">
            <v>Sohna Road 1</v>
          </cell>
          <cell r="F59" t="str">
            <v>Friday</v>
          </cell>
          <cell r="G59" t="str">
            <v>4 Pm to 7 PM</v>
          </cell>
          <cell r="H59">
            <v>1450</v>
          </cell>
          <cell r="I59">
            <v>362.5</v>
          </cell>
          <cell r="J59" t="str">
            <v>Bliss</v>
          </cell>
          <cell r="K59" t="str">
            <v>Changed to Friday//Next P Asiatic(26/10)Skip 1 week(22/11) Skip 1 week(22/12) Hold n skip this week(11/01) NO RED ROSE(18/01) Skip 1 week(14/03) Return-send again tomorrow(29/03) NO MIXED FLOWERS (06/04) Send Replacement and NO ORCHIDS TILL IT GET HEALTHY(28/04) AVOID CAR(09/05) Hold again-start after 15th and inform before sending(05/07) SEND ONLY ASIATIC TILL OTHER FOWERS ARE IN BEST SHAPE OTHRE THAN ROSE/ORCHID N CAR(15/10) Skip next 2 weeks(18/11) Skip 1 week(05/12)  Hold n start from 1st week of Apr// Inform before sending(20/03) Skip 1 week(24/12) Skip 1 week(29/01) Skip 1 week(08/02) Skip 1 week(12/02) Skip 1 week(27/03) Skip 2 weeks(23/04) Skip 1 week(12/09) Holy Change(16/03) Skip 2 weeks and check before sending(03/07) Skip 1 week (05/01) Sent replacement today (30/04) Skip 1 week (28/05) Skip 1 week (29/11) Skip 3 weeks (13/05) Skip 1 week (12/07) skip 2 week (16/11) Skip 1 week (01/12) Skip 1 week (8/01) Skip 1 week (23/02) Skip 1 week (24/03) Skip 1 week n semd on Monday (13/08) Skip 1 week (04/09) Skip 1 week (04/10) Skip 1 wek (15/10) From Dilip Puri -- send only 2 weeks (12/11) Send on sunday this week and skip 24th Feb (18/03) Start from 1st June (19/05) Send tom evebing (29/05)</v>
          </cell>
          <cell r="N59" t="str">
            <v>2  del of this cycle   -  0-cycles pmnt   Completed - Collect 0</v>
          </cell>
          <cell r="O59" t="e">
            <v>#N/A</v>
          </cell>
          <cell r="P59" t="e">
            <v>#N/A</v>
          </cell>
          <cell r="Q59" t="e">
            <v>#N/A</v>
          </cell>
          <cell r="R59" t="e">
            <v>#N/A</v>
          </cell>
          <cell r="S59" t="e">
            <v>#N/A</v>
          </cell>
          <cell r="T59" t="str">
            <v>Mix Alstroemeria ( 12 Inch ) 16     FF Sachet + Grass</v>
          </cell>
        </row>
        <row r="60">
          <cell r="A60">
            <v>3307</v>
          </cell>
          <cell r="B60" t="str">
            <v>Amit Jindal</v>
          </cell>
          <cell r="C60">
            <v>8860400001</v>
          </cell>
          <cell r="D60" t="str">
            <v>T-5/1401, Vipul Greens</v>
          </cell>
          <cell r="E60" t="str">
            <v>Sohna Road 2</v>
          </cell>
          <cell r="F60" t="str">
            <v>Friday</v>
          </cell>
          <cell r="G60" t="str">
            <v>9:30 AM to 2 PM</v>
          </cell>
          <cell r="H60">
            <v>2626</v>
          </cell>
          <cell r="I60">
            <v>656.5</v>
          </cell>
          <cell r="J60" t="str">
            <v>Customized</v>
          </cell>
          <cell r="K60" t="str">
            <v>3 Oriental every week</v>
          </cell>
          <cell r="N60" t="str">
            <v>1  del of this cycle   -  1-cycles pmnt   Pending - Collect 0</v>
          </cell>
          <cell r="O60" t="str">
            <v>W Oriental 3     1 Gypsola</v>
          </cell>
          <cell r="P60" t="str">
            <v>W Oriental 3     1 Limonium</v>
          </cell>
          <cell r="Q60" t="str">
            <v>P Oriental ( 18 inch ) 3     1 Gypsola</v>
          </cell>
          <cell r="R60" t="str">
            <v>W Oriental ( 16 Inch ) 3     1 Limonium + FF aschet</v>
          </cell>
          <cell r="S60" t="str">
            <v>P Oriental ( 15 Inch ) 3     1 gypsola</v>
          </cell>
          <cell r="T60" t="str">
            <v>P Oriental ( 16 Inch ) 3     1 Limonium</v>
          </cell>
        </row>
        <row r="61">
          <cell r="A61">
            <v>833</v>
          </cell>
          <cell r="B61" t="str">
            <v>Parul Mahajan</v>
          </cell>
          <cell r="C61">
            <v>9560889949</v>
          </cell>
          <cell r="D61" t="str">
            <v>T-5/1002, Vipul Greens,Sec 48</v>
          </cell>
          <cell r="E61" t="str">
            <v>Sohna Road 2</v>
          </cell>
          <cell r="F61" t="str">
            <v>Friday</v>
          </cell>
          <cell r="G61" t="str">
            <v>9 AM - 12 PM</v>
          </cell>
          <cell r="H61">
            <v>3500</v>
          </cell>
          <cell r="I61">
            <v>875</v>
          </cell>
          <cell r="J61" t="str">
            <v>Customized</v>
          </cell>
          <cell r="K61" t="str">
            <v>Tuesday and saturday//Sunday and Thursday//Paytm From Parul Kaistha(23/04) Hold n send now from 2nd July(01/06) Start from tomorrow(28/06) FF sold n received 80 today(27/07) Skip 1 week(16/08) Send FF Next(07/09) FF Tom(13/09) Hold today n skip next week(26/10) Hold n start after 15th jan(20/12) START AND SWITCH TO SATURDAY ONCE LOCKDOWN IS OVER(27/08/20) Day Changed to Sunday(26/11) Upgrade to 1250 pack and send remaining flower of last del(08/02) Senmd Pending Flowers(15/02) Change to Charm Package(03/04) Flower Food Next(16/04) Today Missed-send flower food next(18/04) Received paytm of 250 today(23/04) Sunday and Thursday(20/06) Skip n start from 13th(08/09) Upgrade to Grace(02/10) Send Sunday del tom with Orchids(15/10) NOW Savor(17/11) Payment from Fun times with rhea, send remaining flowers in next del(17/11) Hold n start after 16th Jan(16/12)  Holy Change(16/03) Skip 1 week(14/04) Skip 1 week(27/07) Hold today (10/11) Skip 1 week n wait for new Add (05/02) Hold till 26th June (22/05) Skip 1 week (14/08) Skip 2 week (02/10) Skip 1 week (22/11) Skip 1 week (21/01) Hold till she confirm (25/05) Hold till 26th (16/10) Paytm from Parul Kayastha (20/03)</v>
          </cell>
          <cell r="N61" t="str">
            <v>4  del of this cycle   -  0-cycles pmnt   Completed - Collect 0</v>
          </cell>
          <cell r="O61" t="str">
            <v>Pur n P Eustoma 4 P n W Gerbera 18   2 Gypsola + FF Sachet</v>
          </cell>
          <cell r="P61" t="str">
            <v>P n W Spray Daisy ( 15 inch ) 5 P n W Glad 18   FF Sachet + Grass</v>
          </cell>
          <cell r="Q61" t="str">
            <v>Sunflower ( 15 inch ) 4 Mix Alstroemeria ( 14 inch ) 18   2 Gypsola + FF Sachet</v>
          </cell>
          <cell r="R61" t="str">
            <v>P Asiatic ( 15 inch ) 3 P n W Car ( 14 inch ) 18   2 Limonium + FF aschet</v>
          </cell>
          <cell r="S61" t="str">
            <v>P n W Eustoma ( 14 Inch ) 4 P n W Glad ( 14 Inch ) 18   2 Gypsola + FF Sachet</v>
          </cell>
          <cell r="T61" t="str">
            <v>P n Y Spray Daisy ( 14 Inch ) 5 Mix Alstroemeria ( 12 Inch ) 18   2 Limonium + FF Sachet</v>
          </cell>
        </row>
        <row r="62">
          <cell r="A62">
            <v>3338</v>
          </cell>
          <cell r="B62" t="str">
            <v>Richa Khullar</v>
          </cell>
          <cell r="C62">
            <v>9871797835</v>
          </cell>
          <cell r="D62" t="str">
            <v>A3/1101, Tulip Yellow</v>
          </cell>
          <cell r="E62" t="str">
            <v>Badshahpur</v>
          </cell>
          <cell r="F62" t="str">
            <v>Friday</v>
          </cell>
          <cell r="G62" t="str">
            <v>4 Pm to 7 PM</v>
          </cell>
          <cell r="H62">
            <v>1450</v>
          </cell>
          <cell r="I62">
            <v>362.5</v>
          </cell>
          <cell r="J62" t="str">
            <v>Bliss</v>
          </cell>
          <cell r="K62" t="str">
            <v xml:space="preserve">Love Alstroemeria </v>
          </cell>
          <cell r="N62" t="str">
            <v>3  del of this cycle   -  0-cycles pmnt   Completed - Collect 0</v>
          </cell>
          <cell r="O62" t="str">
            <v>P n Y Spray Daisy 5     FF Sachet + Grass</v>
          </cell>
          <cell r="P62" t="str">
            <v>Alstomeria 16     Grass</v>
          </cell>
          <cell r="Q62" t="str">
            <v>P Asiatic ( 15 inch ) 3     Grass</v>
          </cell>
          <cell r="R62" t="str">
            <v>P n W Glad ( 16 Inch) 16     Grass</v>
          </cell>
          <cell r="S62" t="str">
            <v>R n W Car ( 14 Inch ) 16     FF Sachet + Grass</v>
          </cell>
          <cell r="T62" t="str">
            <v>O Asiatic ( 14 Inch ) 3     Grass</v>
          </cell>
        </row>
        <row r="63">
          <cell r="A63">
            <v>207</v>
          </cell>
          <cell r="B63" t="str">
            <v>Ms. Monaliza</v>
          </cell>
          <cell r="C63">
            <v>9958305888</v>
          </cell>
          <cell r="D63" t="str">
            <v>C-4/703, Sovereign, Vatika City</v>
          </cell>
          <cell r="E63" t="str">
            <v>Sohna Road 1</v>
          </cell>
          <cell r="F63" t="str">
            <v>Friday</v>
          </cell>
          <cell r="G63" t="str">
            <v>4 Pm to 7 PM</v>
          </cell>
          <cell r="H63">
            <v>1450</v>
          </cell>
          <cell r="I63">
            <v>362.5</v>
          </cell>
          <cell r="J63" t="str">
            <v>Bliss</v>
          </cell>
          <cell r="K63" t="str">
            <v>Never send Rajni, Gerbera and Daisy(17/06)Rtrnd today send tomorrow(22/07)Day chenged to Monday(23/07)Don’t send between 22nd to 30th(07/10) Returnde-send next week(25/02) Preferred Flowers-- Rose + Orchid+Oriental + Heliconia(30/11) Sent 1 del today(15/10) Sent replacement today and never colorefull roses(15/02)  Holy Change(16/03) Skip 2 weeks (26/09) Skip 1 week (24/11) Send 1  Del tom (26/11) Senty replacement today (22/05) Return-send next week (30/06) No Sunflowers (03/03) Skip 1 week (21/03) Hold she is changing house (06/05) Hold today due to non payment (02/10) Hold due to non payment (09/10) Hold due to non payment (26/12) Hold due to non payment (23/01) Hold due to non payment (30/01) From Rohit Ramani (17/02) Skip tom (28/05)</v>
          </cell>
          <cell r="L63" t="str">
            <v>Sunflower</v>
          </cell>
          <cell r="N63" t="str">
            <v>2  del of this cycle   -  1-cycles pmnt   Pending - Collect 1450</v>
          </cell>
          <cell r="O63" t="str">
            <v>P n W Glad 16     Grass</v>
          </cell>
          <cell r="P63" t="str">
            <v>R n W Car 16     FF Sachet + Grass</v>
          </cell>
          <cell r="Q63" t="str">
            <v>Mix Alstroemeria ( 14 inch ) 16     FF Sachet + Grass</v>
          </cell>
          <cell r="R63" t="str">
            <v>Mix Spray Daisy 5     FF Sachet + Grass</v>
          </cell>
          <cell r="S63" t="e">
            <v>#N/A</v>
          </cell>
          <cell r="T63" t="str">
            <v>P Asiatic ( 14 Inch ) 3     Grass</v>
          </cell>
        </row>
        <row r="64">
          <cell r="A64">
            <v>3119</v>
          </cell>
          <cell r="B64" t="str">
            <v>Rachna Prasad</v>
          </cell>
          <cell r="C64">
            <v>9811106435</v>
          </cell>
          <cell r="D64" t="str">
            <v>N-3/202, Paras Irene Appartments, Sec 70 A</v>
          </cell>
          <cell r="E64" t="str">
            <v>Badshahpur</v>
          </cell>
          <cell r="F64" t="str">
            <v>Friday</v>
          </cell>
          <cell r="G64" t="str">
            <v>4 Pm to 7 PM</v>
          </cell>
          <cell r="H64">
            <v>1450</v>
          </cell>
          <cell r="I64">
            <v>362.5</v>
          </cell>
          <cell r="J64" t="str">
            <v>Bliss</v>
          </cell>
          <cell r="K64" t="str">
            <v>1000 cash and 450 via paytm (01/11) This week send on Sunday (09/02) Paytm From Outside Edge (28/02) Replacement tom (09/03)</v>
          </cell>
          <cell r="M64" t="str">
            <v>No Flowers on 13th -send on 15th Feb (09/02)</v>
          </cell>
          <cell r="N64" t="str">
            <v>4  del of this cycle   -  0-cycles pmnt   Completed - Collect 0</v>
          </cell>
          <cell r="O64" t="str">
            <v>Asiatic 2 B Daisy 7   FF Sachet + Grass</v>
          </cell>
          <cell r="P64" t="str">
            <v>P Spray Daisy ( 16 Inch) 3 Alstomeria 7   FF Sachet + Grass</v>
          </cell>
          <cell r="Q64" t="str">
            <v>Sunflower ( 15 inch ) 2 P n W Glad ( 14 inch ) 7   Grass</v>
          </cell>
          <cell r="R64" t="str">
            <v>P Eustoma ( 14 Inch ) 2 P n W Car ( 14 inch ) 7   FF Sachet + Grass</v>
          </cell>
          <cell r="S64" t="str">
            <v>O Asiatic ( 15 Inch ) 2 Mix Alstroemeria ( 12 Inch )  7   Grass</v>
          </cell>
          <cell r="T64" t="str">
            <v>Y Spray Daisy ( 14 Inch ) 3 P n W Glad ( 14 Inch ) 7   FF Sachet + Grass</v>
          </cell>
        </row>
        <row r="65">
          <cell r="A65">
            <v>3280</v>
          </cell>
          <cell r="B65" t="str">
            <v>Priti Sarsaswat</v>
          </cell>
          <cell r="C65">
            <v>9717283344</v>
          </cell>
          <cell r="D65" t="str">
            <v>C-1170, 2nd Floor, Ansal Essecia, C Block, Sec 67</v>
          </cell>
          <cell r="E65" t="str">
            <v>Badshahpur</v>
          </cell>
          <cell r="F65" t="str">
            <v>Monday</v>
          </cell>
          <cell r="G65" t="str">
            <v>9 AM - 12 PM</v>
          </cell>
          <cell r="H65">
            <v>1450</v>
          </cell>
          <cell r="I65">
            <v>362.5</v>
          </cell>
          <cell r="J65" t="str">
            <v>Bliss</v>
          </cell>
          <cell r="K65" t="str">
            <v>Rose In this Cycle (03/03) Day Change to Monday and skip 2 weeks (02/04) Start From Tom (16/04) HDTNP (22/05) Today returned (29/05)(</v>
          </cell>
          <cell r="M65" t="str">
            <v>One Kind and seasonal Next (03/03)</v>
          </cell>
          <cell r="N65" t="str">
            <v>3  del of this cycle   -  0-cycles pmnt   Completed - Collect 0</v>
          </cell>
          <cell r="O65" t="str">
            <v>R n W Car 16     FF Sachet + Grass</v>
          </cell>
          <cell r="P65" t="str">
            <v>P n W Glad ( 15 inch) 16     Grass</v>
          </cell>
          <cell r="Q65" t="str">
            <v>Bop 3   Ensure Collection Ensure Collection FF Sachet + Grass</v>
          </cell>
          <cell r="R65" t="e">
            <v>#N/A</v>
          </cell>
          <cell r="S65" t="str">
            <v>P Asiatic ( 15 Inch ) 3     Grass</v>
          </cell>
          <cell r="T65" t="str">
            <v>P n Y Spray Daisy ( 14 Inch ) 5     FF Sachet + Grass</v>
          </cell>
        </row>
        <row r="66">
          <cell r="A66">
            <v>1389</v>
          </cell>
          <cell r="B66" t="str">
            <v>Revathi-- After 5 PM</v>
          </cell>
          <cell r="C66">
            <v>9811998878</v>
          </cell>
          <cell r="D66" t="str">
            <v>A-1201, The Emaar Palm Drive</v>
          </cell>
          <cell r="E66" t="str">
            <v>Badshahpur</v>
          </cell>
          <cell r="F66" t="str">
            <v>Friday</v>
          </cell>
          <cell r="G66" t="str">
            <v>4 PM to 7PM</v>
          </cell>
          <cell r="H66">
            <v>3850</v>
          </cell>
          <cell r="I66">
            <v>481.25</v>
          </cell>
          <cell r="J66" t="str">
            <v>Grace</v>
          </cell>
          <cell r="K66" t="str">
            <v>Friday and Tuesday// NO RAJNIGANDHA NOW ONLY LILIES//CAR AND GLAD(26/07)  NO WONLY LILIES, HELICONIA AND CAR IN YELLOW OR ORANGE ONLY(11/09)  ONLY  LILIES/GLADIOLI AND HELICONIA ONLY IN YELL AND ORANGE COLOR-- NOCARNATION(01/10) Rajni or Bop next(18/10) Send 1 FF Next(29/06) LILY n GLAD ARE PREFERRED(29/06) Now From Rose//Car//Glad//Guldawari//Asiatic//Oriental(03/08) Skip this friday(09/08) No Upgrade (17/10) Skip 1 week (114/11) Skip 1 week after tom Delivery (09/03) No Del on Froday-- sned on Tuesda (29/03) Glad Next (01/05) Hold n start after 8th June (12/05) Bop n Heliconia Next (10/02) Skip tom Del (28/03) Flower food next (14/05) Hold till 8th (29/05) No Gerbera and Orchid (28/07) One Payment received today (01/10) Skip Friday Del (27/11) Skip friday (25/12) Return not at home (20/06) Today Returned (20/06) Received one payment of 3250 today (21/07)</v>
          </cell>
          <cell r="L66" t="str">
            <v>Gerbera n ORCHID</v>
          </cell>
          <cell r="N66" t="str">
            <v>3  del of this cycle   -  0-cycles pmnt   Completed - Collect 0</v>
          </cell>
          <cell r="O66" t="str">
            <v>Sunflower ( Height 16 inch) 5     FF Sachet + Grass</v>
          </cell>
          <cell r="P66" t="str">
            <v>BOP 4     FF Sachet + Grass</v>
          </cell>
          <cell r="Q66" t="str">
            <v>P n W Car ( 14 inch ) 20     FF Sachet + Grass</v>
          </cell>
          <cell r="R66" t="str">
            <v>P n W Glad ( 16 Inch) 20     Grass</v>
          </cell>
          <cell r="S66" t="str">
            <v>Sunflower ( 14 Inch ) 5     Grass</v>
          </cell>
          <cell r="T66" t="str">
            <v>Pur n P Eustoma ( 14 Inch ) 4     FF Sachet + Grass</v>
          </cell>
        </row>
        <row r="67">
          <cell r="A67">
            <v>1899</v>
          </cell>
          <cell r="B67" t="str">
            <v>Hardik Shah</v>
          </cell>
          <cell r="C67">
            <v>9811227080</v>
          </cell>
          <cell r="D67" t="str">
            <v>T-5/1402, Vipul Green</v>
          </cell>
          <cell r="E67" t="str">
            <v>Sohna Road 2</v>
          </cell>
          <cell r="F67" t="str">
            <v>Friday</v>
          </cell>
          <cell r="G67" t="str">
            <v>9 AM - 12 PM</v>
          </cell>
          <cell r="H67">
            <v>4850</v>
          </cell>
          <cell r="I67">
            <v>606.25</v>
          </cell>
          <cell r="J67" t="str">
            <v>Poise</v>
          </cell>
          <cell r="K67" t="str">
            <v>Friday n Sunday (02/04) Shift to Poise after this cycle(22/05) No Poies(28/05) Skip 1 week(13/08) Today Returned(21/08) Today Returned again(26/08) Skip 2 week (18/06) Skip only next delivery (29/07) Hold today n skip 1 week (19/01) Skip 1 week (15/08) Hold for 4 weeks (27/01) Returned today (14/11) Today returned (01/05)</v>
          </cell>
          <cell r="N67" t="str">
            <v>6  del of this cycle   -  0-cycles pmnt   Completed - Collect 0</v>
          </cell>
          <cell r="O67" t="str">
            <v>P n Y Spray Daisy 9     FF Sachet + Grass</v>
          </cell>
          <cell r="P67" t="str">
            <v>BOP 6     FF Sachet + Grass</v>
          </cell>
          <cell r="Q67" t="str">
            <v>Sunflower ( 15 inch ) 8     Grass</v>
          </cell>
          <cell r="R67" t="str">
            <v>P Asiatic ( 15 inch ) 6     Grass</v>
          </cell>
          <cell r="S67" t="str">
            <v>P Oriental ( 15 Inch ) 4     Grass</v>
          </cell>
          <cell r="T67" t="str">
            <v>P n Y Spray Daisy ( 14 Inch ) 9     FF Sachet + Grass</v>
          </cell>
        </row>
        <row r="68">
          <cell r="A68">
            <v>3368</v>
          </cell>
          <cell r="B68" t="str">
            <v>Sugandha Goyal</v>
          </cell>
          <cell r="C68">
            <v>9971681194</v>
          </cell>
          <cell r="D68" t="str">
            <v>T-15/3C, Central Park Resorts</v>
          </cell>
          <cell r="E68" t="str">
            <v>Sohna Road 2</v>
          </cell>
          <cell r="F68" t="str">
            <v>Monday</v>
          </cell>
          <cell r="G68" t="str">
            <v>9 AM - 12 PM</v>
          </cell>
          <cell r="H68">
            <v>2300</v>
          </cell>
          <cell r="I68">
            <v>287.5</v>
          </cell>
          <cell r="J68" t="str">
            <v>Felicity</v>
          </cell>
          <cell r="N68" t="str">
            <v>6  del of this cycle   -  0-cycles pmnt   Completed - Collect 0</v>
          </cell>
          <cell r="O68" t="e">
            <v>#N/A</v>
          </cell>
          <cell r="P68" t="e">
            <v>#N/A</v>
          </cell>
          <cell r="Q68" t="e">
            <v>#N/A</v>
          </cell>
          <cell r="R68" t="str">
            <v>P n W Glad ( 16 Inch) 11     Grass</v>
          </cell>
          <cell r="S68" t="str">
            <v>O Asiatic ( 15 Inch ) 2     Grass</v>
          </cell>
          <cell r="T68" t="str">
            <v>P Spray Daisy ( 14 Inch ) 3     FF Sachet + Grass</v>
          </cell>
        </row>
        <row r="69">
          <cell r="A69">
            <v>2404</v>
          </cell>
          <cell r="B69" t="str">
            <v>Amitt Nenwani</v>
          </cell>
          <cell r="C69">
            <v>9810444444</v>
          </cell>
          <cell r="D69" t="str">
            <v>Villa 21, Z Block, Tatvam Villas</v>
          </cell>
          <cell r="E69" t="str">
            <v>Sohna Road 2</v>
          </cell>
          <cell r="F69" t="str">
            <v>Friday</v>
          </cell>
          <cell r="G69" t="str">
            <v>9 AM - 12 PM</v>
          </cell>
          <cell r="H69">
            <v>6350</v>
          </cell>
          <cell r="I69">
            <v>793.75</v>
          </cell>
          <cell r="J69" t="str">
            <v>Elegance</v>
          </cell>
          <cell r="K69" t="str">
            <v>Friday n Monday//Mixed // Skip 1 week (17/04) Skip this week (12/11) Skip this week and send on 03rd Jan (29/12) Skip tom (15/03) Skip 1 week (26/03)</v>
          </cell>
          <cell r="M69" t="str">
            <v>Mixed Flowers// Change to enchantement from next cycle (12/1)</v>
          </cell>
          <cell r="N69" t="str">
            <v>4  del of this cycle   -  0-cycles pmnt   In Process - Collect 0</v>
          </cell>
          <cell r="O69" t="str">
            <v>O Asiatic 3 P n W Spray Daisy 4 Mix Alstroemeria 12 3 Areca palm + 3 Gypsola</v>
          </cell>
          <cell r="P69" t="str">
            <v>Y Asiatic ( 15 inch) 3 B Orchid 3 P n W Car 12 3 Areca Palm + 3 Gypsola + FF Sachet</v>
          </cell>
          <cell r="Q69" t="str">
            <v>P Asiatic ( 15 inch ) 3 BOP ( 14 inch ) 3 Rajni ( 14 inch ) 10 3 Areca palm + 3 Gypsola</v>
          </cell>
          <cell r="R69" t="str">
            <v>Y Asiatic ( 15 inch ) 3 B Orchid  4 Glad 12 3 Areca palm + 3 Limonium</v>
          </cell>
          <cell r="S69" t="str">
            <v>P Asiatic ( 15 Inch ) 3 P n Y Spray Daosy ( 15 Inch ) 4 P n W Car ( 14 Inch ) 12 3 Areca Palm + 3 Limonium</v>
          </cell>
          <cell r="T69" t="str">
            <v>W Asiatic ( 14 Inch ) 3 G Orchid  4 Rajni ( 14 Inch ) 12 Grass</v>
          </cell>
        </row>
        <row r="70">
          <cell r="A70">
            <v>3219</v>
          </cell>
          <cell r="B70" t="str">
            <v>Prachi Agarwal</v>
          </cell>
          <cell r="C70">
            <v>9654601676</v>
          </cell>
          <cell r="D70" t="str">
            <v>N4/1201, Paras Irene, Sector 70-A</v>
          </cell>
          <cell r="E70" t="str">
            <v>Badshahpur</v>
          </cell>
          <cell r="F70" t="str">
            <v>Friday</v>
          </cell>
          <cell r="G70" t="str">
            <v>4 Pm to 7 PM</v>
          </cell>
          <cell r="H70">
            <v>1450</v>
          </cell>
          <cell r="I70">
            <v>362.5</v>
          </cell>
          <cell r="J70" t="str">
            <v>Bliss</v>
          </cell>
          <cell r="N70" t="str">
            <v>1  del of this cycle   -  1-cycles pmnt   Pending - Collect 1450</v>
          </cell>
          <cell r="O70" t="str">
            <v>O Asiatic 3     Grass</v>
          </cell>
          <cell r="P70" t="str">
            <v>Sunflower ( 15 inch) 4     Grass</v>
          </cell>
          <cell r="Q70" t="str">
            <v>R n W Car ( 14 inch ) 16     FF Sachet + Grass</v>
          </cell>
          <cell r="R70" t="str">
            <v>P n W Glad ( 14 inch ) 16     Grass</v>
          </cell>
          <cell r="S70" t="str">
            <v>Mix Alstroemeria ( 12 Inch ) 16     FF Sachet + Grass</v>
          </cell>
          <cell r="T70" t="str">
            <v>P Asiatic ( 14 Inch ) 3     Grass</v>
          </cell>
        </row>
        <row r="71">
          <cell r="A71">
            <v>588</v>
          </cell>
          <cell r="B71" t="str">
            <v>Akiksha Mohan</v>
          </cell>
          <cell r="C71">
            <v>9810145564</v>
          </cell>
          <cell r="D71" t="str">
            <v>D-601, Emaar Plam Drive</v>
          </cell>
          <cell r="E71" t="str">
            <v>Badshahpur</v>
          </cell>
          <cell r="F71" t="str">
            <v>Friday</v>
          </cell>
          <cell r="G71" t="str">
            <v>9 AM - 12 PM</v>
          </cell>
          <cell r="H71">
            <v>1600</v>
          </cell>
          <cell r="I71">
            <v>200</v>
          </cell>
          <cell r="J71" t="str">
            <v>Bloom</v>
          </cell>
          <cell r="K71" t="str">
            <v>Friday n Monday //Return-send next week(10/11) Send Replacement(04/03) change address Tower D Flat No 601 Plam Drive (30/3) Return-send next week(06/04) NOW SEND ONLY GLAD(08/05 Hold n start from 1st week0f Aug(08/07)) Gerbera Next(31/08) Return-send next week(30/11) Return-send after Monday(07/03) Send Next week(08/03) Send Change next(30/10) Today returned-send next week(06/11)  Holy Change(16/03) Return today and Skip 2 Weeks(15/04) REturn-:Payment Not paid(29/04) Today Returned(03/06) Skip 1 week(15/06) Return-send next wek(24/06) Skip 1 Week(21/07) Today returned(05/08) Rajni and Asiatic altrenatively(12/08) Today returnedas payment is pending (16/12) Today return again diue to non payment (23/12) No Guldawari (28/02) Paytm From Neelu mohan (28/02) Hold as payment not received (22/10) No sent as payment not recived (26/10) Hold due to non payment (29/10) One payment in Pooja account on 18th and 1 today at BMF account (03/11) Hold due to non payment(01/12) Hold today due to non payment (01/03) Hold as payment not received (31/03) Skip next del (29/09) Hold due to non payment (09/01) Hold due to non payment (12/01) Hold due to non payment (16/01) Hold due to non payment (03/10) Hold due to non payment (05/10) Hold due to non payment (10/10) Skip 1 week (31/10) Hoold ue to non payment (18/12) Hold due to non payment (26/12) Hold tom due to non payment (28/12) Hold due to non payment (19/01) Hold due to non payment (22/01) Today hold (06/03) HDTNP (25/05)</v>
          </cell>
          <cell r="L71" t="str">
            <v>GULDAWARI</v>
          </cell>
          <cell r="N71" t="str">
            <v>6  del of this cycle   -  0-cycles pmnt   Completed - Collect 0</v>
          </cell>
          <cell r="O71" t="str">
            <v>P n W Glad 7     Grass</v>
          </cell>
          <cell r="P71" t="str">
            <v>P Spray Daisy ( 16 Inch) 2     FF Sachet + Grass</v>
          </cell>
          <cell r="Q71" t="str">
            <v>Mix Alstroemeria ( 14 inch ) 7     FF Sachet + Grass</v>
          </cell>
          <cell r="R71" t="str">
            <v>P n W Glad ( 16 Inch) 7     Grass</v>
          </cell>
          <cell r="S71" t="str">
            <v xml:space="preserve">Mix Carnation 7     </v>
          </cell>
          <cell r="T71" t="str">
            <v>Sunflower ( 14 Inch ) 2     FF Sachet + Grass</v>
          </cell>
        </row>
        <row r="72">
          <cell r="A72">
            <v>3013</v>
          </cell>
          <cell r="B72" t="str">
            <v>Surabhi Sukriti</v>
          </cell>
          <cell r="C72">
            <v>8652750573</v>
          </cell>
          <cell r="D72" t="str">
            <v>D-804, Bestech Park Viw Spa Next, Sec 67</v>
          </cell>
          <cell r="E72" t="str">
            <v>Badshahpur</v>
          </cell>
          <cell r="F72" t="str">
            <v>Friday</v>
          </cell>
          <cell r="G72" t="str">
            <v>4 PM to 7 PM</v>
          </cell>
          <cell r="H72">
            <v>1450</v>
          </cell>
          <cell r="I72">
            <v>362.5</v>
          </cell>
          <cell r="J72" t="str">
            <v>Bliss</v>
          </cell>
          <cell r="K72" t="str">
            <v>Skip 1 week (01/10) Add changed (05/04)</v>
          </cell>
          <cell r="N72" t="str">
            <v>2  del of this cycle   -  0-cycles pmnt   Completed - Collect 0</v>
          </cell>
          <cell r="O72" t="str">
            <v>P Asiatic 2 B Daisy 7   Grass</v>
          </cell>
          <cell r="P72" t="str">
            <v>G Button Daisy 3 Alstomeria 7   FF Sachet + Grass</v>
          </cell>
          <cell r="Q72" t="str">
            <v>Eustoma 2 P n W Glad ( 14 inch ) 7   Grass</v>
          </cell>
          <cell r="R72" t="str">
            <v>Sunflower ( 15 inch ) 2 P n W Car ( 14 inch ) 7   FF Sachet + Grass</v>
          </cell>
          <cell r="S72" t="str">
            <v>O Asiatic ( 15 Inch ) 2 Mix Alstroemeria ( 12 Inch )  7   Grass</v>
          </cell>
          <cell r="T72" t="str">
            <v>P Spray Daisy ( 14 Inch ) 3 P n W Glad ( 14 Inch ) 7   FF Sachet + Grass</v>
          </cell>
        </row>
        <row r="73">
          <cell r="A73">
            <v>3289</v>
          </cell>
          <cell r="B73" t="str">
            <v>Devyani -- Blinkit</v>
          </cell>
          <cell r="C73">
            <v>8588870465</v>
          </cell>
          <cell r="D73" t="str">
            <v>H. No. 75, 1st Floor Emaar Emerald Hills, Ivory Block, Sec 65</v>
          </cell>
          <cell r="E73" t="str">
            <v>Badshahpur</v>
          </cell>
          <cell r="F73" t="str">
            <v>Friday</v>
          </cell>
          <cell r="G73" t="str">
            <v>Between 2:30 to 4 PM</v>
          </cell>
          <cell r="H73">
            <v>1950</v>
          </cell>
          <cell r="I73">
            <v>487.5</v>
          </cell>
          <cell r="J73" t="str">
            <v>Joy</v>
          </cell>
          <cell r="K73" t="str">
            <v>Paytm From Devyani Puri (17/03) Today hold n sned on monday (29/05)</v>
          </cell>
          <cell r="N73" t="str">
            <v>3  del of this cycle   -  0-cycles pmnt   Completed - Collect 0</v>
          </cell>
          <cell r="O73" t="e">
            <v>#N/A</v>
          </cell>
          <cell r="P73" t="e">
            <v>#N/A</v>
          </cell>
          <cell r="Q73" t="e">
            <v>#N/A</v>
          </cell>
          <cell r="R73" t="str">
            <v>P Asiatic ( 15 Inch ) 2 P n W Car ( 14 Inch ) 11   Grass</v>
          </cell>
          <cell r="S73" t="str">
            <v>P n Y Spray Daisy ( 15 Inch ) 4 Mix Alstroemeria ( 12 Inch )  10   FF Sachet + Grass</v>
          </cell>
          <cell r="T73" t="str">
            <v>Pur Eustom ( 14 Inch ) 3 P n W Glad ( 14 Inch ) 11   FF Sachet + Grass</v>
          </cell>
        </row>
        <row r="74">
          <cell r="A74">
            <v>3109</v>
          </cell>
          <cell r="B74" t="str">
            <v>Dr. Apoorva Batra</v>
          </cell>
          <cell r="C74">
            <v>9896166336</v>
          </cell>
          <cell r="D74" t="str">
            <v>T-40/002, Emaar Emerald Floors Premiers, Sec 65</v>
          </cell>
          <cell r="E74" t="str">
            <v>Badshahpur</v>
          </cell>
          <cell r="F74" t="str">
            <v>Friday</v>
          </cell>
          <cell r="G74" t="str">
            <v>4 Pm to 7 PM</v>
          </cell>
          <cell r="H74">
            <v>999</v>
          </cell>
          <cell r="I74">
            <v>249.75</v>
          </cell>
          <cell r="J74" t="str">
            <v>Delight</v>
          </cell>
          <cell r="K74" t="str">
            <v>HDTNP (22/05)</v>
          </cell>
          <cell r="N74" t="str">
            <v>1  del of this cycle   -  1-cycles pmnt   Pending - Collect 999</v>
          </cell>
          <cell r="O74" t="str">
            <v>B Daisy 9     Grass</v>
          </cell>
          <cell r="P74" t="str">
            <v>Alstomeria 9     Grass</v>
          </cell>
          <cell r="Q74" t="str">
            <v>R n W Car ( 14 inch ) 9   Ensure Collection Ensure Collection FF Sachet + Grass</v>
          </cell>
          <cell r="R74" t="e">
            <v>#N/A</v>
          </cell>
          <cell r="S74" t="str">
            <v>O Asiatic ( 15 Inch ) 2     Grass</v>
          </cell>
          <cell r="T74" t="str">
            <v>P n W Glad ( 14 Inch ) 9     Grass</v>
          </cell>
        </row>
        <row r="75">
          <cell r="A75">
            <v>2927</v>
          </cell>
          <cell r="B75" t="str">
            <v>Anshita</v>
          </cell>
          <cell r="C75">
            <v>8085480356</v>
          </cell>
          <cell r="D75" t="str">
            <v>H. No. 3107, 2nd Flor, Ansal Versalia, Sec 67 A</v>
          </cell>
          <cell r="E75" t="str">
            <v>Badshahpur</v>
          </cell>
          <cell r="F75" t="str">
            <v>Friday</v>
          </cell>
          <cell r="G75" t="str">
            <v>9:30 Am to 2 PM</v>
          </cell>
          <cell r="H75">
            <v>999</v>
          </cell>
          <cell r="I75">
            <v>249.75</v>
          </cell>
          <cell r="J75" t="str">
            <v>Delight</v>
          </cell>
          <cell r="K75" t="str">
            <v>sent one del today (11/12) Skip 1 week (15/01) Skip today (20/02) Today returned (06/03) Skip 1 week (26/03) Hold for 2 week (22/04)</v>
          </cell>
          <cell r="N75" t="str">
            <v>3  del of this cycle   -  0-cycles pmnt   Completed - Collect 0</v>
          </cell>
          <cell r="O75" t="e">
            <v>#N/A</v>
          </cell>
          <cell r="P75" t="str">
            <v>P Spray Daisy ( 16 Inch) 3     FF Sachet + Grass</v>
          </cell>
          <cell r="Q75" t="str">
            <v>P n W Glad ( 14 inch ) 9     Grass</v>
          </cell>
          <cell r="R75" t="str">
            <v>Sunflower ( 15 inch ) 2     Grass</v>
          </cell>
          <cell r="S75" t="str">
            <v>Mix Alstroemeria ( 12 Inch ) 9     FF Sachet + Grass</v>
          </cell>
          <cell r="T75" t="str">
            <v>P n W Car ( 14 Inch ) 9     FF Sachet + Grass</v>
          </cell>
        </row>
        <row r="76">
          <cell r="A76">
            <v>2259</v>
          </cell>
          <cell r="B76" t="str">
            <v>Shivani Kapoor</v>
          </cell>
          <cell r="C76">
            <v>9818659010</v>
          </cell>
          <cell r="D76" t="str">
            <v>94, Tattvam Villa</v>
          </cell>
          <cell r="E76" t="str">
            <v>Sohna Road 2</v>
          </cell>
          <cell r="F76" t="str">
            <v>Monday</v>
          </cell>
          <cell r="G76" t="str">
            <v>9 AM - 12 PM</v>
          </cell>
          <cell r="H76">
            <v>3950</v>
          </cell>
          <cell r="I76">
            <v>493.75</v>
          </cell>
          <cell r="J76" t="str">
            <v>Grace</v>
          </cell>
          <cell r="K76" t="str">
            <v>Monday n Friday// Payment from Sanjeev K (05/05) Skip 1 week (26/07) Skip 1 week (04/11) Skip this Friday (26/12) Skip 1 week (01/01/25) Skip tom (02/02) No delivery on Monday (01/03) Skip 14th n send on 17th (11/03) Now start from 7th July (24/06)</v>
          </cell>
          <cell r="M76" t="str">
            <v>No White</v>
          </cell>
          <cell r="N76" t="str">
            <v>3  del of this cycle   -  0-cycles pmnt   Completed - Collect 0</v>
          </cell>
          <cell r="O76" t="str">
            <v>P n W Glad 20     Grass</v>
          </cell>
          <cell r="P76" t="str">
            <v>Sunflower ( 15 inch) 5     Grass</v>
          </cell>
          <cell r="Q76" t="str">
            <v>R n W Car ( 14 inch ) 20     FF Sachet + Grass</v>
          </cell>
          <cell r="R76" t="str">
            <v>P n W Glad ( 16 Inch) 20     Grass</v>
          </cell>
          <cell r="S76" t="str">
            <v>P Oriental ( 15 Inch ) 3     Grass</v>
          </cell>
          <cell r="T76" t="str">
            <v>Pur n P Eustoma ( 14 Inch ) 4     FF Sachet + Grass</v>
          </cell>
        </row>
        <row r="77">
          <cell r="A77">
            <v>2089</v>
          </cell>
          <cell r="B77" t="str">
            <v>Arshdeep Kaur</v>
          </cell>
          <cell r="C77">
            <v>8369995614</v>
          </cell>
          <cell r="D77" t="str">
            <v>B-3103, Ireo Victory Valley, Sec 67</v>
          </cell>
          <cell r="E77" t="str">
            <v>Badshahpur</v>
          </cell>
          <cell r="F77" t="str">
            <v>Friday</v>
          </cell>
          <cell r="G77" t="str">
            <v>9 AM - 12 PM</v>
          </cell>
          <cell r="H77">
            <v>1450</v>
          </cell>
          <cell r="I77">
            <v>362.5</v>
          </cell>
          <cell r="J77" t="str">
            <v>Bliss</v>
          </cell>
          <cell r="K77" t="str">
            <v>NO Rose (06/04) Send replacement tom (04/06) Skip next Friday delivery (23/09) Skip 1 week (28/09) Skip 1 week (27/10) Paytm From Karandeep Harjit Singh (26/01) Skip 1 week (28/03) Skip 1 week (18/04) Skip tom (07/05)</v>
          </cell>
          <cell r="L77" t="str">
            <v>ROSE</v>
          </cell>
          <cell r="N77" t="str">
            <v>2  del of this cycle   -  1-cycles pmnt   Pending - Collect 1450</v>
          </cell>
          <cell r="O77" t="str">
            <v>P n W Glad 16     Grass</v>
          </cell>
          <cell r="P77" t="e">
            <v>#N/A</v>
          </cell>
          <cell r="Q77" t="str">
            <v>P n Y Spray Daisy ( 15 inch ) 5     FF Sachet + Grass</v>
          </cell>
          <cell r="R77" t="str">
            <v>R n W Car ( 14 inch ) 16     FF Sachet + Grass</v>
          </cell>
          <cell r="S77" t="str">
            <v>O Asiatic ( 15 Inch ) 3     Grass</v>
          </cell>
          <cell r="T77" t="str">
            <v>P n W Glad ( 14 Inch ) 16     Grass</v>
          </cell>
        </row>
        <row r="78">
          <cell r="A78">
            <v>2083</v>
          </cell>
          <cell r="B78" t="str">
            <v>Neeraj Rathore</v>
          </cell>
          <cell r="C78">
            <v>9810570666</v>
          </cell>
          <cell r="D78" t="str">
            <v>A-1302, PalM Drive, Sec 66</v>
          </cell>
          <cell r="E78" t="str">
            <v>Badshahpur</v>
          </cell>
          <cell r="F78" t="str">
            <v>Friday</v>
          </cell>
          <cell r="G78" t="str">
            <v>9 AM - 12 PM</v>
          </cell>
          <cell r="H78">
            <v>2750</v>
          </cell>
          <cell r="I78">
            <v>687.5</v>
          </cell>
          <cell r="J78" t="str">
            <v>Elation</v>
          </cell>
          <cell r="K78" t="str">
            <v>Friday n Monday// No Gerbera *25/09) Payment from Dharmesh I Rathod (11/12) Rose next (29/12) No Orchid also (23/02) No Glad (31/03) No BOP (26/07) BMF Vase Sent (23/08) Rs. 500 added as referal credit against subscription of Radhika (08/03) Skip 3 Deliveries (21/09) hold today n skip 1 week (06/10) Upgrade to Elation and day Friday (29/10) One Kind Flowers (30/01) Skip 2 week (05/02) Holdn send on monday (24/04) Skip 2 weeks (07/05) Returned today (22/05)</v>
          </cell>
          <cell r="L78" t="str">
            <v>GERBERA  n BOP</v>
          </cell>
          <cell r="M78" t="str">
            <v>One Kind (30/01)  Rajni next (18/02)</v>
          </cell>
          <cell r="N78" t="str">
            <v>3  del of this cycle   -  1-cycles pmnt   Pending - Collect 0</v>
          </cell>
          <cell r="O78" t="str">
            <v>Sunflower ( Height 16 inch) 7     2 Limonium + Ff sachet</v>
          </cell>
          <cell r="P78" t="e">
            <v>#N/A</v>
          </cell>
          <cell r="Q78" t="e">
            <v>#N/A</v>
          </cell>
          <cell r="R78" t="str">
            <v>R n W Car ( 14 inch ) 32     2 Gypsola + FF Sachet</v>
          </cell>
          <cell r="S78" t="str">
            <v>R n W Car ( 14 Inch ) 32     2 Limonium + Ff Sachet</v>
          </cell>
          <cell r="T78" t="str">
            <v xml:space="preserve">P Asiatic ( 14 Inch ) 6     2 Gypsola </v>
          </cell>
        </row>
        <row r="79">
          <cell r="A79">
            <v>2055</v>
          </cell>
          <cell r="B79" t="str">
            <v>Gitika Agarwal</v>
          </cell>
          <cell r="C79">
            <v>9871628499</v>
          </cell>
          <cell r="D79" t="str">
            <v>D11/502, Ireo Victory Valley, Sec 67</v>
          </cell>
          <cell r="E79" t="str">
            <v>Badshahpur</v>
          </cell>
          <cell r="F79" t="str">
            <v>Friday</v>
          </cell>
          <cell r="G79" t="str">
            <v>9 AM - 12 PM</v>
          </cell>
          <cell r="H79">
            <v>1450</v>
          </cell>
          <cell r="I79">
            <v>362.5</v>
          </cell>
          <cell r="J79" t="str">
            <v>Bliss</v>
          </cell>
          <cell r="K79" t="str">
            <v>Send Replacement tom (06/04) Send replacement today (12/05). Post 4 PM this week only (23/04) Skip 2 weeks (02/06) Replacement tom (05/07) Sent replacement tiday (26/10) Sent replacement today (15/12) Skip 1 week (17/03) Sent replacement today (19/004) Skip 2 week (13/06) Skip 1 week (07/08) Replacement tom (07/12)</v>
          </cell>
          <cell r="N79" t="str">
            <v>2  del of this cycle   -  1-cycles pmnt   Pending - Collect 1450</v>
          </cell>
          <cell r="O79" t="str">
            <v>Sunflower ( Height 16 inch) 2 P n W Glad 7   FF Sachet + Grass</v>
          </cell>
          <cell r="P79" t="str">
            <v>P Spray Daisy ( 16 Inch) 3 B Daisy 7   FF Sachet + Grass</v>
          </cell>
          <cell r="Q79" t="str">
            <v>Y Asiatic ( 15 inch )  2 Mix Alstroemeria ( 14 inch ) 7   Grass</v>
          </cell>
          <cell r="R79" t="str">
            <v>P Eustoma ( 14 Inch ) 2 P n W Car ( 14 inch ) 7   FF Sachet + Grass</v>
          </cell>
          <cell r="S79" t="str">
            <v>Y Spray Daisy ( 15 Inch ) 3 P n W Glad ( 14 Inch ) 7   FF Sachet + Grass</v>
          </cell>
          <cell r="T79" t="str">
            <v>O Asiatic ( 14 Inch ) 2 Mix Alstroemeria ( 12 Inch ) 7   Grass</v>
          </cell>
        </row>
        <row r="80">
          <cell r="A80">
            <v>1624</v>
          </cell>
          <cell r="B80" t="str">
            <v>Smriti Maggon</v>
          </cell>
          <cell r="C80">
            <v>9811081666</v>
          </cell>
          <cell r="D80" t="str">
            <v>B-901, Emaar Palm Drive, Sec 66</v>
          </cell>
          <cell r="E80" t="str">
            <v>Badshahpur</v>
          </cell>
          <cell r="F80" t="str">
            <v>Friday</v>
          </cell>
          <cell r="G80" t="str">
            <v>9 AM - 12 PM</v>
          </cell>
          <cell r="H80">
            <v>1450</v>
          </cell>
          <cell r="I80">
            <v>362.5</v>
          </cell>
          <cell r="J80" t="str">
            <v>Bliss</v>
          </cell>
          <cell r="K80" t="str">
            <v>Rose//Car//Rajni//BOP(08/02) Holy Change(16/03) 8 Rajnigandha Next (12/10) Hold due to non payment (03/10) Hold due to non payment (16/01) Hold due to non payment (23/01)</v>
          </cell>
          <cell r="N80" t="str">
            <v>1  del of this cycle   -  1-cycles pmnt   Pending - Collect 1450</v>
          </cell>
          <cell r="O80" t="str">
            <v>P n W Glad 16     Grass</v>
          </cell>
          <cell r="P80" t="str">
            <v>R n W Car 16     FF Sachet + Grass</v>
          </cell>
          <cell r="Q80" t="str">
            <v>Bop 3   Ensure Collection Ensure Collection FF Sachet + Grass</v>
          </cell>
          <cell r="R80" t="str">
            <v>Sunflower ( 15 inch ) 4     Grass</v>
          </cell>
          <cell r="S80" t="str">
            <v>O Asiatic ( 15 Inch ) 3     Grass</v>
          </cell>
          <cell r="T80" t="str">
            <v>P n Y Spray Daisy ( 14 Inch ) 5     FF Sachet + Grass</v>
          </cell>
        </row>
        <row r="81">
          <cell r="B81" t="str">
            <v>6364 463 165‬</v>
          </cell>
          <cell r="C81" t="str">
            <v>6364 463 165‬</v>
          </cell>
          <cell r="D81" t="str">
            <v>A-635 block A, Sushant lok 1, near labernum drive</v>
          </cell>
          <cell r="G81" t="str">
            <v>1 to 3 Pm</v>
          </cell>
          <cell r="H81">
            <v>600</v>
          </cell>
          <cell r="J81" t="str">
            <v>Bouquet</v>
          </cell>
          <cell r="T81" t="str">
            <v xml:space="preserve">Rajni 15 Single Wrap    </v>
          </cell>
        </row>
        <row r="82">
          <cell r="A82">
            <v>1974</v>
          </cell>
          <cell r="B82" t="str">
            <v>Suruchi Maitra</v>
          </cell>
          <cell r="C82">
            <v>9810239177</v>
          </cell>
          <cell r="D82" t="str">
            <v>D-98, Vipul World</v>
          </cell>
          <cell r="E82" t="str">
            <v>Sohna Road 2</v>
          </cell>
          <cell r="F82" t="str">
            <v>Friday</v>
          </cell>
          <cell r="G82" t="str">
            <v>9 AM - 12 PM</v>
          </cell>
          <cell r="H82">
            <v>2750</v>
          </cell>
          <cell r="I82">
            <v>687.5</v>
          </cell>
          <cell r="J82" t="str">
            <v>Elation</v>
          </cell>
          <cell r="K82" t="str">
            <v>No Spray Daisy (03/10) Now upgrade to Elation (14/10) Hold n start from 6th Jan (17/12) Hold n strat from 30th June (10/06) Hold n start from 5th Jan (30/12) Skip 1 week (06/06) Skip 1 week (22/06) Hold today and send after 29th (20'/12) Skip 2 week (21/06) Skip 2 week (18/12)</v>
          </cell>
          <cell r="N82" t="str">
            <v>1  del of this cycle   -  1-cycles pmnt   Pending - Collect 2750</v>
          </cell>
          <cell r="O82" t="str">
            <v>R n W Car 32     2 Limonium + Ff sachet</v>
          </cell>
          <cell r="P82" t="str">
            <v>Sunflower ( 15 inch) 7     2 Gypsola</v>
          </cell>
          <cell r="Q82" t="str">
            <v>P n W Glad ( 14 inch ) 22     2 Limonium</v>
          </cell>
          <cell r="R82" t="str">
            <v>P Asiatic ( 15 inch ) 6     2 Gypsola</v>
          </cell>
          <cell r="S82" t="str">
            <v>P n W Spray Daisy ( 15 Inch ) 10     2 Limonium + Ff Sachet</v>
          </cell>
          <cell r="T82" t="str">
            <v>Pur n P Eustoma ( 14 Inch ) 6     2 Gypsola + FF Sachet</v>
          </cell>
        </row>
        <row r="83">
          <cell r="A83">
            <v>2066</v>
          </cell>
          <cell r="B83" t="str">
            <v>Shilpi Tibrewal</v>
          </cell>
          <cell r="C83">
            <v>9999103067</v>
          </cell>
          <cell r="D83" t="str">
            <v>Tower-A/3803, Ireo Victory Valley, Sec 67</v>
          </cell>
          <cell r="E83" t="str">
            <v>Badshahpur</v>
          </cell>
          <cell r="F83" t="str">
            <v>Friday</v>
          </cell>
          <cell r="G83" t="str">
            <v>4 Pm to 7 PM</v>
          </cell>
          <cell r="H83">
            <v>1450</v>
          </cell>
          <cell r="I83">
            <v>362.5</v>
          </cell>
          <cell r="J83" t="str">
            <v>Bliss</v>
          </cell>
          <cell r="K83" t="str">
            <v>Either Rose or Car// Normal Flowers (04/05) Sent replacement today (26/08) Return yesterday (17/08) Today returned (25/07)</v>
          </cell>
          <cell r="N83" t="str">
            <v>4  del of this cycle   -  0-cycles pmnt   CompletedNO COLLECTION-we have extra money - Collect -50</v>
          </cell>
          <cell r="O83" t="str">
            <v>Sunflower ( Height 16 inch) 4     FF Sachet + Grass</v>
          </cell>
          <cell r="P83" t="str">
            <v>P n W Spray Daisy ( 15 inch ) 5     FF Sachet + Grass</v>
          </cell>
          <cell r="Q83" t="str">
            <v>P n W Glad ( 14 inch ) 16     Grass</v>
          </cell>
          <cell r="R83" t="str">
            <v>P Asiatic ( 15 inch ) 3     Grass</v>
          </cell>
          <cell r="S83" t="str">
            <v>R n W Car ( 14 Inch ) 16     FF Sachet + Grass</v>
          </cell>
          <cell r="T83" t="str">
            <v>Pur Eustom ( 14 Inch ) 3     FF Sachet + Grass</v>
          </cell>
        </row>
        <row r="84">
          <cell r="A84">
            <v>2858</v>
          </cell>
          <cell r="B84" t="str">
            <v>Devika Tandon</v>
          </cell>
          <cell r="C84">
            <v>8527991304</v>
          </cell>
          <cell r="D84" t="str">
            <v>A-293, AIPL The Peaceful Homes</v>
          </cell>
          <cell r="E84" t="str">
            <v>Badshahpur</v>
          </cell>
          <cell r="F84" t="str">
            <v>Friday</v>
          </cell>
          <cell r="G84" t="str">
            <v>4 PM to 7PM</v>
          </cell>
          <cell r="H84">
            <v>1450</v>
          </cell>
          <cell r="I84">
            <v>362.5</v>
          </cell>
          <cell r="J84" t="str">
            <v>Bliss</v>
          </cell>
          <cell r="N84" t="str">
            <v>3  del of this cycle   -  0-cycles pmnt   Completed - Collect 0</v>
          </cell>
          <cell r="O84" t="e">
            <v>#N/A</v>
          </cell>
          <cell r="P84" t="e">
            <v>#N/A</v>
          </cell>
          <cell r="Q84" t="e">
            <v>#N/A</v>
          </cell>
          <cell r="R84" t="str">
            <v>R n W Car ( 14 inch ) 16     FF Sachet + Grass</v>
          </cell>
          <cell r="S84" t="str">
            <v>O Asiatic ( 15 Inch ) 3     Grass</v>
          </cell>
          <cell r="T84" t="str">
            <v>P n W Glad ( 14 Inch ) 16     Grass</v>
          </cell>
        </row>
        <row r="85">
          <cell r="A85">
            <v>3354</v>
          </cell>
          <cell r="B85" t="str">
            <v>Radha Bhatnagar</v>
          </cell>
          <cell r="C85">
            <v>9971944440</v>
          </cell>
          <cell r="D85" t="str">
            <v>D-35, 2nd Floor, Vipul World</v>
          </cell>
          <cell r="E85" t="str">
            <v>Sohna Road 2</v>
          </cell>
          <cell r="F85" t="str">
            <v>Friday</v>
          </cell>
          <cell r="G85" t="str">
            <v>9 AM - 12 PM</v>
          </cell>
          <cell r="H85">
            <v>1450</v>
          </cell>
          <cell r="I85">
            <v>362.5</v>
          </cell>
          <cell r="J85" t="str">
            <v>Bliss</v>
          </cell>
          <cell r="N85" t="str">
            <v>1  del of this cycle   -  0-cycles pmnt   Completed - Collect 0</v>
          </cell>
          <cell r="O85" t="e">
            <v>#N/A</v>
          </cell>
          <cell r="P85" t="str">
            <v>Pur n P Car  16     FF Sachet + Grass</v>
          </cell>
          <cell r="Q85" t="str">
            <v>P n Y Spray Daisy ( 15 inch ) 5     FF Sachet + Grass</v>
          </cell>
          <cell r="R85" t="str">
            <v>P n W Glad ( 16 Inch) 16     Grass</v>
          </cell>
          <cell r="S85" t="str">
            <v>O Asiatic ( 15 Inch ) 3     Grass</v>
          </cell>
          <cell r="T85" t="str">
            <v>Mix Alstroemeria ( 12 Inch ) 16     FF Sachet + Grass</v>
          </cell>
        </row>
        <row r="86">
          <cell r="A86">
            <v>3357</v>
          </cell>
          <cell r="B86" t="str">
            <v>Yamini Sharma</v>
          </cell>
          <cell r="C86">
            <v>9958582708</v>
          </cell>
          <cell r="D86" t="str">
            <v>Solace 253, AIPL Peaceful Homes, Sec 70 A</v>
          </cell>
          <cell r="E86" t="str">
            <v>Manesar</v>
          </cell>
          <cell r="F86" t="str">
            <v>Friday</v>
          </cell>
          <cell r="G86" t="str">
            <v>4 Pm to 7 PM</v>
          </cell>
          <cell r="H86">
            <v>1450</v>
          </cell>
          <cell r="I86">
            <v>362.5</v>
          </cell>
          <cell r="J86" t="str">
            <v>Bliss</v>
          </cell>
          <cell r="K86" t="str">
            <v>Skip 1 week (28/05)</v>
          </cell>
          <cell r="N86" t="str">
            <v>4  del of this cycle   -  0-cycles pmnt   Completed - Collect 0</v>
          </cell>
          <cell r="O86" t="e">
            <v>#N/A</v>
          </cell>
          <cell r="P86" t="str">
            <v>Shd Pur n O Car 16     FF Sachet + Grass</v>
          </cell>
          <cell r="Q86" t="str">
            <v>P n Y Spray Daisy ( 15 inch ) 5   Ensure Collection Ensure Collection FF Sachet + Grass</v>
          </cell>
          <cell r="R86" t="str">
            <v>P n W Glad ( 16 Inch) 16     Grass</v>
          </cell>
          <cell r="S86" t="e">
            <v>#N/A</v>
          </cell>
          <cell r="T86" t="str">
            <v>O Asiatic ( 14 Inch ) 3     Grass</v>
          </cell>
        </row>
        <row r="87">
          <cell r="A87">
            <v>815</v>
          </cell>
          <cell r="B87" t="str">
            <v>Surath Singh</v>
          </cell>
          <cell r="C87">
            <v>9717166559</v>
          </cell>
          <cell r="D87" t="str">
            <v>B-2205, Ireo Victory Valley,Sec-67</v>
          </cell>
          <cell r="E87" t="str">
            <v>Badshahpur</v>
          </cell>
          <cell r="F87" t="str">
            <v>Friday</v>
          </cell>
          <cell r="G87" t="str">
            <v>9 AM - 12 PM</v>
          </cell>
          <cell r="H87">
            <v>2750</v>
          </cell>
          <cell r="I87">
            <v>687.5</v>
          </cell>
          <cell r="J87" t="str">
            <v>Elation</v>
          </cell>
          <cell r="K87" t="str">
            <v xml:space="preserve"> NO GERBERA n CAR(11/10)  NO GULDAWARI(23/02)  Holy Change(16/03) Return-send next week(24/06) Returnedas payment was not done (28/04) Paytm From Franky Arora // Hold today as paymenht not paid (14/07) Hold due to non payment (21/07) Hold due to non payment (01/12) Today returned (21/06) Hold (20/06) Return today (27/03) Paytm From Collectosh (29/05)</v>
          </cell>
          <cell r="N87" t="str">
            <v>4  del of this cycle   -  0-cycles pmnt   Completed - Collect 0</v>
          </cell>
          <cell r="O87" t="str">
            <v>P n Y Spray Daisy 10    Pls Check for payment with us before sending 1 Limonium + FF sachet</v>
          </cell>
          <cell r="P87" t="str">
            <v>P n W Glad ( 15 inch) 32     2 Gypsola</v>
          </cell>
          <cell r="Q87" t="str">
            <v>Mix Alstroemeria ( 14 inch ) 32     2 Limonium + FF Sachet</v>
          </cell>
          <cell r="R87" t="str">
            <v>R n W Car ( 14 inch ) 32     2 Gypsola + FF Sachet</v>
          </cell>
          <cell r="S87" t="str">
            <v xml:space="preserve">Mix Spray Daisy 10     2 Luminium +FF </v>
          </cell>
          <cell r="T87" t="str">
            <v xml:space="preserve">P Asiatic ( 14 Inch ) 6     2 Gypsola </v>
          </cell>
        </row>
        <row r="88">
          <cell r="A88">
            <v>2599</v>
          </cell>
          <cell r="B88" t="str">
            <v>Huma Rizvi</v>
          </cell>
          <cell r="C88">
            <v>8527379089</v>
          </cell>
          <cell r="D88" t="str">
            <v>9C-Tower P, Central Park Resort</v>
          </cell>
          <cell r="E88" t="str">
            <v>Sohna Road 2</v>
          </cell>
          <cell r="F88" t="str">
            <v>Friday</v>
          </cell>
          <cell r="G88" t="str">
            <v>9 AM to 2 PM</v>
          </cell>
          <cell r="H88">
            <v>999</v>
          </cell>
          <cell r="I88">
            <v>249.75</v>
          </cell>
          <cell r="J88" t="str">
            <v>Delight</v>
          </cell>
          <cell r="K88" t="str">
            <v>Hold n start frommid july and confirm before sending (15/06) Hold till 5th Oct (12/09) No Sunflower (06/04)</v>
          </cell>
          <cell r="L88" t="str">
            <v>Glad</v>
          </cell>
          <cell r="N88" t="str">
            <v>3  del of this cycle   -  0-cycles pmnt   Completed - Collect 0</v>
          </cell>
          <cell r="O88" t="str">
            <v>B Daisy 9     FF Sachet + Grass</v>
          </cell>
          <cell r="P88" t="str">
            <v>R n W Car 9     FF Sachet + Grass</v>
          </cell>
          <cell r="Q88" t="str">
            <v>Sunflower ( 15 inch ) 2     Grass</v>
          </cell>
          <cell r="R88" t="str">
            <v>P Spray Daisy ( 15 inch ) 3     FF Sachet + Grass</v>
          </cell>
          <cell r="S88" t="str">
            <v>Mix Alstroemeria ( 12 Inch ) 9     FF Sachet + Grass</v>
          </cell>
          <cell r="T88" t="str">
            <v>O Asiatic ( 14 Inch ) 2     Grass</v>
          </cell>
        </row>
        <row r="89">
          <cell r="A89">
            <v>2583</v>
          </cell>
          <cell r="B89" t="str">
            <v>Bhumika Gupta</v>
          </cell>
          <cell r="C89">
            <v>9818096329</v>
          </cell>
          <cell r="D89" t="str">
            <v>H-37, 2nd Floor, Aaron Ville, Sec 48</v>
          </cell>
          <cell r="E89" t="str">
            <v>Sohna Road 1</v>
          </cell>
          <cell r="F89" t="str">
            <v>Sunday</v>
          </cell>
          <cell r="G89" t="str">
            <v>9:30 Am to 2 PM</v>
          </cell>
          <cell r="H89">
            <v>1950</v>
          </cell>
          <cell r="I89">
            <v>487.5</v>
          </cell>
          <cell r="J89" t="str">
            <v>Joy</v>
          </cell>
          <cell r="K89" t="str">
            <v>No Rose n Glad n flowers in same color // Long Stems (20/04) Gpay from Tanmay Oberoi (15/06) Skip 3 Sunday (04/08) Skip 3 weeks (4/08) Day Change to Friday (27/09) Skip 1 week (15/01) Skip Friday (26/03) Returned today (01/05)</v>
          </cell>
          <cell r="L89" t="str">
            <v>Rose n Glad</v>
          </cell>
          <cell r="M89" t="str">
            <v>Long Stems</v>
          </cell>
          <cell r="N89" t="str">
            <v>2  del of this cycle   -  1-cycles pmnt   Pending - Collect 1950</v>
          </cell>
          <cell r="O89" t="str">
            <v>P Eustoma 2 P n W Car 11   FF Sachet + Grass</v>
          </cell>
          <cell r="P89" t="str">
            <v>P Asiatic ( 16 inch) 2 P n W Glad 11   FF Sachet + Grass</v>
          </cell>
          <cell r="Q89" t="str">
            <v>Sunflower ( 15 inch ) 3 Mix Alstroemeria ( 14 inch ) 11   Grass</v>
          </cell>
          <cell r="R89" t="str">
            <v>P n Y Spray Daisy ( 15 inch ) 4 P n W Car ( 14 inch ) 11   FF Sachet + Grass</v>
          </cell>
          <cell r="S89" t="str">
            <v>O Asiatic ( 15 Inch ) 2 P n W Glad ( 14 Inch ) 11   Grass</v>
          </cell>
          <cell r="T89" t="str">
            <v>Pur Eustom ( 14 Inch ) 2 Mix Alstroemeria ( 12 Inch ) 11   FF Sachet + Grass</v>
          </cell>
        </row>
        <row r="90">
          <cell r="A90">
            <v>1268</v>
          </cell>
          <cell r="B90" t="str">
            <v>Shweta Malhotra</v>
          </cell>
          <cell r="C90">
            <v>9810290780</v>
          </cell>
          <cell r="D90" t="str">
            <v>B-001, Park View Spa Next, Sec 67</v>
          </cell>
          <cell r="E90" t="str">
            <v>Badshahpur</v>
          </cell>
          <cell r="F90" t="str">
            <v>Friday</v>
          </cell>
          <cell r="G90" t="str">
            <v>9 AM to 2 PM</v>
          </cell>
          <cell r="H90">
            <v>1950</v>
          </cell>
          <cell r="I90">
            <v>487.5</v>
          </cell>
          <cell r="J90" t="str">
            <v>Joy</v>
          </cell>
          <cell r="K90" t="str">
            <v>Friday n MOnday//Thursday and Sunday//Oriental//Rajni//BOP//Pink car(13/01) For Next 3 Del-- Rajni//Orchid//Oriental(14/02) This Cycle-- Asiatic//Rajni//P Oriental//P car(07/03) Asiatic Lily Twice and Rest Gerbera and Orchids(10/04) Flower Food Next(17/04) Received Rs.250/-(18/04) lilie sfor next 2 del pls(03/09) Change to Joy Now(18/09) Next Car or Lilies-- NO GULDAWARI(31/10) Oriental Or Spray Daisy next(21/12) NO Rose-- Send Tom(09/01)  Holy Change(16/03) Send a replacement tom(15/04) Replacement tom(08/05) Either single or double color only -- NO Multicolor(30/10) No GULDAWARI n GERBERA (05/01) SEnt a replacement (12/04) Sent replacement today (13/05) Sent replacement today (26/06) No Anthurium (17/05) In Pooja's Account // Send Replacement tom (05/07) Send Replacement tom (09/08) Send replacement tom (22/11) Send Replacement tom (11/04) No Button Daisy (02/05)</v>
          </cell>
          <cell r="L90" t="str">
            <v>ANTHURIUM n GULDAWARI n Button Daisy</v>
          </cell>
          <cell r="N90" t="str">
            <v>3  del of this cycle   -  1-cycles pmnt   Pending - Collect 1950</v>
          </cell>
          <cell r="O90" t="str">
            <v>P n Y Spray Daisy 7     FF Sachet + Grass</v>
          </cell>
          <cell r="P90" t="str">
            <v>Shd Pur n O Car 22     FF Sachet + Grass</v>
          </cell>
          <cell r="Q90" t="str">
            <v>P Asiatic ( 15 inch ) 4     Grass</v>
          </cell>
          <cell r="R90" t="str">
            <v>Sunflower ( 15 inch ) 5     Grass</v>
          </cell>
          <cell r="S90" t="str">
            <v>P n W Glad ( 14 Inch ) 22     Grass</v>
          </cell>
          <cell r="T90" t="str">
            <v>Mix Alstroemeria ( 12 Inch ) 22     FF Sachet + Grass</v>
          </cell>
        </row>
        <row r="91">
          <cell r="A91">
            <v>330</v>
          </cell>
          <cell r="B91" t="str">
            <v>Anamika Singh</v>
          </cell>
          <cell r="C91">
            <v>9818455330</v>
          </cell>
          <cell r="D91" t="str">
            <v xml:space="preserve">788 C  Sector 15 part II  Sec 15 Gurgaon  122001 </v>
          </cell>
          <cell r="E91" t="str">
            <v>Old Gurgaon</v>
          </cell>
          <cell r="F91" t="str">
            <v>Friday</v>
          </cell>
          <cell r="G91" t="str">
            <v>4 PM to 7PM</v>
          </cell>
          <cell r="H91">
            <v>1450</v>
          </cell>
          <cell r="I91">
            <v>362.5</v>
          </cell>
          <cell r="J91" t="str">
            <v>Bliss</v>
          </cell>
          <cell r="K91" t="str">
            <v>Day changed to Saturday(15/09)Hold again send tomorrow(09/12) Upgrade to 650 Plan and ASIATIC n ORCHID ALTERNATIVELY(02/05) send on friday- this week only , send lilies this week(07/08/19) Car next(28/09) Send Lilies/Orchids/Chrysanthemum/Rose(13/12)Upgrade to Bliss and Day changed to Thursday evening// DONT ASK FOR PAYMENT SHE WILL ALWAYS PAYTM(13/12) Paytm from Parveen Gupta(16/01)  Holy Change(16/03) Received 1000 via paytm-- Parveen Gupta(28/05) Pls send tom (06/02) HDTNP (13/03)</v>
          </cell>
          <cell r="N91" t="str">
            <v>2  del of this cycle   -  1-cycles pmnt   Pending - Collect 1450</v>
          </cell>
          <cell r="O91" t="str">
            <v>Sunflower ( Height 16 inch) 4     FF Sachet + Grass</v>
          </cell>
          <cell r="P91" t="str">
            <v>G Button Daisy 5     FF Sachet + Grass</v>
          </cell>
          <cell r="Q91" t="str">
            <v>P n W Glad ( 14 inch ) 16     Grass</v>
          </cell>
          <cell r="R91" t="str">
            <v>Y Asiatic ( 15 inch ) 3     Grass</v>
          </cell>
          <cell r="S91" t="str">
            <v>R n W Car ( 14 Inch ) 16     FF Sachet + Grass</v>
          </cell>
          <cell r="T91" t="str">
            <v>Mix Alstroemeria ( 12 Inch ) 16     FF Sachet + Grass</v>
          </cell>
        </row>
        <row r="92">
          <cell r="A92" t="str">
            <v>B56047</v>
          </cell>
          <cell r="B92">
            <v>9971105361</v>
          </cell>
          <cell r="C92">
            <v>9971105361</v>
          </cell>
          <cell r="D92" t="str">
            <v>A-16, 2nd Floor, Ashok Estate, Anant Raj Estate, Sec 63 A</v>
          </cell>
          <cell r="E92" t="str">
            <v>Ghata</v>
          </cell>
          <cell r="F92" t="str">
            <v>Friday</v>
          </cell>
          <cell r="G92" t="str">
            <v>By 11:30 aM</v>
          </cell>
          <cell r="H92">
            <v>950</v>
          </cell>
          <cell r="I92">
            <v>950</v>
          </cell>
          <cell r="J92" t="str">
            <v>Bouquet</v>
          </cell>
          <cell r="K92" t="str">
            <v>Rose Mala</v>
          </cell>
          <cell r="N92" t="str">
            <v>1  del of this cycle   -  1-cycles pmnt   Pending - Collect 950</v>
          </cell>
          <cell r="O92" t="e">
            <v>#N/A</v>
          </cell>
          <cell r="P92" t="e">
            <v>#N/A</v>
          </cell>
          <cell r="Q92" t="e">
            <v>#N/A</v>
          </cell>
          <cell r="R92" t="e">
            <v>#N/A</v>
          </cell>
          <cell r="S92" t="e">
            <v>#N/A</v>
          </cell>
          <cell r="T92" t="str">
            <v xml:space="preserve">Rose Mala 21     </v>
          </cell>
        </row>
        <row r="93">
          <cell r="A93">
            <v>72</v>
          </cell>
          <cell r="B93" t="str">
            <v>Mrs. Raman-- AFTER 4:30 PM</v>
          </cell>
          <cell r="C93">
            <v>9810235092</v>
          </cell>
          <cell r="D93" t="str">
            <v>1519, Sector-17 C</v>
          </cell>
          <cell r="E93" t="str">
            <v>Old Gurgaon</v>
          </cell>
          <cell r="F93" t="str">
            <v>Friday</v>
          </cell>
          <cell r="G93" t="str">
            <v>4 PM to 7PM</v>
          </cell>
          <cell r="H93">
            <v>999</v>
          </cell>
          <cell r="I93">
            <v>249.75</v>
          </cell>
          <cell r="J93" t="str">
            <v>Delight</v>
          </cell>
          <cell r="K93" t="str">
            <v>No Rajni n Daisy(22/05)Next Del on 12th June(08/06) Send cheque back to get a new one(11/06)Skip tomorrow and send on Friday this week(21/11) 1 Stick extra in next del(06/12) 1 Stick extra in next Del(06/12) 500 added for bouquet sent to Nupur n Karthik(29/12) After 24th skip n send on 14th Feb(10/01) Rses Next(10/01) Next Del on 14th Feb(24/01) Return-send tom(04/04) Send Next Del in Evening slot(01/05) Day Chnaged to Friday(26/06) Change day to sunday(10/07) FF Sold today(21/07) Return-send tom(03/11) PLS SEND 15TH DEL ON 14TH(27/11) Send sat this week before 11:30 AM(12/12) Today hold send on sat(20/08/20) Only Chrysanthemum till they are in good shape(12/11) Skip tom and send on friday(27/01) Skip 1 week(21/03) Shift to Delight and 8 stick every week(15/09) Always 8 sticks(10/12) Send on Sat this week(16/02)  Holy Change(16/03) Send on sat this week(23/03) Send this week on 8th (04/10) Skip tom and send on sunday (05/01) Hold today n send tom (03/03) Dont send on 30th June-- Send on 1st July with Pink n Yellow Gerbera (23/06) Hold today and send on sunday (27/10) Send a vase tom (25/01) Hold today n send tom (09/02) Hold today (07/06) Skip friday and send on sunday (08/08) Skip friday n start from sunday (30/01) Skip 1 week (11/03) Hold today n send on sunday (16/05) Hold till 1th June (25/05) Hold till 8th Feb (18/01)</v>
          </cell>
          <cell r="N93" t="str">
            <v>1  del of this cycle   -  1-cycles pmnt   Pending - Collect 999</v>
          </cell>
          <cell r="O93" t="str">
            <v>B Daisy 9     FF Sachet + Grass</v>
          </cell>
          <cell r="P93" t="str">
            <v>Alstomeria 9     Grass</v>
          </cell>
          <cell r="Q93" t="str">
            <v>P n W Glad ( 14 inch ) 9     Grass</v>
          </cell>
          <cell r="R93" t="str">
            <v>P Spray Daisy ( 15 inch ) 3     FF Sachet + Grass</v>
          </cell>
          <cell r="S93" t="str">
            <v>R n W Car ( 14 Inch ) 9     FF Sachet + Grass</v>
          </cell>
          <cell r="T93" t="str">
            <v>O Asiatic ( 14 Inch ) 2     FF Sachet + Grass</v>
          </cell>
        </row>
        <row r="94">
          <cell r="A94">
            <v>43</v>
          </cell>
          <cell r="B94" t="str">
            <v>Ms. Arpita Bhargava</v>
          </cell>
          <cell r="C94">
            <v>9953515520</v>
          </cell>
          <cell r="D94" t="str">
            <v>T-4/1701,Tata Primanty,Sector-72</v>
          </cell>
          <cell r="E94" t="str">
            <v>Sohna Road 2</v>
          </cell>
          <cell r="F94" t="str">
            <v>Friday</v>
          </cell>
          <cell r="G94" t="str">
            <v>9 AM - 12 PM</v>
          </cell>
          <cell r="H94">
            <v>999</v>
          </cell>
          <cell r="I94">
            <v>249.75</v>
          </cell>
          <cell r="J94" t="str">
            <v>Delight</v>
          </cell>
          <cell r="K94" t="str">
            <v xml:space="preserve"> NO ROSES(28/12) Prefer Glad and Daisy(11/01)  NO ORCHIDS(31/05)  MORE CHRYSANTHEMUM , GLADIOLI NO ROSE AND ORCHIDS(26/12) Return-send Tom(17/01) NO ORCHIDS OR LILIES, ONLY 15 STICKS(31/07/20)  NO GUldawari now in this season--sent replacement today(12/03)   Holy Change(16/03) Flower F Next(13/05) NO RAJNI N GERBERA(21/07) Skip 1 week (29/10) Send 1 stem extra next (23/12) NO GERBERA n ROSE (14/01) REturn today (10/03) Returnb-send next week (30/06) Today return-send next week (07/07) Skip 2 weeks (27/12) Skip 1 week (26/03) Skip 1 week (25/09) Hold send next week (03/10) Returned today (07/11) Today hold (21/11) Today returned (28/11) Skip 2 week (18/12) Replacement tom (17/04)</v>
          </cell>
          <cell r="L94" t="str">
            <v>GERBERA n ROSE</v>
          </cell>
          <cell r="N94" t="str">
            <v>1  del of this cycle   -  1-cycles pmnt   Pending - Collect 999</v>
          </cell>
          <cell r="O94" t="str">
            <v>R n W Car 9     FF Sachet + Grass</v>
          </cell>
          <cell r="P94" t="str">
            <v>Pur Eustoma ( 14 inch )  2     Grass</v>
          </cell>
          <cell r="Q94" t="str">
            <v>P n W Glad ( 14 inch ) 9     Grass</v>
          </cell>
          <cell r="R94" t="str">
            <v>Y Spray Daisy ( 15 inch ) 3 Sunflower ( 15 inch ) 2   FF Sachet + Grass</v>
          </cell>
          <cell r="S94" t="str">
            <v>P Asiatic ( 15 Inch ) 2     Grass</v>
          </cell>
          <cell r="T94" t="str">
            <v>P n W Car ( 14 Inch ) 9     FF Sachet + Grass</v>
          </cell>
        </row>
        <row r="95">
          <cell r="A95">
            <v>2803</v>
          </cell>
          <cell r="B95" t="str">
            <v>Priyanka Dey</v>
          </cell>
          <cell r="C95">
            <v>9007706833</v>
          </cell>
          <cell r="D95" t="str">
            <v>D/1003, 10th Floor, Emaar Palm Heights, Sec 77</v>
          </cell>
          <cell r="E95" t="str">
            <v>Badshahpur</v>
          </cell>
          <cell r="F95" t="str">
            <v>Friday</v>
          </cell>
          <cell r="G95" t="str">
            <v>After 5 PM</v>
          </cell>
          <cell r="H95">
            <v>1450</v>
          </cell>
          <cell r="I95">
            <v>362.5</v>
          </cell>
          <cell r="J95" t="str">
            <v>Delight</v>
          </cell>
          <cell r="K95" t="str">
            <v>Lily Next (28/07) Returned and hold (15/08) Four plus 1 Pack // Today returned (16/05)</v>
          </cell>
          <cell r="N95" t="str">
            <v>2  del of this cycle   -  0-cycles pmnt   Completed - Collect 0</v>
          </cell>
          <cell r="O95" t="str">
            <v>P n W Glad 16     Grass</v>
          </cell>
          <cell r="P95" t="str">
            <v>P n W Spray Daisy ( 15 inch ) 5     FF Sachet + Grass</v>
          </cell>
          <cell r="Q95" t="str">
            <v>P Asiatic ( 15 inch ) 3     Grass</v>
          </cell>
          <cell r="R95" t="str">
            <v>R n W Car ( 14 inch ) 16     FF Sachet + Grass</v>
          </cell>
          <cell r="S95" t="str">
            <v>Mix Alstroemeria ( 12 Inch ) 16     FF Sachet + Grass</v>
          </cell>
          <cell r="T95" t="str">
            <v>P n W Glad ( 14 Inch ) 16     Grass</v>
          </cell>
        </row>
        <row r="96">
          <cell r="A96">
            <v>2454</v>
          </cell>
          <cell r="B96" t="str">
            <v>Vipin</v>
          </cell>
          <cell r="C96" t="str">
            <v>9555977401 // 9654829329</v>
          </cell>
          <cell r="D96" t="str">
            <v>Villa / VB-5, Tata Primanti, Sec 72</v>
          </cell>
          <cell r="E96" t="str">
            <v>Badshahpur</v>
          </cell>
          <cell r="F96" t="str">
            <v>Friday</v>
          </cell>
          <cell r="G96" t="str">
            <v>9 AM - 12 PM</v>
          </cell>
          <cell r="H96">
            <v>1950</v>
          </cell>
          <cell r="I96">
            <v>487.5</v>
          </cell>
          <cell r="J96" t="str">
            <v>Joy</v>
          </cell>
          <cell r="K96" t="str">
            <v>Send in evening slot tom (11/03) Paytm From Hina Kapoor (06/04) Send replacement Tom (17/05) Send replacement of W Eustoma (17/05) Paytm from Tarun Kumar (15/95) Replacement tom (16/05)</v>
          </cell>
          <cell r="N96" t="str">
            <v>2  del of this cycle   -  1-cycles pmnt   Pending - Collect 1950</v>
          </cell>
          <cell r="O96" t="str">
            <v>P Asiatic 2 B Daisy 11   Grass</v>
          </cell>
          <cell r="P96" t="str">
            <v>P n W Spray Daisy ( 15 inch ) 4 R n W Car 11   FF Sachet + Grass</v>
          </cell>
          <cell r="Q96" t="str">
            <v>Sunflower ( 15 inch ) 3 Mix Alstroemeria ( 14 inch ) 10 Ensure Collection Ensure Collection Grass</v>
          </cell>
          <cell r="R96" t="str">
            <v>W Eustoma ( 14 inch ) 2 P n W Glad ( 14 inch ) 11   FF Sachet + Grass</v>
          </cell>
          <cell r="S96" t="str">
            <v>O Asiatic ( 15 Inch ) 2 P n W Car ( 14 Inch ) 11   Grass</v>
          </cell>
          <cell r="T96" t="str">
            <v>P n Y Spray Daisy ( 14 Inch ) 4 Mix Alstroemeria ( 12 Inch ) 11   FF Sachet + Grass</v>
          </cell>
        </row>
        <row r="97">
          <cell r="A97">
            <v>628</v>
          </cell>
          <cell r="B97" t="str">
            <v>Parul Hazel</v>
          </cell>
          <cell r="C97">
            <v>9873675242</v>
          </cell>
          <cell r="D97" t="str">
            <v>E-1202, Palm Drive</v>
          </cell>
          <cell r="E97" t="str">
            <v>Badshahpur</v>
          </cell>
          <cell r="F97" t="str">
            <v>Friday</v>
          </cell>
          <cell r="G97" t="str">
            <v>9 AM - 12 PM</v>
          </cell>
          <cell r="H97">
            <v>1450</v>
          </cell>
          <cell r="I97">
            <v>362.5</v>
          </cell>
          <cell r="J97" t="str">
            <v>Bliss</v>
          </cell>
          <cell r="K97" t="str">
            <v>Send vase replacement tomorrow(27/10) Skip 1 week(27/12) Return-send next week(27/01)Skip 1 week(07/02) Rose next time(26/02) 1 stick extra next week(09/03) Skip 1 week(20/03) Send 1 stick extra in next del(18/05) Today hold n skip 1 week(25/05) Skip 2 week(14/06) Inform Before Sending(01/07) Send 2 pack of FF tom(19/07) Today hold-send tom(21/10) return-send on Thursday(26/10) Rajni Next(21/12) Hold -send on Monday(28/12) Skip 1 week(09/03) Rajni Next(28/01) Rajni tom(28/02) Pls send Mix of Spray daisy + Rajni and send tom only this week(04/03) Skiped 1 week due to HOLI(29/03) Skip 1 week(17/08) Rajni/Rose next(12/10) Send rajni Tom(30/10) Skip 1 week(19/12) Skip 1 week(12/03) Sewnt a replacement today(17/04) Skip 1 we Hold today (29/03)ek(01/06) Skip 2 Weeks(23/06) Skip 1 week(28/07) Skip 1 week (22/12) Skip 2 weeks (01/01/23) Skip 1 week (13/04) Send on sunday this week (14/04) Send 1 delivery tom (19/06)] Skip 1 week (28/09) Skip 1 week (10/04) Send Replacement tom (10/01) Skip 1 week (20/01) Skip friday n send on monday this week (26/06) Send thsi week flowers on monday (14/08) Skip 1 week (16/12) skip tom and send on 28th (17/03) Hold today and check next week before sending (22/05)</v>
          </cell>
          <cell r="N97" t="str">
            <v>3  del of this cycle   -  0-cycles pmnt   CompletedNO COLLECTION-we have extra money - Collect -50</v>
          </cell>
          <cell r="O97" t="e">
            <v>#N/A</v>
          </cell>
          <cell r="P97" t="e">
            <v>#N/A</v>
          </cell>
          <cell r="Q97" t="e">
            <v>#N/A</v>
          </cell>
          <cell r="R97" t="str">
            <v>P n W Glad ( 16 Inch) 16     Grass</v>
          </cell>
          <cell r="S97" t="str">
            <v>O Asiatic ( 15 Inch ) 3     Grass</v>
          </cell>
          <cell r="T97" t="str">
            <v>P n W Glad ( 14 Inch ) 16     Grass</v>
          </cell>
        </row>
        <row r="98">
          <cell r="A98">
            <v>2394</v>
          </cell>
          <cell r="B98" t="str">
            <v>Sachi Poudiyal</v>
          </cell>
          <cell r="C98">
            <v>8420453178</v>
          </cell>
          <cell r="D98" t="str">
            <v>H. No. 901, Ground Floor, Sec 17 B, Next to St PBN School</v>
          </cell>
          <cell r="E98" t="str">
            <v>Old Gurgaon</v>
          </cell>
          <cell r="F98" t="str">
            <v>Friday</v>
          </cell>
          <cell r="G98" t="str">
            <v>4 PM to 7 PM</v>
          </cell>
          <cell r="H98">
            <v>1450</v>
          </cell>
          <cell r="I98">
            <v>362.5</v>
          </cell>
          <cell r="J98" t="str">
            <v>Bliss</v>
          </cell>
          <cell r="K98" t="str">
            <v>12 Del Payment done today (18/03) Hold n start from Aug(12/06) One Payment Received today (09/11)</v>
          </cell>
          <cell r="N98" t="str">
            <v>4  del of this cycle   -  0-cycles pmnt   Completed - Collect 0</v>
          </cell>
          <cell r="O98" t="str">
            <v>O Asiatic 3     Grass</v>
          </cell>
          <cell r="P98" t="str">
            <v>Sunflower ( 15 inch) 4     Grass</v>
          </cell>
          <cell r="Q98" t="str">
            <v>R n W Car ( 14 inch ) 16     FF Sachet + Grass</v>
          </cell>
          <cell r="R98" t="str">
            <v>Asiatic 3     Grass</v>
          </cell>
          <cell r="S98" t="str">
            <v>P n Y Spray Daisy ( 15 Inch ) 5     FF Sachet + Grass</v>
          </cell>
          <cell r="T98" t="str">
            <v>P n W Glad ( 14 Inch ) 16     Grass</v>
          </cell>
        </row>
        <row r="99">
          <cell r="A99">
            <v>2311</v>
          </cell>
          <cell r="B99" t="str">
            <v>Ranjeeta Sanghvi</v>
          </cell>
          <cell r="C99">
            <v>9986593206</v>
          </cell>
          <cell r="D99" t="str">
            <v>T-3/TH-B, Bellevue. Central Park 2</v>
          </cell>
          <cell r="E99" t="str">
            <v>Sohna Road 2</v>
          </cell>
          <cell r="F99" t="str">
            <v>Friday</v>
          </cell>
          <cell r="G99" t="str">
            <v>9 AM - 12 PM</v>
          </cell>
          <cell r="H99">
            <v>999</v>
          </cell>
          <cell r="I99">
            <v>249.75</v>
          </cell>
          <cell r="J99" t="str">
            <v>Delight</v>
          </cell>
          <cell r="N99" t="str">
            <v>3  del of this cycle   -  0-cycles pmnt   Completed - Collect 0</v>
          </cell>
          <cell r="O99" t="str">
            <v>O Asiatic 2     Grass</v>
          </cell>
          <cell r="P99" t="str">
            <v>R n W Car 9     FF Sachet + Grass</v>
          </cell>
          <cell r="Q99" t="str">
            <v>Sunflower ( 15 inch ) 2     Grass</v>
          </cell>
          <cell r="R99" t="str">
            <v>P Spray Daisy ( 15 inch ) 3 P n W Glad ( 14 inch ) 9   FF Sachet + Grass</v>
          </cell>
          <cell r="S99" t="str">
            <v>Mix Alstroemeria ( 12 Inch ) 9     FF Sachet + Grass</v>
          </cell>
          <cell r="T99" t="str">
            <v>P n W Glad ( 14 Inch ) 9     Grass</v>
          </cell>
        </row>
        <row r="100">
          <cell r="A100">
            <v>2918</v>
          </cell>
          <cell r="B100" t="str">
            <v>Tina</v>
          </cell>
          <cell r="C100">
            <v>9212408077</v>
          </cell>
          <cell r="D100" t="str">
            <v>J-1603, Palm Drive</v>
          </cell>
          <cell r="E100" t="str">
            <v>Badshahpur</v>
          </cell>
          <cell r="F100" t="str">
            <v>Friday</v>
          </cell>
          <cell r="G100" t="str">
            <v>10 AM to 2:30 PM</v>
          </cell>
          <cell r="H100">
            <v>999</v>
          </cell>
          <cell r="I100">
            <v>249.75</v>
          </cell>
          <cell r="J100" t="str">
            <v>Delight</v>
          </cell>
          <cell r="K100" t="str">
            <v>From Radhika Neeraj Rathod//Colect cash (17/03) Paytm from Gureena Singh (29/08) Send tom n send on Monday this week (19/03)</v>
          </cell>
          <cell r="N100" t="str">
            <v>4  del of this cycle   -  0-cycles pmnt   Completed - Collect 0</v>
          </cell>
          <cell r="O100" t="str">
            <v>B Daisy 9     FF Sachet + Grass</v>
          </cell>
          <cell r="P100" t="str">
            <v>R n W Car 9     FF Sachet + Grass</v>
          </cell>
          <cell r="Q100" t="str">
            <v>Sunflower ( 15 inch ) 2     Grass</v>
          </cell>
          <cell r="R100" t="str">
            <v>P n W Glad ( 14 inch ) 9     Grass</v>
          </cell>
          <cell r="S100" t="str">
            <v>P Asiatic ( 15 Inch ) 2 Collect 1375 Carry Receipt Book   Grass</v>
          </cell>
          <cell r="T100" t="str">
            <v>P n W Car ( 14 Inch ) 9     FF Sachet + Grass</v>
          </cell>
        </row>
        <row r="101">
          <cell r="A101">
            <v>3334</v>
          </cell>
          <cell r="B101" t="str">
            <v>Sachi Poudiyal</v>
          </cell>
          <cell r="C101">
            <v>8420453178</v>
          </cell>
          <cell r="D101" t="str">
            <v>H. No. 901, Ground Floor, Sec 17 B, Next to St PBN School</v>
          </cell>
          <cell r="E101" t="str">
            <v>Old Gurgaon</v>
          </cell>
          <cell r="F101" t="str">
            <v>Friday</v>
          </cell>
          <cell r="G101" t="str">
            <v>4 PM to 7 PM</v>
          </cell>
          <cell r="H101">
            <v>1450</v>
          </cell>
          <cell r="I101">
            <v>362.5</v>
          </cell>
          <cell r="J101" t="str">
            <v>Bliss</v>
          </cell>
          <cell r="N101" t="str">
            <v>3  del of this cycle   -  0-cycles pmnt   Completed - Collect 0</v>
          </cell>
          <cell r="O101" t="str">
            <v>R n W Car 16     FF Sachet + Grass</v>
          </cell>
          <cell r="P101" t="str">
            <v>Rajni 16     FF Sachet + Grass</v>
          </cell>
          <cell r="Q101" t="str">
            <v>P n Y Spray Daisy ( 15 inch ) 5     FF Sachet + Grass</v>
          </cell>
          <cell r="R101" t="str">
            <v>Rajni ( 16 inch ) 16     Grass</v>
          </cell>
          <cell r="S101" t="str">
            <v>P Asiatic ( 15 Inch ) 3     Grass</v>
          </cell>
          <cell r="T101" t="str">
            <v>P n W Glad ( 14 Inch ) 16     Grass</v>
          </cell>
        </row>
        <row r="102">
          <cell r="A102">
            <v>148</v>
          </cell>
          <cell r="B102" t="str">
            <v>Ruchi Kathpalia</v>
          </cell>
          <cell r="C102">
            <v>9899052574</v>
          </cell>
          <cell r="D102" t="str">
            <v>227, Lane 6B,Sector17,Gurgaon</v>
          </cell>
          <cell r="E102" t="str">
            <v>Old Gurgaon</v>
          </cell>
          <cell r="F102" t="str">
            <v>Friday</v>
          </cell>
          <cell r="G102" t="str">
            <v>4 PM to 7PM</v>
          </cell>
          <cell r="H102">
            <v>999</v>
          </cell>
          <cell r="I102">
            <v>249.75</v>
          </cell>
          <cell r="J102" t="str">
            <v>Delight</v>
          </cell>
          <cell r="K102" t="str">
            <v>Pls send some Extra flowers(22/08)Send glad on Friday this week only(27/09) Gifted 1 subscription of 450 to her mother(16/12) NO ROSE(21/12) Upgrade to 650 Plan n NO ORCHID(02/05) NO ASIATIC n ORCHID(04/05) FF Sold Today(20/07) FF Sold today(24/08) GLAD Next(26/09) paytm recvd of 150 from Aditya Kathpalia(11/01) Glad next(03/09/20) Sending Del tom due to Diwali(11/11) Preferred Flowers-- Glad+Chrysanthemum + Tuberose + Car(30/11) NO ROSE(05/02) Holy Change(16/03) NO ROSE (26/04) Pooja's Account (07/07) Send tom (06/02)</v>
          </cell>
          <cell r="L102" t="str">
            <v>ROSE</v>
          </cell>
          <cell r="N102" t="str">
            <v>1  del of this cycle   -  1-cycles pmnt   Pending - Collect 999</v>
          </cell>
          <cell r="O102" t="str">
            <v>P n W Glad 9     Grass</v>
          </cell>
          <cell r="P102" t="str">
            <v>R n W Car 9     FF Sachet + Grass</v>
          </cell>
          <cell r="Q102" t="str">
            <v>Sunflower ( 15 inch ) 2     Grass</v>
          </cell>
          <cell r="R102" t="str">
            <v>Mix Glad 9     Grass</v>
          </cell>
          <cell r="S102" t="str">
            <v>Mix Alstroemeria ( 12 Inch ) 9     FF Sachet + Grass</v>
          </cell>
          <cell r="T102" t="str">
            <v>O Asiatic ( 14 Inch ) 2     Grass</v>
          </cell>
        </row>
        <row r="103">
          <cell r="A103" t="str">
            <v>B56063</v>
          </cell>
          <cell r="B103" t="str">
            <v>Jasbir Singh</v>
          </cell>
          <cell r="C103">
            <v>9997092561</v>
          </cell>
          <cell r="D103" t="str">
            <v>514-A, The Camellias</v>
          </cell>
          <cell r="E103" t="str">
            <v>Golf Course Road</v>
          </cell>
          <cell r="F103" t="str">
            <v>Saturday</v>
          </cell>
          <cell r="G103" t="str">
            <v>9 AM - 12 PM</v>
          </cell>
          <cell r="H103">
            <v>30000</v>
          </cell>
          <cell r="I103">
            <v>35000</v>
          </cell>
          <cell r="J103" t="str">
            <v>Special Project</v>
          </cell>
          <cell r="N103" t="str">
            <v>1  del of this cycle   -  0-cycles pmnt   In Process - Collect 0</v>
          </cell>
          <cell r="O103" t="e">
            <v>#N/A</v>
          </cell>
          <cell r="P103" t="e">
            <v>#N/A</v>
          </cell>
          <cell r="Q103" t="e">
            <v>#N/A</v>
          </cell>
          <cell r="R103" t="e">
            <v>#N/A</v>
          </cell>
          <cell r="S103" t="e">
            <v>#N/A</v>
          </cell>
          <cell r="T103" t="str">
            <v xml:space="preserve">G n W Car + G n W Spray Daisy + G n W Orchid + W Oriental + G n W Anthurium + W Eustoma + Mogra 100 + 40 + 30 + 20 + 15 + 30 + 300 Gm     </v>
          </cell>
        </row>
        <row r="104">
          <cell r="A104">
            <v>359</v>
          </cell>
          <cell r="B104" t="str">
            <v>Sudipta Karnik</v>
          </cell>
          <cell r="C104">
            <v>9810266546</v>
          </cell>
          <cell r="D104" t="str">
            <v>Tower 4, Flat 6A, Bellevue, Central Park,Sector-48    Sec 48 Gurgoan  122001</v>
          </cell>
          <cell r="E104" t="str">
            <v>Sohna Road 2</v>
          </cell>
          <cell r="F104" t="str">
            <v>Friday</v>
          </cell>
          <cell r="G104" t="str">
            <v>9 AM - 12 PM</v>
          </cell>
          <cell r="H104">
            <v>1950</v>
          </cell>
          <cell r="I104">
            <v>487.5</v>
          </cell>
          <cell r="J104" t="str">
            <v>Joy</v>
          </cell>
          <cell r="K104" t="str">
            <v>Pls send diff flowers in both package(24/07)Pls send only white color flowers other that Rajni till Nov-18(19/10)NO ROSE(20/12) FLOWER FOOD(10/04) Rs.80/- received against Special Pack(13/04) Send 1 pack of spaecial pack(18/05)  ONLY ASIATIC TILL NEXT INSTR(07/06) Return-send tom(29/06) Sent 2 del today with 40 Car(16/09) Return-send tom(30/11) Change day to Friday(22/02) Hold today-sent next week(10/07/20) Today hold-send tom(04/09/20) Gerbera Next(23/09/20) Sending del Tom due to Diwali(11/11) Skip 1 week(09/07) Skip 1 week(15/09) NO HELICONIA(24/12) Holy Change(16/03) Send replacement tom (03/06)</v>
          </cell>
          <cell r="N104" t="str">
            <v>1  del of this cycle   -  1-cycles pmnt   Pending - Collect 1950</v>
          </cell>
          <cell r="O104" t="str">
            <v>P Asiatic 4     Grass</v>
          </cell>
          <cell r="P104" t="str">
            <v>P n W Glad ( 15 inch) 22     Grass</v>
          </cell>
          <cell r="Q104" t="str">
            <v>R n W Car ( 14 inch ) 22     FF Sachet + Grass</v>
          </cell>
          <cell r="R104" t="str">
            <v>Glad 22     Grass</v>
          </cell>
          <cell r="S104" t="str">
            <v>Y Orchid  7     FF Sachet + Grass</v>
          </cell>
          <cell r="T104" t="str">
            <v>O Asiatic ( 14 Inch ) 4     Grass</v>
          </cell>
        </row>
        <row r="105">
          <cell r="A105">
            <v>2708</v>
          </cell>
          <cell r="B105" t="str">
            <v>Monica Bakshi</v>
          </cell>
          <cell r="C105">
            <v>9730543073</v>
          </cell>
          <cell r="D105" t="str">
            <v>K-1005, Palm Drive</v>
          </cell>
          <cell r="E105" t="str">
            <v>Badshahpur</v>
          </cell>
          <cell r="F105" t="str">
            <v>Friday</v>
          </cell>
          <cell r="G105" t="str">
            <v>9 AM - 12 PM</v>
          </cell>
          <cell r="H105">
            <v>999</v>
          </cell>
          <cell r="I105">
            <v>249.75</v>
          </cell>
          <cell r="J105" t="str">
            <v>Delight</v>
          </cell>
          <cell r="K105" t="str">
            <v>No Gerbera (02/12)</v>
          </cell>
          <cell r="L105" t="str">
            <v xml:space="preserve">GERBERA </v>
          </cell>
          <cell r="N105" t="str">
            <v>4  del of this cycle   -  0-cycles pmnt   Completed - Collect 0</v>
          </cell>
          <cell r="O105" t="str">
            <v>Sunflower ( Height 16 inch) 2     FF Sachet + Grass</v>
          </cell>
          <cell r="P105" t="str">
            <v>R n W Car 9     FF Sachet + Grass</v>
          </cell>
          <cell r="Q105" t="str">
            <v>Mix Alstroemeria ( 14 inch ) 9     FF Sachet + Grass</v>
          </cell>
          <cell r="R105" t="str">
            <v>P Asiatic ( 15 inch ) 3     Grass</v>
          </cell>
          <cell r="S105" t="str">
            <v>P n W Glad ( 14 Inch ) 9     Grass</v>
          </cell>
          <cell r="T105" t="str">
            <v>Y Spray Daisy ( 14 Inch ) 3     FF Sachet + Grass</v>
          </cell>
        </row>
        <row r="106">
          <cell r="A106">
            <v>781</v>
          </cell>
          <cell r="B106" t="str">
            <v>Maj. Gen. KN Singh</v>
          </cell>
          <cell r="C106">
            <v>9971391417</v>
          </cell>
          <cell r="D106" t="str">
            <v>GH 4/5C Gurgaon One Apartments- Sectr 22</v>
          </cell>
          <cell r="E106" t="str">
            <v>Old Gurgaon</v>
          </cell>
          <cell r="F106" t="str">
            <v>Friday</v>
          </cell>
          <cell r="G106" t="str">
            <v>4 PM to 7PM</v>
          </cell>
          <cell r="H106">
            <v>1450</v>
          </cell>
          <cell r="I106">
            <v>362.5</v>
          </cell>
          <cell r="J106" t="str">
            <v>Bliss</v>
          </cell>
          <cell r="K106" t="str">
            <v>Tuesday and friday// NO ORCHIDS(02/09) Skip 1 week(04/08) Skip 1 week(22/09) Skip 1 week (15/12) Today hold (13/01) Skip 2 weeks (23/01) Skip 1 week (30/03) Skip 1 week (13/04) Shift to Bliss (27/04) Send replacement tom (13/05) Skip 1 week (24/05) Skip 1 week (25/07) Skip 1 week (10/08) Skip 2 week (08/01) Skip 17th and send on 19th (15/05) Skip 2 week (09/01) Skip 1 week (11/03) skip 2 week (04/12) Send tom (06/02) hOLD TODAY (08/05)</v>
          </cell>
          <cell r="N106" t="str">
            <v>1  del of this cycle   -  1-cycles pmnt   Pending - Collect 1450</v>
          </cell>
          <cell r="O106" t="str">
            <v>O Asiatic 3     Grass</v>
          </cell>
          <cell r="P106" t="str">
            <v>Sunflower ( 15 inch) 4     Grass</v>
          </cell>
          <cell r="Q106" t="str">
            <v>R n W Car ( 14 inch ) 16     FF Sachet + Grass</v>
          </cell>
          <cell r="R106" t="str">
            <v>P n W Glad ( 16 Inch) 16     Grass</v>
          </cell>
          <cell r="S106" t="str">
            <v>Mix Alstroemeria ( 12 Inch ) 16     FF Sachet + Grass</v>
          </cell>
          <cell r="T106" t="str">
            <v>P Asiatic ( 14 Inch ) 3     Grass</v>
          </cell>
        </row>
        <row r="107">
          <cell r="A107">
            <v>3375</v>
          </cell>
          <cell r="B107" t="str">
            <v>Saniya Anand</v>
          </cell>
          <cell r="C107">
            <v>9810955188</v>
          </cell>
          <cell r="D107" t="str">
            <v>D-1102, Caritriona Ambience Island</v>
          </cell>
          <cell r="E107" t="str">
            <v>M G Road</v>
          </cell>
          <cell r="F107" t="str">
            <v>Friday</v>
          </cell>
          <cell r="G107" t="str">
            <v>4 Pm to 7 PM</v>
          </cell>
          <cell r="H107">
            <v>1950</v>
          </cell>
          <cell r="I107">
            <v>487.5</v>
          </cell>
          <cell r="J107" t="str">
            <v>Joy</v>
          </cell>
          <cell r="N107" t="str">
            <v>1  del of this cycle   -  0-cycles pmnt   Completed - Collect 0</v>
          </cell>
          <cell r="O107" t="e">
            <v>#N/A</v>
          </cell>
          <cell r="P107" t="e">
            <v>#N/A</v>
          </cell>
          <cell r="Q107" t="e">
            <v>#N/A</v>
          </cell>
          <cell r="R107" t="e">
            <v>#N/A</v>
          </cell>
          <cell r="S107" t="e">
            <v>#N/A</v>
          </cell>
          <cell r="T107" t="str">
            <v>Shd Pur n P Car ( 14 Inch ) 22     FF Sachet + Grass</v>
          </cell>
        </row>
        <row r="108">
          <cell r="A108">
            <v>2519</v>
          </cell>
          <cell r="B108" t="str">
            <v>Radhika Marwah</v>
          </cell>
          <cell r="C108">
            <v>9972167341</v>
          </cell>
          <cell r="D108" t="str">
            <v>F-501, Mapsko Mountville, Sec 79</v>
          </cell>
          <cell r="E108" t="str">
            <v>Badshahpur</v>
          </cell>
          <cell r="F108" t="str">
            <v>Friday</v>
          </cell>
          <cell r="G108" t="str">
            <v>4 Pm to 7 PM</v>
          </cell>
          <cell r="H108">
            <v>1450</v>
          </cell>
          <cell r="I108">
            <v>362.5</v>
          </cell>
          <cell r="J108" t="str">
            <v>Bliss</v>
          </cell>
          <cell r="N108" t="str">
            <v>4  del of this cycle   -  0-cycles pmnt   Completed - Collect 0</v>
          </cell>
          <cell r="O108" t="str">
            <v>P Eustoma 2 P n W Gerbera 7   FF Sachet + Grass</v>
          </cell>
          <cell r="P108" t="str">
            <v>O Asiatic ( 16 inch) 2 Alstomeria 7   Grass</v>
          </cell>
          <cell r="Q108" t="str">
            <v>Y Spray Daisy ( 15 inch ) 3 P n W Glad ( 14 inch ) 7   FF Sachet + Grass</v>
          </cell>
          <cell r="R108" t="str">
            <v>Sunflower ( 15 inch ) 2 P n W Car ( 14 inch ) 7   Grass</v>
          </cell>
          <cell r="S108" t="str">
            <v>P Asiatic ( 15 Inch ) 2 Mix Alstroemeria ( 12 Inch )  7   Grass</v>
          </cell>
          <cell r="T108" t="str">
            <v>Pur Eustom ( 14 Inch ) 2 P n W Glad ( 14 Inch ) 7   FF Sachet + Grass</v>
          </cell>
        </row>
        <row r="109">
          <cell r="A109">
            <v>3057</v>
          </cell>
          <cell r="B109" t="str">
            <v>Nimisha Narayan</v>
          </cell>
          <cell r="C109">
            <v>9999975582</v>
          </cell>
          <cell r="D109" t="str">
            <v>T-7/604, Uniworl Garden 1</v>
          </cell>
          <cell r="E109" t="str">
            <v>Sohna Road 1</v>
          </cell>
          <cell r="F109" t="str">
            <v>Friday</v>
          </cell>
          <cell r="G109" t="str">
            <v>9 AM - 12 PM</v>
          </cell>
          <cell r="H109">
            <v>999</v>
          </cell>
          <cell r="I109">
            <v>249.75</v>
          </cell>
          <cell r="J109" t="str">
            <v>Delight</v>
          </cell>
          <cell r="K109" t="str">
            <v>Skip n sned on Sunday (03/12) Return today (01/05)</v>
          </cell>
          <cell r="N109" t="str">
            <v>3  del of this cycle   -  0-cycles pmnt   Completed - Collect 0</v>
          </cell>
          <cell r="O109" t="str">
            <v>B Daisy 9     FF Sachet + Grass</v>
          </cell>
          <cell r="P109" t="str">
            <v>P n W Glad ( 15 inch) 9     Grass</v>
          </cell>
          <cell r="Q109" t="str">
            <v>R n W Car ( 14 inch ) 9     FF Sachet + Grass</v>
          </cell>
          <cell r="R109" t="str">
            <v>Sunflower ( 15 inch ) 2     Grass</v>
          </cell>
          <cell r="S109" t="str">
            <v>Mix Alstroemeria ( 12 Inch ) 9     FF Sachet + Grass</v>
          </cell>
          <cell r="T109" t="str">
            <v>P Asiatic ( 14 Inch ) 2     Grass</v>
          </cell>
        </row>
        <row r="110">
          <cell r="A110">
            <v>2260</v>
          </cell>
          <cell r="B110" t="str">
            <v>Madhu Chopra</v>
          </cell>
          <cell r="C110">
            <v>9810270218</v>
          </cell>
          <cell r="D110" t="str">
            <v>Anand Farm, Sri Krishna Chowk, Sec 22, Dundahera</v>
          </cell>
          <cell r="E110" t="str">
            <v>Old Gurgaon</v>
          </cell>
          <cell r="F110" t="str">
            <v>Friday</v>
          </cell>
          <cell r="G110" t="str">
            <v>4 Pm to 7 PM</v>
          </cell>
          <cell r="H110">
            <v>4750</v>
          </cell>
          <cell r="I110">
            <v>1187.5</v>
          </cell>
          <cell r="J110" t="str">
            <v>Enchantment</v>
          </cell>
          <cell r="K110" t="str">
            <v>NO ROSE// From Albi Wife// Send replacement of Glad n Sunflower tom (20/04)  This week on Thursday (23/10) Anthurium/Lily and bop this week (23/10) Send 1 del tom n hld (11/06) Send on wednsday -- send 5 Oriental + Rajni for 2 Vase + Orchid for 1 Vase + 10 Stem 1 ft Bamboo in Vase with Ribbon (26/10) Hold till 7th Jan (19/12) Pls Send tom (06/02) Sent one del tiday instead of tim (26/02)</v>
          </cell>
          <cell r="L110" t="str">
            <v>ROSE</v>
          </cell>
          <cell r="N110" t="str">
            <v>1  del of this cycle   -  0-cycles pmnt   In Process - Collect 0</v>
          </cell>
          <cell r="O110" t="str">
            <v>W Oriental + P Anthurium  3 + 3 P n W Car + Mix Alstroemeria 12 + 15 W Orchid 5 5 Areca palm + 3 Gypsola + 3 Limonium + FF Sachet\</v>
          </cell>
          <cell r="P110" t="str">
            <v>p Oriental + eustoma 3 + 4 Alstomeria + R n W Car 12 + 12 R Orchid 5 5 Areca palm + 3 Gypsola + 3 Limonium</v>
          </cell>
          <cell r="Q110" t="str">
            <v>P Oriental ( 18 inch ) + BOP ( 15 Inch ) 3 + 3 P n W Glad ( 14 inch ) + B Daisy 12 + 10 Orchid 4 5 Areca palm + 3 Gypsola + 3 Limonium</v>
          </cell>
          <cell r="R110" t="str">
            <v>W Oriental + G n Y Spray Daisy  3 + 5 P n W Car + Rajni 12 + 12 Eustoma 4 5 Areca Palm + 3 Gypsola + 3 Limonium</v>
          </cell>
          <cell r="S110" t="str">
            <v>P oriental + BOP 3 + 3 R n W Car ( 14 Inch ) + Mix Alstroemeria ( 12 Inch ) 12 + 12 Y Orchid 5 5 Areca Palm + 3 Gypsola + 3 Limonium</v>
          </cell>
          <cell r="T110" t="str">
            <v>W Oriental + Mix Anthurium 3 + 4 P n W Glad + P n W Car 12 + 12 G Orchid 5 5 Areca palm + 3 Gypsola + 3 Limonium</v>
          </cell>
        </row>
        <row r="111">
          <cell r="A111">
            <v>1433</v>
          </cell>
          <cell r="B111" t="str">
            <v>Navritu Kaushal Rai-- After 5:30 PM</v>
          </cell>
          <cell r="C111">
            <v>9818603355</v>
          </cell>
          <cell r="D111" t="str">
            <v>H. No. 3403, 1st Floor, Sec 23</v>
          </cell>
          <cell r="E111" t="str">
            <v>Old Gurgaon</v>
          </cell>
          <cell r="F111" t="str">
            <v>Friday</v>
          </cell>
          <cell r="G111" t="str">
            <v>4 PM to 7PM</v>
          </cell>
          <cell r="H111">
            <v>999</v>
          </cell>
          <cell r="I111">
            <v>249.75</v>
          </cell>
          <cell r="J111" t="str">
            <v>Delight</v>
          </cell>
          <cell r="K111" t="str">
            <v>Friday and Monday//Monday and Thursday// NO WHITE FLOWERS OTHER THAN RAJNI(10/04) BOP//Glad ( No White)// Orchid//Spray Daisy//Carnations//Rajni-- No white flower other than Rajni(26/07) This cycle-- BOP/Spray Daisy/Car/Glad/Rose(29/08) Hold today (28/10) NO ROSE-- NO WHITE COLOR(03/12) NO ROSE n GERBERA ---- And send 3 stems extra in next delivery (30/12) Now Delight (15/02) Do Not count last Del (17/04) Send tom ()6/02) Send Replacement tom (18/04)</v>
          </cell>
          <cell r="L111" t="str">
            <v>Lily</v>
          </cell>
          <cell r="M111" t="str">
            <v>No White</v>
          </cell>
          <cell r="N111" t="str">
            <v>1  del of this cycle   -  1-cycles pmnt   Pending - Collect 999</v>
          </cell>
          <cell r="O111" t="str">
            <v>Y Spray Daisy 3     FF Sachet + Grass</v>
          </cell>
          <cell r="P111" t="str">
            <v>Alstomeria 9     Grass</v>
          </cell>
          <cell r="Q111" t="str">
            <v>R n W Car ( 14 inch ) 9     FF Sachet + Grass</v>
          </cell>
          <cell r="R111" t="str">
            <v>Sunflower ( 15 inch ) 2     Grass</v>
          </cell>
          <cell r="S111" t="str">
            <v>P n W Glad ( 14 Inch ) 9     Grass</v>
          </cell>
          <cell r="T111" t="str">
            <v>P Spray Daisy ( 14 Inch ) 3     FF Sachet + Grass</v>
          </cell>
        </row>
        <row r="112">
          <cell r="A112">
            <v>9</v>
          </cell>
          <cell r="B112" t="str">
            <v>Ms. Reema Bose Suri-- Before 10 AM</v>
          </cell>
          <cell r="C112">
            <v>9818199482</v>
          </cell>
          <cell r="D112" t="str">
            <v>B-64, Spaze privi, Sec-72, Sohna Road</v>
          </cell>
          <cell r="E112" t="str">
            <v>Badshahpur</v>
          </cell>
          <cell r="F112" t="str">
            <v>Friday</v>
          </cell>
          <cell r="G112" t="str">
            <v>9 AM - 12 PM</v>
          </cell>
          <cell r="H112">
            <v>999</v>
          </cell>
          <cell r="I112">
            <v>249.75</v>
          </cell>
          <cell r="J112" t="str">
            <v>Delight</v>
          </cell>
          <cell r="K112" t="str">
            <v>Friday and Monday//Need Before 10 am (19/05)  NO BOP(07/02) NO BOP(20/07) Skip 1 week(09/08) Hold Now (16/10) Skip 1 week (07/12) Skip 1 Week (29/12) Skip 1 week (26/01) Skip 1 week (21/03) Sent replacement today (22/04) Return-send on Sunday (28/04) Sent replacement today(03/05) 1 Stem extra in next delivery (19/05) Skip this week Delivery (24/05)  No BOP (04/07) Skip tom n start from friday (23/07) Skip tom (06/08) Dont count last delivery (07/09) Skip Monday Del (01/10) Skip 1 more week (16/10) Send Replacement tomorrow (31/10) Skip 1 week (07/11) Skip Tom (10/12) Skip Friday Del (12/12) 1150 added of bouquet and 250 deducted aswe had 250 extra (17/12) Today returned (26/12) Skip 1 week (28/12) Skip 1 week (05/01) Skip tom (15/02) Return -send tom (22/03) Skip 1 week (11/04) Skip Tom (23/05) Skip 2 weeks (09/06) Skip tom n send on sunday (31/10) Skip 1 week (28/11) Skip 1 week (11/12) Skip 1 week (05/01) Skip 1 week (26/01) Skip thsi week n send on sunday before 11 AM (11/03) Skip tom (22/05) Skip 1 week and confirm before sending next week (19/06) 25th July del skipped (02/08) Skip tom (07/08) Skip tom (14/08) Hold today (29/08) Skip 1 week (13/11) Skip tom (11/12) Hold n start from Jan (19/12) Skip tom (23/01) Skip tom (13/02)</v>
          </cell>
          <cell r="L112" t="str">
            <v>BOP</v>
          </cell>
          <cell r="M112" t="str">
            <v>Confirm before sending (19/06)</v>
          </cell>
          <cell r="N112" t="str">
            <v>1  del of this cycle   -  1-cycles pmnt   Pending - Collect 998</v>
          </cell>
          <cell r="O112" t="str">
            <v>Sunflower ( Height 16 inch) 2     FF Sachet + Grass</v>
          </cell>
          <cell r="P112" t="str">
            <v>P Spray Daisy ( 16 Inch) 3     FF Sachet + Grass</v>
          </cell>
          <cell r="Q112" t="str">
            <v>Mix Alstroemeria ( 14 inch ) 9     FF Sachet + Grass</v>
          </cell>
          <cell r="R112" t="str">
            <v>R n W Car ( 14 inch ) 9     FF Sachet + Grass</v>
          </cell>
          <cell r="S112" t="str">
            <v>P Asiatic ( 15 Inch ) 2     Grass</v>
          </cell>
          <cell r="T112" t="str">
            <v>P n W Glad ( 14 Inch ) 9     Grass</v>
          </cell>
        </row>
        <row r="113">
          <cell r="A113">
            <v>2712</v>
          </cell>
          <cell r="B113" t="str">
            <v>Ankita Aeron</v>
          </cell>
          <cell r="C113">
            <v>8860253167</v>
          </cell>
          <cell r="D113" t="str">
            <v>D-701, Shree Vardhman Victoria, Sec 70</v>
          </cell>
          <cell r="E113" t="str">
            <v>Badshahpur</v>
          </cell>
          <cell r="F113" t="str">
            <v>Friday</v>
          </cell>
          <cell r="G113" t="str">
            <v>9:30 Am to 2 PM</v>
          </cell>
          <cell r="H113">
            <v>1450</v>
          </cell>
          <cell r="I113">
            <v>362.5</v>
          </cell>
          <cell r="J113" t="str">
            <v>Bliss</v>
          </cell>
          <cell r="K113" t="str">
            <v>Car Next (27/06) Do not send on 8th and 15th Aug (31/07) Skip 1 week (18/09) Skip 2 week (15/10)</v>
          </cell>
          <cell r="M113" t="str">
            <v>Car Next (27/06)</v>
          </cell>
          <cell r="N113" t="str">
            <v>3  del of this cycle   -  0-cycles pmnt   Completed - Collect 0</v>
          </cell>
          <cell r="O113" t="str">
            <v>P Asiatic 2 B Daisy 7   Grass</v>
          </cell>
          <cell r="P113" t="str">
            <v>Sunflower ( 15 inch) 2 P n W Glad 7   Grass</v>
          </cell>
          <cell r="Q113" t="str">
            <v>P Spray Daisy ( 15 inch ) 3 Mix Alstroemeria ( 14 inch ) 7   FF Sachet + Grass</v>
          </cell>
          <cell r="R113" t="str">
            <v>W Eustoma ( 14 inch ) 2 P n W Car ( 14 inch ) 7   FF Sachet + Grass</v>
          </cell>
          <cell r="S113" t="str">
            <v>O Asiatic ( 15 Inch ) 2 P n W Glad ( 14 Inch ) 7   Grass</v>
          </cell>
          <cell r="T113" t="str">
            <v>Sunflower ( 12 Inch ) 2 Mix Alstroemeria ( 12 Inch ) 7   FF Sachet + Grass</v>
          </cell>
        </row>
        <row r="114">
          <cell r="A114">
            <v>95</v>
          </cell>
          <cell r="B114" t="str">
            <v>Jasjeet Kaur</v>
          </cell>
          <cell r="C114">
            <v>9971132467</v>
          </cell>
          <cell r="D114" t="str">
            <v>L-1206, Emaar Palm drive Sector 66, golf course extension road</v>
          </cell>
          <cell r="E114" t="str">
            <v>Badshahpur</v>
          </cell>
          <cell r="F114" t="str">
            <v>Friday</v>
          </cell>
          <cell r="G114" t="str">
            <v>9 AM - 12 PM</v>
          </cell>
          <cell r="H114">
            <v>999</v>
          </cell>
          <cell r="I114">
            <v>249.75</v>
          </cell>
          <cell r="J114" t="str">
            <v>Delight</v>
          </cell>
          <cell r="K114" t="str">
            <v>Rose on Next Del(01/06)Rtrnd, pls send tom FF Sold Today(20/07)orrow(21/06)Return-next week(10/11) Hold n start from 5th Jan(21/12) Replacement Tom(13/04) Return-send tom(15/06) Yesterday returned-skip 2 week(16/06) Return-skip 1 week(02/11) Return-send tom(07/12) Paytm from Sobhit(14/12) Hold n start after 15th Jan and inform before sending(28/12) 15% Discount (26/07) Paytm From Sobhit Jain (15/08) Hold due to non payment (10/10) HDTNP (29/05)</v>
          </cell>
          <cell r="N114" t="str">
            <v>3  del of this cycle   -  1-cycles pmnt   Pending - Collect 999</v>
          </cell>
          <cell r="O114" t="str">
            <v>Sunflower ( Height 16 inch) 2     FF Sachet + Grass</v>
          </cell>
          <cell r="P114" t="str">
            <v>R n W Car 9     FF Sachet + Grass</v>
          </cell>
          <cell r="Q114" t="str">
            <v>P Spray Daisy ( 15 inch ) 3     FF Sachet + Grass</v>
          </cell>
          <cell r="R114" t="str">
            <v>P n W Glad ( 14 inch ) 9     Grass</v>
          </cell>
          <cell r="S114" t="str">
            <v xml:space="preserve">Collect 500 Carry Receipt Book Collect 500 Carry Receipt Book Collect 500 Carry Receipt Book </v>
          </cell>
          <cell r="T114" t="str">
            <v>O Asiatic ( 14 Inch ) 2     Grass</v>
          </cell>
        </row>
        <row r="115">
          <cell r="A115" t="str">
            <v>B56062</v>
          </cell>
          <cell r="B115" t="str">
            <v>Nidhi Sharma Malhotra -- Amstoria Club</v>
          </cell>
          <cell r="D115" t="str">
            <v>BPTP Amstoria Club, Sectpr 102</v>
          </cell>
          <cell r="E115" t="str">
            <v>Dwarka Expressway</v>
          </cell>
          <cell r="F115" t="str">
            <v>Friday</v>
          </cell>
          <cell r="G115" t="str">
            <v>By 1 PM</v>
          </cell>
          <cell r="H115">
            <v>20000</v>
          </cell>
          <cell r="I115">
            <v>20000</v>
          </cell>
          <cell r="J115" t="str">
            <v>Special Project</v>
          </cell>
          <cell r="N115" t="str">
            <v>1  del of this cycle   -  0-cycles pmnt   In Process - Collect 0</v>
          </cell>
          <cell r="O115" t="e">
            <v>#N/A</v>
          </cell>
          <cell r="P115" t="e">
            <v>#N/A</v>
          </cell>
          <cell r="Q115" t="e">
            <v>#N/A</v>
          </cell>
          <cell r="R115" t="e">
            <v>#N/A</v>
          </cell>
          <cell r="S115" t="e">
            <v>#N/A</v>
          </cell>
          <cell r="T115" t="str">
            <v xml:space="preserve">G n W Car + G n W Spray Daisy + G n W Orchid + W Asiatic + G n W Anthurium + Mogra 100 + 30 + 20 + 20 + 20 + 20 + 300 Gm Calcutta Patti + Dilli Patti + Money Plant Leaf + Baby Dollar + G Gypsola    </v>
          </cell>
        </row>
        <row r="116">
          <cell r="A116" t="str">
            <v>CP00001</v>
          </cell>
          <cell r="B116" t="str">
            <v>Nidhi Sharma Malhotra -- BPTP -- Centra 1</v>
          </cell>
          <cell r="C116">
            <v>9999016333</v>
          </cell>
          <cell r="D116" t="str">
            <v>BPTP, Sec 61</v>
          </cell>
          <cell r="E116" t="str">
            <v>Ghata</v>
          </cell>
          <cell r="F116" t="str">
            <v>Friday</v>
          </cell>
          <cell r="G116" t="str">
            <v>By 8 AM</v>
          </cell>
          <cell r="H116">
            <v>24600</v>
          </cell>
          <cell r="I116">
            <v>24600</v>
          </cell>
          <cell r="J116" t="str">
            <v>Corporate</v>
          </cell>
          <cell r="N116" t="str">
            <v>1  del of this cycle   -  0-cycles pmnt   In Process - Collect 0</v>
          </cell>
          <cell r="O116" t="e">
            <v>#N/A</v>
          </cell>
          <cell r="P116" t="e">
            <v>#N/A</v>
          </cell>
          <cell r="Q116" t="e">
            <v>#N/A</v>
          </cell>
          <cell r="R116" t="e">
            <v>#N/A</v>
          </cell>
          <cell r="S116" t="e">
            <v>#N/A</v>
          </cell>
          <cell r="T116" t="str">
            <v xml:space="preserve">G n W Car + G n W Spray Daisy + G n W Orchid + W Asiatic + G n W Anthurium + W Eustoma 240 + 40 + 20 + 20 + 20 + 20     </v>
          </cell>
        </row>
        <row r="117">
          <cell r="A117">
            <v>2775</v>
          </cell>
          <cell r="B117" t="str">
            <v>Sreeparna Ghosh</v>
          </cell>
          <cell r="C117">
            <v>9711590494</v>
          </cell>
          <cell r="D117" t="str">
            <v>H-701, Mapsko Mountville, Sec 79</v>
          </cell>
          <cell r="E117" t="str">
            <v>Badshahpur</v>
          </cell>
          <cell r="F117" t="str">
            <v>Friday</v>
          </cell>
          <cell r="G117" t="str">
            <v>4 PM to 7PM</v>
          </cell>
          <cell r="H117">
            <v>1950</v>
          </cell>
          <cell r="I117">
            <v>487.5</v>
          </cell>
          <cell r="J117" t="str">
            <v>Bliss</v>
          </cell>
          <cell r="K117" t="str">
            <v>Send 1 W Asiatic as replacement (30/08) Skip 1 week (06/09) Returned-send next week (03/10) Send replacement of Gerbera tom (02/12) Skip 1 week (20/12) Upgarde to Joy from next cycle and mixed (20/02) Upgrade to Joy and skip 1 week (05/03)</v>
          </cell>
          <cell r="M117" t="str">
            <v>Upgarde to Joy from next cycle and mixed (20/02)</v>
          </cell>
          <cell r="N117" t="str">
            <v>1  del of this cycle   -  1-cycles pmnt   Pending - Collect 0</v>
          </cell>
          <cell r="O117" t="str">
            <v>P Asiatic 2 P n W Glad 11   Grass</v>
          </cell>
          <cell r="P117" t="str">
            <v>P Eustoma ( 14 inch ) 2 P n W Gerbera ( 14 inch ) 11   FF Sachet + Grass</v>
          </cell>
          <cell r="Q117" t="str">
            <v>Sunflower ( 15 inch ) 3 Mix Alstroemeria ( 14 inch ) 10 Ensure Collection Ensure Collection Grass</v>
          </cell>
          <cell r="R117" t="str">
            <v>P n W Spray Daisy 4 P n W Car ( 14 inch ) 11   FF Sachet + Grass</v>
          </cell>
          <cell r="S117" t="str">
            <v>O Asiatic ( 15 Inch ) 2 Spray Carnation 10   Grass</v>
          </cell>
          <cell r="T117" t="str">
            <v>Pur Eustom ( 14 Inch ) 2 P n W Glad ( 14 Inch ) 11   FF Sachet + Grass</v>
          </cell>
        </row>
        <row r="118">
          <cell r="A118">
            <v>2976</v>
          </cell>
          <cell r="B118" t="str">
            <v>Monika Dubey</v>
          </cell>
          <cell r="C118">
            <v>6350565083</v>
          </cell>
          <cell r="D118" t="str">
            <v>H-1101, Tower-H, Mapsko Mountville, Sec 79</v>
          </cell>
          <cell r="E118" t="str">
            <v>Badshahpur</v>
          </cell>
          <cell r="F118" t="str">
            <v>Friday</v>
          </cell>
          <cell r="G118" t="str">
            <v>4 Pm to 7 PM</v>
          </cell>
          <cell r="H118">
            <v>1450</v>
          </cell>
          <cell r="I118">
            <v>362.5</v>
          </cell>
          <cell r="J118" t="str">
            <v>Bliss</v>
          </cell>
          <cell r="K118" t="str">
            <v>2 Premium and 2 Seasonal // Yesterday returned (11/10)</v>
          </cell>
          <cell r="N118" t="str">
            <v>1  del of this cycle   -  0-cycles pmnt   Completed - Collect 0</v>
          </cell>
          <cell r="O118" t="e">
            <v>#N/A</v>
          </cell>
          <cell r="P118" t="e">
            <v>#N/A</v>
          </cell>
          <cell r="Q118" t="e">
            <v>#N/A</v>
          </cell>
          <cell r="R118" t="e">
            <v>#N/A</v>
          </cell>
          <cell r="S118" t="e">
            <v>#N/A</v>
          </cell>
          <cell r="T118" t="str">
            <v>P n W Car ( 14 Inch ) 16     FF Sachet + Grass</v>
          </cell>
        </row>
        <row r="119">
          <cell r="A119">
            <v>2589</v>
          </cell>
          <cell r="B119" t="str">
            <v>Sonia Nayar -- Palm Vihar</v>
          </cell>
          <cell r="C119">
            <v>9711199830</v>
          </cell>
          <cell r="D119" t="str">
            <v>J-1206A, palam Vihar</v>
          </cell>
          <cell r="E119" t="str">
            <v>Old Gurgaon</v>
          </cell>
          <cell r="F119" t="str">
            <v>Friday</v>
          </cell>
          <cell r="G119" t="str">
            <v>4 PM to 7 PM</v>
          </cell>
          <cell r="H119">
            <v>999</v>
          </cell>
          <cell r="I119">
            <v>249.75</v>
          </cell>
          <cell r="J119" t="str">
            <v>Delight</v>
          </cell>
          <cell r="K119" t="str">
            <v>Hold n start from Jan (19/12)</v>
          </cell>
          <cell r="N119" t="str">
            <v>3  del of this cycle   -  0-cycles pmnt   Completed - Collect 0</v>
          </cell>
          <cell r="O119" t="str">
            <v>O Asiatic 2     Grass</v>
          </cell>
          <cell r="P119" t="str">
            <v>Alstomeria 9     Grass</v>
          </cell>
          <cell r="Q119" t="str">
            <v>P n W Glad ( 14 inch ) 9     Grass</v>
          </cell>
          <cell r="R119" t="str">
            <v>Y Spray Daisy ( 15 inch ) 3 R n W Car( 14 inch ) 9   FF Sachet + Grass</v>
          </cell>
          <cell r="S119" t="str">
            <v>Mix Alstroemeria ( 12 Inch ) 9     FF Sachet + Grass</v>
          </cell>
          <cell r="T119" t="str">
            <v>R n W Car ( 14 Inch ) 9     FF Sachet + Grass</v>
          </cell>
        </row>
        <row r="120">
          <cell r="A120">
            <v>3022</v>
          </cell>
          <cell r="B120" t="str">
            <v>Monalisa</v>
          </cell>
          <cell r="C120">
            <v>9015259855</v>
          </cell>
          <cell r="D120" t="str">
            <v>A-905, Godrej 101, Sector 79</v>
          </cell>
          <cell r="E120" t="str">
            <v>Manesar</v>
          </cell>
          <cell r="F120" t="str">
            <v>Friday</v>
          </cell>
          <cell r="G120" t="str">
            <v>4 Pm to 7 PM</v>
          </cell>
          <cell r="H120">
            <v>2750</v>
          </cell>
          <cell r="I120">
            <v>687.5</v>
          </cell>
          <cell r="J120" t="str">
            <v>Elation</v>
          </cell>
          <cell r="K120" t="str">
            <v>No Sunflower(16/09) Hold today (03/04) Send 5 Del in this cycle (30/04) Do not count last Del (15/05)</v>
          </cell>
          <cell r="L120" t="str">
            <v>Sunflower</v>
          </cell>
          <cell r="N120" t="str">
            <v>4  del of this cycle   -  0-cycles pmnt   Completed - Collect 0</v>
          </cell>
          <cell r="O120" t="str">
            <v>P n W Spray Daisy 5 R n W Car 16   2 Limonium + Ff sachet</v>
          </cell>
          <cell r="P120" t="str">
            <v>Pur n W Eustoma ( 14 inch )  4 B Daisy 16   2 Gypsola + FF Sachet</v>
          </cell>
          <cell r="Q120" t="str">
            <v>Y Asiatic ( 15 inch )  3 Mix Alstroemeria ( 14 inch ) 16   2 Limonium</v>
          </cell>
          <cell r="R120" t="str">
            <v>P Asiatic ( 15 inch ) 3 P n W Glad ( 14 inch ) 16   2 Gypsola</v>
          </cell>
          <cell r="S120" t="e">
            <v>#N/A</v>
          </cell>
          <cell r="T120" t="str">
            <v xml:space="preserve">W Asiatic ( 14 Inch ) 3 Mix Alstroemeria ( 12 Inch ) 16   2 Gypsola </v>
          </cell>
        </row>
        <row r="121">
          <cell r="A121">
            <v>3290</v>
          </cell>
          <cell r="B121" t="str">
            <v>Ambika Anand</v>
          </cell>
          <cell r="C121">
            <v>8789906098</v>
          </cell>
          <cell r="D121" t="str">
            <v>T-A2/401, Tulip Orange, Sec 70</v>
          </cell>
          <cell r="E121" t="str">
            <v>Badshahpur</v>
          </cell>
          <cell r="F121" t="str">
            <v>Friday</v>
          </cell>
          <cell r="G121" t="str">
            <v>9 AM - 12 PM</v>
          </cell>
          <cell r="H121">
            <v>1450</v>
          </cell>
          <cell r="I121">
            <v>362.5</v>
          </cell>
          <cell r="J121" t="str">
            <v>Bliss</v>
          </cell>
          <cell r="N121" t="str">
            <v>4  del of this cycle   -  0-cycles pmnt   Completed - Collect 0</v>
          </cell>
          <cell r="O121" t="str">
            <v>P n W Spray Daisy 5     FF Sachet + Grass</v>
          </cell>
          <cell r="P121" t="str">
            <v>P n W Glad ( 15 inch) 16     Grass</v>
          </cell>
          <cell r="Q121" t="str">
            <v>Asiatic 3     FF Sachet + Grass</v>
          </cell>
          <cell r="R121" t="str">
            <v>Sunflower ( 15 inch ) 4     Grass</v>
          </cell>
          <cell r="S121" t="str">
            <v>R n W Car ( 14 Inch ) 16     FF Sachet + Grass</v>
          </cell>
          <cell r="T121" t="str">
            <v>P n Y Spray Daisy ( 14 Inch ) 5     FF Sachet + Grass</v>
          </cell>
        </row>
        <row r="122">
          <cell r="A122">
            <v>2700</v>
          </cell>
          <cell r="B122" t="str">
            <v>Rachit Bansal</v>
          </cell>
          <cell r="C122">
            <v>8828352292</v>
          </cell>
          <cell r="D122" t="str">
            <v>T-K/1501, Emaar Palm Drive</v>
          </cell>
          <cell r="E122" t="str">
            <v>Badshahpur</v>
          </cell>
          <cell r="F122" t="str">
            <v>Friday</v>
          </cell>
          <cell r="G122" t="str">
            <v>10 AM to 2:30 PM</v>
          </cell>
          <cell r="H122">
            <v>1450</v>
          </cell>
          <cell r="I122">
            <v>362.5</v>
          </cell>
          <cell r="J122" t="str">
            <v>Bliss</v>
          </cell>
          <cell r="K122" t="str">
            <v>Skip 3 weeks from 25th (16/07) Skip  a week (11/09) Skip 1 week (02/10) Today hold n send on Sunday (10/10) Skip 1 week (08/01) Todau Hold (16/01) Skip 1 week (12/02) Skip 1 week (19/03) Skip 1 week (15/04)</v>
          </cell>
          <cell r="N122" t="str">
            <v>3  del of this cycle   -  0-cycles pmnt   CompletedNO COLLECTION-we have extra money - Collect -50</v>
          </cell>
          <cell r="O122" t="e">
            <v>#N/A</v>
          </cell>
          <cell r="P122" t="e">
            <v>#N/A</v>
          </cell>
          <cell r="Q122" t="e">
            <v>#N/A</v>
          </cell>
          <cell r="R122" t="str">
            <v>R n W Car ( 14 inch ) 16     FF Sachet + Grass</v>
          </cell>
          <cell r="S122" t="str">
            <v>O Asiatic ( 15 Inch ) 3     Grass</v>
          </cell>
          <cell r="T122" t="str">
            <v>P n W Glad ( 14 Inch ) 16     Grass</v>
          </cell>
        </row>
        <row r="123">
          <cell r="A123">
            <v>3309</v>
          </cell>
          <cell r="B123" t="str">
            <v>Tahzeeb Mohammad</v>
          </cell>
          <cell r="C123">
            <v>9986608474</v>
          </cell>
          <cell r="D123" t="str">
            <v>Natura Tower -1, N 2105, M3M Marina, Sec 68</v>
          </cell>
          <cell r="E123" t="str">
            <v>Badshahpur</v>
          </cell>
          <cell r="F123" t="str">
            <v>Friday</v>
          </cell>
          <cell r="G123" t="str">
            <v>9 AM - 12 PM</v>
          </cell>
          <cell r="H123">
            <v>2550</v>
          </cell>
          <cell r="I123">
            <v>318.75</v>
          </cell>
          <cell r="J123" t="str">
            <v>Bi weekly Customised</v>
          </cell>
          <cell r="K123" t="str">
            <v>Gerbera // Rajni // Sunflowers // Eustoma // Orchid // Skip Monday (15/05)</v>
          </cell>
          <cell r="N123" t="str">
            <v>8  del of this cycle   -  0-cycles pmnt   Completed - Collect 0</v>
          </cell>
          <cell r="O123" t="str">
            <v>Rajni 11     Grass</v>
          </cell>
          <cell r="P123" t="str">
            <v>W Eustoma 2     FF Sachet + Grass</v>
          </cell>
          <cell r="Q123" t="str">
            <v>B Orchid 4     FF Sachet + Grass</v>
          </cell>
          <cell r="R123" t="str">
            <v>Rajni ( 16 inch ) 11     Grass</v>
          </cell>
          <cell r="S123" t="str">
            <v>P Eustoma ( 14 Inch ) 3     FF Sachet + Grass</v>
          </cell>
          <cell r="T123" t="str">
            <v>G Orchid 4     Grass</v>
          </cell>
        </row>
        <row r="124">
          <cell r="A124">
            <v>2832</v>
          </cell>
          <cell r="B124" t="str">
            <v>Anshu Mittal Roy</v>
          </cell>
          <cell r="C124" t="str">
            <v xml:space="preserve"> 97172 00986</v>
          </cell>
          <cell r="D124" t="str">
            <v xml:space="preserve"> B203 Godrej 101, Sector 79
</v>
          </cell>
          <cell r="E124" t="str">
            <v>Badshahpur</v>
          </cell>
          <cell r="F124" t="str">
            <v>Friday</v>
          </cell>
          <cell r="G124" t="str">
            <v>4 Pm to 7 PM</v>
          </cell>
          <cell r="H124">
            <v>1450</v>
          </cell>
          <cell r="I124">
            <v>362.5</v>
          </cell>
          <cell r="J124" t="str">
            <v>Bliss</v>
          </cell>
          <cell r="K124" t="str">
            <v>15 % Discount (26/07) 3 Month with 10% discount (24/08) Skip 1 week (19/12) Skip 1 week (19/02) Skip 2 week (16/05)</v>
          </cell>
          <cell r="N124" t="str">
            <v>1  del of this cycle   -  1-cycles pmnt   Pending - Collect 1450</v>
          </cell>
          <cell r="O124" t="str">
            <v>P Spray Daisy 3 P n W Glad 7   FF Sachet + Grass</v>
          </cell>
          <cell r="P124" t="str">
            <v>Sunflower ( 15 inch) 2 B Daisy 7   Grass</v>
          </cell>
          <cell r="Q124" t="str">
            <v>P Asiatic ( 15 inch ) 2 Mix Alstroemeria ( 14 inch ) 7   Grass</v>
          </cell>
          <cell r="R124" t="e">
            <v>#N/A</v>
          </cell>
          <cell r="S124" t="e">
            <v>#N/A</v>
          </cell>
          <cell r="T124" t="str">
            <v>Y Spray Daisy ( 14 Inch ) 3 P n W Car ( 14 Inch ) 7   FF Sachet + Grass</v>
          </cell>
        </row>
        <row r="125">
          <cell r="A125">
            <v>2674</v>
          </cell>
          <cell r="B125" t="str">
            <v>Jaspreet Dhillon</v>
          </cell>
          <cell r="C125">
            <v>9971159399</v>
          </cell>
          <cell r="D125" t="str">
            <v>T-2/204, Uniworld Garden -1</v>
          </cell>
          <cell r="E125" t="str">
            <v>Sohna Road 1</v>
          </cell>
          <cell r="F125" t="str">
            <v>Friday</v>
          </cell>
          <cell r="G125" t="str">
            <v>9 AM - 12 PM</v>
          </cell>
          <cell r="H125">
            <v>999</v>
          </cell>
          <cell r="I125">
            <v>249.75</v>
          </cell>
          <cell r="J125" t="str">
            <v>Delight</v>
          </cell>
          <cell r="K125" t="str">
            <v>Send a message on Sunday to start // Start next cycle from Friday (19/09) Today Returned (26/09) No Sunflower (08/11) Hold today (28/11) Hold tom (11/12) Skip 1 week (16/12) Skip 1 week (11/01) Hold due to non payment (30/01 Hold due to non payment (06/02) Hold due to non payment (13/02) HDTNP (20/02) Skip 1 week (02/04) Skip 1 week (23/04) HDTNP (08/05) Skip 1 week (17/05)</v>
          </cell>
          <cell r="L125" t="str">
            <v>Sunflower</v>
          </cell>
          <cell r="N125" t="str">
            <v>4  del of this cycle   -  0-cycles pmnt   Completed - Collect 0</v>
          </cell>
          <cell r="O125" t="str">
            <v>O Asiatic 2     Grass</v>
          </cell>
          <cell r="P125" t="e">
            <v>#N/A</v>
          </cell>
          <cell r="Q125" t="str">
            <v>R n W Car ( 14 inch ) 9     FF Sachet + Grass</v>
          </cell>
          <cell r="R125" t="e">
            <v>#N/A</v>
          </cell>
          <cell r="S125" t="str">
            <v>P n W Glad ( 14 Inch ) 9     Grass</v>
          </cell>
          <cell r="T125" t="str">
            <v>P Asiatic ( 14 Inch ) 2     Grass</v>
          </cell>
        </row>
        <row r="126">
          <cell r="A126">
            <v>3322</v>
          </cell>
          <cell r="B126" t="str">
            <v>Bhavna Mishra</v>
          </cell>
          <cell r="C126">
            <v>9701147470</v>
          </cell>
          <cell r="D126" t="str">
            <v>Tower-A/701, Tulip Ivory, Sec 70</v>
          </cell>
          <cell r="E126" t="str">
            <v>Badshahpur</v>
          </cell>
          <cell r="F126" t="str">
            <v>Friday</v>
          </cell>
          <cell r="G126" t="str">
            <v>10 AM to 2:30 PM</v>
          </cell>
          <cell r="H126">
            <v>1450</v>
          </cell>
          <cell r="I126">
            <v>362.5</v>
          </cell>
          <cell r="J126" t="str">
            <v>Bliss</v>
          </cell>
          <cell r="K126" t="str">
            <v>Four Plus 1 Pack// No Sunflower n Alstroemeria (22/05)</v>
          </cell>
          <cell r="L126" t="str">
            <v>Sunflower n Alstroemeria (22/05)</v>
          </cell>
          <cell r="N126" t="str">
            <v>3  del of this cycle   -  0-cycles pmnt   Completed - Collect 0</v>
          </cell>
          <cell r="O126" t="str">
            <v>P n W Glad 16     Grass</v>
          </cell>
          <cell r="P126" t="str">
            <v>P n W Spray Daisy ( 15 inch ) 5     FF Sachet + Grass</v>
          </cell>
          <cell r="Q126" t="str">
            <v>Mix Alstroemeria ( 14 inch ) 16     FF Sachet + Grass</v>
          </cell>
          <cell r="R126" t="str">
            <v>R n W Car ( 14 inch ) 16     FF Sachet + Grass</v>
          </cell>
          <cell r="S126" t="str">
            <v>P Asiatic ( 15 Inch ) 3     Grass</v>
          </cell>
          <cell r="T126" t="str">
            <v>P n W Glad ( 14 Inch ) 16     Grass</v>
          </cell>
        </row>
        <row r="127">
          <cell r="A127">
            <v>87</v>
          </cell>
          <cell r="B127" t="str">
            <v>Deepak Kohli</v>
          </cell>
          <cell r="C127">
            <v>9716199110</v>
          </cell>
          <cell r="D127" t="str">
            <v>539/C, 4th Floor, H Block, Palam Vihar</v>
          </cell>
          <cell r="E127" t="str">
            <v>Old Gurgaon</v>
          </cell>
          <cell r="F127" t="str">
            <v>Friday</v>
          </cell>
          <cell r="G127" t="str">
            <v>4 PM to 7PM</v>
          </cell>
          <cell r="H127">
            <v>1450</v>
          </cell>
          <cell r="I127">
            <v>362.5</v>
          </cell>
          <cell r="J127" t="str">
            <v>Bliss</v>
          </cell>
          <cell r="K127" t="str">
            <v>Send 1 bunch Nargis From Amit n Pooja// Wish you a//Sending on 20th instaed of 21st,bcoz of Holi(18/03) Send 1 pack of FF(14/08) Time slot changed to Evening(18/09( Holy Change(16/03) Send tom (06/02)</v>
          </cell>
          <cell r="N127" t="str">
            <v>1  del of this cycle   -  0-cycles pmnt   In Process - Collect 0</v>
          </cell>
          <cell r="O127" t="str">
            <v>P n W Spray Daisy 5     FF Sachet + Grass</v>
          </cell>
          <cell r="P127" t="str">
            <v>Alstomeria 16     Grass</v>
          </cell>
          <cell r="Q127" t="str">
            <v>P n W Glad ( 14 inch ) 16     Grass</v>
          </cell>
          <cell r="R127" t="str">
            <v>R n W Car ( 14 inch ) 16     FF Sachet + Grass</v>
          </cell>
          <cell r="S127" t="str">
            <v>O Asiatic ( 15 Inch ) 3     Grass</v>
          </cell>
          <cell r="T127" t="str">
            <v>Pur n P Eustoma ( 14 Inch ) 3     FF Sachet + Grass</v>
          </cell>
        </row>
        <row r="128">
          <cell r="A128">
            <v>2798</v>
          </cell>
          <cell r="B128" t="str">
            <v>Priya Chaturvedi</v>
          </cell>
          <cell r="C128">
            <v>9999283603</v>
          </cell>
          <cell r="D128" t="str">
            <v>D-2003, Bestech Alturea, Sec 79</v>
          </cell>
          <cell r="E128" t="str">
            <v>Manesar</v>
          </cell>
          <cell r="F128" t="str">
            <v>Friday</v>
          </cell>
          <cell r="G128" t="str">
            <v>4 Pm to 7 PM</v>
          </cell>
          <cell r="H128">
            <v>1450</v>
          </cell>
          <cell r="I128">
            <v>362.5</v>
          </cell>
          <cell r="J128" t="str">
            <v>Bliss</v>
          </cell>
          <cell r="K128" t="str">
            <v>Today Returned (08/08) {ayment From Chinmananda Devgoswami (25/10) Four Plus 1 Pack (15/04) Skip 1 week (07/05)</v>
          </cell>
          <cell r="N128" t="str">
            <v>2  del of this cycle   -  0-cycles pmnt   Completed - Collect 0</v>
          </cell>
          <cell r="O128" t="str">
            <v>P n W Glad 16     Grass</v>
          </cell>
          <cell r="P128" t="e">
            <v>#N/A</v>
          </cell>
          <cell r="Q128" t="str">
            <v>P n Y Spray Daisy ( 15 inch ) 5     FF Sachet + Grass</v>
          </cell>
          <cell r="R128" t="str">
            <v>R n W Car ( 14 inch ) 16     FF Sachet + Grass</v>
          </cell>
          <cell r="S128" t="e">
            <v>#N/A</v>
          </cell>
          <cell r="T128" t="str">
            <v>O Asiatic ( 14 Inch ) 3     Grass</v>
          </cell>
        </row>
        <row r="129">
          <cell r="A129">
            <v>846</v>
          </cell>
          <cell r="B129" t="str">
            <v>Deep Bajaj</v>
          </cell>
          <cell r="C129">
            <v>9899059999</v>
          </cell>
          <cell r="D129" t="str">
            <v>B-2002, Pioneer Presidia,Sec-62, Near Pioneer Square</v>
          </cell>
          <cell r="G129" t="str">
            <v>Before 1</v>
          </cell>
          <cell r="H129">
            <v>4750</v>
          </cell>
          <cell r="J129" t="str">
            <v>Enchantment</v>
          </cell>
          <cell r="T129" t="str">
            <v>Asiatic+Bop 3+3 Rajni+Glad+ Orchid 12+12+5  Gypsola+Limonium+Arica Palm 3+3+5+ FF Sachet</v>
          </cell>
        </row>
        <row r="130">
          <cell r="B130" t="str">
            <v>Deep Bajaj</v>
          </cell>
          <cell r="C130">
            <v>9899059999</v>
          </cell>
          <cell r="D130" t="str">
            <v>B-2002, Pioneer Presidia,Sec-62, Near Pioneer Square</v>
          </cell>
          <cell r="G130" t="str">
            <v>Before 1</v>
          </cell>
          <cell r="H130">
            <v>0</v>
          </cell>
          <cell r="J130" t="str">
            <v>Bouquet</v>
          </cell>
          <cell r="T130" t="str">
            <v xml:space="preserve">2 big arrangements in vase with falling style and long in height       </v>
          </cell>
        </row>
        <row r="131">
          <cell r="B131" t="str">
            <v>Sonia Nayyar</v>
          </cell>
          <cell r="C131">
            <v>9711199830</v>
          </cell>
          <cell r="D131" t="str">
            <v>J-1206A, palam Vihar</v>
          </cell>
          <cell r="H131">
            <v>600</v>
          </cell>
          <cell r="I131" t="str">
            <v>Replacement</v>
          </cell>
          <cell r="J131" t="str">
            <v>Bouquet</v>
          </cell>
          <cell r="K131" t="str">
            <v>Sonia Nayyar
Send 10 alstroemeria extra with subscription today</v>
          </cell>
          <cell r="L131" t="str">
            <v>Replacement</v>
          </cell>
          <cell r="M131" t="str">
            <v>Replacement</v>
          </cell>
          <cell r="N131" t="str">
            <v xml:space="preserve"> </v>
          </cell>
          <cell r="T131" t="str">
            <v xml:space="preserve">Alstroemeria 10 Greens    </v>
          </cell>
        </row>
        <row r="132">
          <cell r="B132" t="str">
            <v>95602 68686‬</v>
          </cell>
          <cell r="C132" t="str">
            <v>95602 68686‬</v>
          </cell>
          <cell r="D132" t="str">
            <v>D-2002, Ireo Uptown</v>
          </cell>
          <cell r="H132">
            <v>2300</v>
          </cell>
          <cell r="J132" t="str">
            <v>Bouquet</v>
          </cell>
          <cell r="K132" t="str">
            <v>Today 
D-2002, Ireo Uptown
‪+91 95602 68686‬
- 3 pink oriental lilies with greens 
- One bunch Gypso like in photo 
2300 received</v>
          </cell>
          <cell r="T132" t="str">
            <v xml:space="preserve">P Oriental 3 Gypsola 1 Bunch   </v>
          </cell>
        </row>
        <row r="133">
          <cell r="B133" t="str">
            <v>Shireen and Prabhav Kashyap,</v>
          </cell>
          <cell r="C133" t="str">
            <v>96432 07798</v>
          </cell>
          <cell r="D133" t="str">
            <v>B 301, pioneer Araya  sector 62</v>
          </cell>
          <cell r="H133">
            <v>1770</v>
          </cell>
          <cell r="J133" t="str">
            <v>Bouquet</v>
          </cell>
          <cell r="K133" t="str">
            <v>Shireen and Prabhav Kashyap,
B 301, pioneer Araya  sector 62
+91 96432 07798
Message Happy anniversary dear Shireen and Prabhav. 
Love and blessings
Pls send today 3 semi bloom mix oriental and 18 red n peach roses in the all in tissue wrap today before 7pm..</v>
          </cell>
          <cell r="T133" t="str">
            <v xml:space="preserve">Semi bloom mix oriental and red n peach roses 3+18 Tissue wrap Massage   </v>
          </cell>
        </row>
        <row r="134">
          <cell r="B134" t="str">
            <v>Ruchi Mathure--Before 10:30 AM</v>
          </cell>
          <cell r="C134">
            <v>9871265555</v>
          </cell>
          <cell r="D134" t="str">
            <v>D-013, Westend height, DLF-5</v>
          </cell>
          <cell r="H134" t="str">
            <v>Replacement</v>
          </cell>
          <cell r="I134" t="str">
            <v>Replacement</v>
          </cell>
          <cell r="J134" t="str">
            <v>Replacement</v>
          </cell>
          <cell r="K134" t="str">
            <v>Replacement</v>
          </cell>
          <cell r="L134" t="str">
            <v>Replacement</v>
          </cell>
          <cell r="M134" t="str">
            <v>Replacement</v>
          </cell>
          <cell r="N134" t="str">
            <v>Replacement</v>
          </cell>
          <cell r="T134" t="str">
            <v xml:space="preserve">P Asiatic ( 14 Inch ) 3     </v>
          </cell>
        </row>
        <row r="135">
          <cell r="B135" t="str">
            <v>Rajinder singh Chawla</v>
          </cell>
          <cell r="C135">
            <v>9871091905</v>
          </cell>
          <cell r="D135" t="str">
            <v>Tower 19, 1102 , South close</v>
          </cell>
          <cell r="G135" t="str">
            <v>Before 5 today</v>
          </cell>
          <cell r="H135">
            <v>1020</v>
          </cell>
          <cell r="J135" t="str">
            <v>Bouquet</v>
          </cell>
          <cell r="K135" t="str">
            <v>Before 5 today 
Send today from 
‪+31 6 11197895‬
To
Rajinder singh Chawla
Tower 19, 1102 , South close
9871091905</v>
          </cell>
          <cell r="T135" t="str">
            <v xml:space="preserve">Rajni+Glad 12+8 Single Wrap    </v>
          </cell>
        </row>
        <row r="136">
          <cell r="B136">
            <v>9911305358</v>
          </cell>
          <cell r="C136">
            <v>9911305358</v>
          </cell>
          <cell r="D136" t="str">
            <v>Building 4037, H Block, 2nd Floor, Aradhya Homes, Ansal Versalia, Sec 67</v>
          </cell>
          <cell r="H136">
            <v>750</v>
          </cell>
          <cell r="J136" t="str">
            <v>Bouquet</v>
          </cell>
          <cell r="K136" t="str">
            <v>Send today to Jyoti
One pink oriental lily 
5 shaded purple carnations 
5 Rajnigandha 
Greens 
750 received 99113 05358</v>
          </cell>
          <cell r="T136" t="str">
            <v xml:space="preserve">pink oriental lily +shaded purple carnations +Rajnigandha  1+5+5    Arica+Grass </v>
          </cell>
        </row>
      </sheetData>
      <sheetData sheetId="5"/>
      <sheetData sheetId="6"/>
      <sheetData sheetId="7"/>
      <sheetData sheetId="8"/>
      <sheetData sheetId="9"/>
      <sheetData sheetId="10"/>
      <sheetData sheetId="11">
        <row r="2">
          <cell r="A2">
            <v>3338</v>
          </cell>
          <cell r="B2" t="str">
            <v>Richa Khullar</v>
          </cell>
          <cell r="C2">
            <v>9871797835</v>
          </cell>
          <cell r="D2" t="str">
            <v>A3/1101, Tulip Yellow</v>
          </cell>
          <cell r="E2" t="str">
            <v>Badshahpur</v>
          </cell>
          <cell r="F2" t="str">
            <v>Friday</v>
          </cell>
          <cell r="G2" t="str">
            <v>4 Pm to 7 PM</v>
          </cell>
          <cell r="H2">
            <v>1450</v>
          </cell>
          <cell r="I2">
            <v>362.5</v>
          </cell>
          <cell r="J2" t="str">
            <v>Bliss</v>
          </cell>
          <cell r="K2" t="str">
            <v xml:space="preserve">Love Alstroemeria </v>
          </cell>
          <cell r="N2" t="str">
            <v>4  del of this cycle   -  0-cycles pmnt   Completed - Collect 0</v>
          </cell>
          <cell r="O2" t="str">
            <v>Alstomeria 16     Grass</v>
          </cell>
          <cell r="P2" t="str">
            <v>P Asiatic ( 15 inch ) 3     Grass</v>
          </cell>
          <cell r="Q2" t="str">
            <v>P n W Glad ( 16 Inch) 16     Grass</v>
          </cell>
          <cell r="R2" t="str">
            <v>R n W Car ( 14 Inch ) 16     FF Sachet + Grass</v>
          </cell>
          <cell r="S2" t="str">
            <v>O Asiatic ( 14 Inch ) 3     Grass</v>
          </cell>
          <cell r="T2" t="str">
            <v>P n W Spray Daisy ( 14 Inch ) 5     FF Sachet + Grass</v>
          </cell>
        </row>
        <row r="3">
          <cell r="A3">
            <v>2991</v>
          </cell>
          <cell r="B3" t="str">
            <v>Smriti Singh Bhatia</v>
          </cell>
          <cell r="C3">
            <v>9818648787</v>
          </cell>
          <cell r="D3" t="str">
            <v>T-3/4201, M3M Heights, 65th Avenue, Sec 65</v>
          </cell>
          <cell r="E3" t="str">
            <v>Badshahpur</v>
          </cell>
          <cell r="F3" t="str">
            <v>Friday</v>
          </cell>
          <cell r="G3" t="str">
            <v>9 AM - 12 PM</v>
          </cell>
          <cell r="H3">
            <v>1450</v>
          </cell>
          <cell r="I3">
            <v>362.5</v>
          </cell>
          <cell r="J3" t="str">
            <v>Bliss</v>
          </cell>
          <cell r="K3" t="str">
            <v>Hold next week // Skip 2 week (22/12) Day Change to Friday (28/03) Paytm From Ravish Bhatia (17/04) HDTNP 915/05) HDTNP (22/05) HDTNP (29/05)</v>
          </cell>
          <cell r="N3" t="str">
            <v>4  del of this cycle   -  0-cycles pmnt   Completed - Collect 0</v>
          </cell>
          <cell r="O3" t="str">
            <v>P Asiatic ( 16 inch) 2 B Daisy 7   Grass</v>
          </cell>
          <cell r="P3" t="e">
            <v>#N/A</v>
          </cell>
          <cell r="Q3" t="e">
            <v>#N/A</v>
          </cell>
          <cell r="R3" t="str">
            <v xml:space="preserve">Collect 725 Carry Receipt Book Collect 725 Carry Receipt Book Collect 725 Carry Receipt Book </v>
          </cell>
          <cell r="S3" t="str">
            <v>P n W Car ( 14 Inch ) 16     FF Sachet + Grass</v>
          </cell>
          <cell r="T3" t="str">
            <v>P n W Glad ( 14 Inch ) 16     Grass</v>
          </cell>
        </row>
        <row r="4">
          <cell r="A4" t="str">
            <v>B56138</v>
          </cell>
          <cell r="B4">
            <v>8860055496</v>
          </cell>
          <cell r="C4">
            <v>8860055496</v>
          </cell>
          <cell r="D4" t="str">
            <v>E-101, Bestech Park View Spa</v>
          </cell>
          <cell r="E4" t="str">
            <v>Spa</v>
          </cell>
          <cell r="F4" t="str">
            <v>Friday</v>
          </cell>
          <cell r="G4" t="str">
            <v>By 11:30 AM</v>
          </cell>
          <cell r="H4">
            <v>1350</v>
          </cell>
          <cell r="I4">
            <v>1350</v>
          </cell>
          <cell r="J4" t="str">
            <v>Bouquet</v>
          </cell>
          <cell r="K4" t="str">
            <v>3 P Asiatic + 3 W Asiatic + 6 Green Button daisy -- Only bunch no wrapping</v>
          </cell>
          <cell r="N4" t="str">
            <v>1  del of this cycle   -  0-cycles pmnt   Completed - Collect 0</v>
          </cell>
          <cell r="O4" t="e">
            <v>#N/A</v>
          </cell>
          <cell r="P4" t="e">
            <v>#N/A</v>
          </cell>
          <cell r="Q4" t="e">
            <v>#N/A</v>
          </cell>
          <cell r="R4" t="e">
            <v>#N/A</v>
          </cell>
          <cell r="S4" t="e">
            <v>#N/A</v>
          </cell>
          <cell r="T4" t="str">
            <v xml:space="preserve">P Asiaticx + W Asiatic + G Button Daisy 3 + 3 + 6 Bunch Withiut Wrapping    </v>
          </cell>
        </row>
        <row r="5">
          <cell r="A5">
            <v>72</v>
          </cell>
          <cell r="B5" t="str">
            <v>Mrs. Raman-- AFTER 4:30 PM</v>
          </cell>
          <cell r="C5">
            <v>9810235092</v>
          </cell>
          <cell r="D5" t="str">
            <v>1519, Sector-17 C</v>
          </cell>
          <cell r="E5" t="str">
            <v>Old Gurgaon</v>
          </cell>
          <cell r="F5" t="str">
            <v>Friday</v>
          </cell>
          <cell r="G5" t="str">
            <v>4 PM to 7PM</v>
          </cell>
          <cell r="H5">
            <v>999</v>
          </cell>
          <cell r="I5">
            <v>249.75</v>
          </cell>
          <cell r="J5" t="str">
            <v>Delight</v>
          </cell>
          <cell r="K5" t="str">
            <v>No Rajni n Daisy(22/05)Next Del on 12th June(08/06) Send cheque back to get a new one(11/06)Skip tomorrow and send on Friday this week(21/11) 1 Stick extra in next del(06/12) 1 Stick extra in next Del(06/12) 500 added for bouquet sent to Nupur n Karthik(29/12) After 24th skip n send on 14th Feb(10/01) Rses Next(10/01) Next Del on 14th Feb(24/01) Return-send tom(04/04) Send Next Del in Evening slot(01/05) Day Chnaged to Friday(26/06) Change day to sunday(10/07) FF Sold today(21/07) Return-send tom(03/11) PLS SEND 15TH DEL ON 14TH(27/11) Send sat this week before 11:30 AM(12/12) Today hold send on sat(20/08/20) Only Chrysanthemum till they are in good shape(12/11) Skip tom and send on friday(27/01) Skip 1 week(21/03) Shift to Delight and 8 stick every week(15/09) Always 8 sticks(10/12) Send on Sat this week(16/02)  Holy Change(16/03) Send on sat this week(23/03) Send this week on 8th (04/10) Skip tom and send on sunday (05/01) Hold today n send tom (03/03) Dont send on 30th June-- Send on 1st July with Pink n Yellow Gerbera (23/06) Hold today and send on sunday (27/10) Send a vase tom (25/01) Hold today n send tom (09/02) Hold today (07/06) Skip friday and send on sunday (08/08) Skip friday n start from sunday (30/01) Skip 1 week (11/03) Hold today n send on sunday (16/05) Hold till 1th June (25/05) Hold till 8th Feb (18/01)</v>
          </cell>
          <cell r="N5" t="str">
            <v>2  del of this cycle   -  0-cycles pmnt   Completed - Collect 0</v>
          </cell>
          <cell r="O5" t="str">
            <v>Alstomeria 9     Grass</v>
          </cell>
          <cell r="P5" t="str">
            <v>P n W Glad ( 14 inch ) 9     Grass</v>
          </cell>
          <cell r="Q5" t="str">
            <v>P Spray Daisy ( 15 inch ) 3     FF Sachet + Grass</v>
          </cell>
          <cell r="R5" t="str">
            <v>R n W Car ( 14 Inch ) 9     FF Sachet + Grass</v>
          </cell>
          <cell r="S5" t="str">
            <v>O Asiatic ( 14 Inch ) 2     FF Sachet + Grass</v>
          </cell>
          <cell r="T5" t="str">
            <v>P n W Glad ( 14 Inch ) 9     Grass</v>
          </cell>
        </row>
        <row r="6">
          <cell r="A6">
            <v>2389</v>
          </cell>
          <cell r="B6" t="str">
            <v>Sreyoshi  Maitra</v>
          </cell>
          <cell r="C6">
            <v>9711760109</v>
          </cell>
          <cell r="D6" t="str">
            <v>T-1/1706, M3M Heights, Sec 65</v>
          </cell>
          <cell r="E6" t="str">
            <v>Badshahpur</v>
          </cell>
          <cell r="F6" t="str">
            <v>Friday</v>
          </cell>
          <cell r="G6" t="str">
            <v>9 AM - 12 PM</v>
          </cell>
          <cell r="H6">
            <v>1950</v>
          </cell>
          <cell r="I6">
            <v>487.5</v>
          </cell>
          <cell r="J6" t="str">
            <v>Joy</v>
          </cell>
          <cell r="K6" t="str">
            <v>No Spray Daisy and Rajni // Payment from Mrittika Maitra (12/03) Send replacement of orchds tom (11/05) Today Returned (04/07) No eustoma (17/08) Hold today (24/10) Pls Send sunflowers on 9th Jan (12/12) HDTNP (13/03) Sent one del today (16/03) No Orchids (30/04) Today Returned (29/05)</v>
          </cell>
          <cell r="L6" t="str">
            <v>Orchids n Rajnigandha</v>
          </cell>
          <cell r="M6" t="str">
            <v>Sunflower on 9th Jan (12/12)</v>
          </cell>
          <cell r="N6" t="str">
            <v>2  del of this cycle   -  0-cycles pmnt   Completed - Collect 0</v>
          </cell>
          <cell r="O6" t="str">
            <v>P n W Spray Daisy ( 15 inch ) 7     FF Sachet + Grass</v>
          </cell>
          <cell r="P6" t="str">
            <v>P n W Glad ( 14 inch ) 22     Grass</v>
          </cell>
          <cell r="Q6" t="str">
            <v>P Asiatic ( 15 inch ) 4     Grass</v>
          </cell>
          <cell r="R6" t="str">
            <v>R n W Car ( 14 Inch ) 22     FF Sachet + Grass</v>
          </cell>
          <cell r="S6" t="str">
            <v>Pur n P Eustoma ( 14 Inch ) 4     FF Sachet + Grass</v>
          </cell>
          <cell r="T6" t="str">
            <v>P n Y Spray Daisy ( 14 Inch ) 7     FF Sachet + Grass</v>
          </cell>
        </row>
        <row r="7">
          <cell r="A7">
            <v>2858</v>
          </cell>
          <cell r="B7" t="str">
            <v>Devika Tandon</v>
          </cell>
          <cell r="C7">
            <v>8527991304</v>
          </cell>
          <cell r="D7" t="str">
            <v>A-293, AIPL The Peaceful Homes</v>
          </cell>
          <cell r="E7" t="str">
            <v>Badshahpur</v>
          </cell>
          <cell r="F7" t="str">
            <v>Friday</v>
          </cell>
          <cell r="G7" t="str">
            <v>4 PM to 7PM</v>
          </cell>
          <cell r="H7">
            <v>1450</v>
          </cell>
          <cell r="I7">
            <v>362.5</v>
          </cell>
          <cell r="J7" t="str">
            <v>Bliss</v>
          </cell>
          <cell r="N7" t="str">
            <v>4  del of this cycle   -  0-cycles pmnt   Completed - Collect 0</v>
          </cell>
          <cell r="O7" t="e">
            <v>#N/A</v>
          </cell>
          <cell r="P7" t="e">
            <v>#N/A</v>
          </cell>
          <cell r="Q7" t="str">
            <v>R n W Car ( 14 inch ) 16     FF Sachet + Grass</v>
          </cell>
          <cell r="R7" t="str">
            <v>O Asiatic ( 15 Inch ) 3     Grass</v>
          </cell>
          <cell r="S7" t="str">
            <v>P n W Glad ( 14 Inch ) 16     Grass</v>
          </cell>
          <cell r="T7" t="str">
            <v>P n Y Spray Daisy ( 14 Inch ) 5     FF Sachet + Grass</v>
          </cell>
        </row>
        <row r="8">
          <cell r="A8">
            <v>3334</v>
          </cell>
          <cell r="B8" t="str">
            <v>Sachi Poudiyal</v>
          </cell>
          <cell r="C8">
            <v>8420453178</v>
          </cell>
          <cell r="D8" t="str">
            <v>H. No. 901, Ground Floor, Sec 17 B, Next to St PBN School</v>
          </cell>
          <cell r="E8" t="str">
            <v>Old Gurgaon</v>
          </cell>
          <cell r="F8" t="str">
            <v>Friday</v>
          </cell>
          <cell r="G8" t="str">
            <v>4 PM to 7 PM</v>
          </cell>
          <cell r="H8">
            <v>1450</v>
          </cell>
          <cell r="I8">
            <v>362.5</v>
          </cell>
          <cell r="J8" t="str">
            <v>Bliss</v>
          </cell>
          <cell r="N8" t="str">
            <v>4  del of this cycle   -  0-cycles pmnt   Completed - Collect 0</v>
          </cell>
          <cell r="O8" t="str">
            <v>Rajni 16     FF Sachet + Grass</v>
          </cell>
          <cell r="P8" t="str">
            <v>P n Y Spray Daisy ( 15 inch ) 5     FF Sachet + Grass</v>
          </cell>
          <cell r="Q8" t="str">
            <v>Rajni ( 16 inch ) 16     Grass</v>
          </cell>
          <cell r="R8" t="str">
            <v>P Asiatic ( 15 Inch ) 3     Grass</v>
          </cell>
          <cell r="S8" t="str">
            <v>P n W Glad ( 14 Inch ) 16     Grass</v>
          </cell>
          <cell r="T8" t="str">
            <v>Pur n P Car ( 14 Inch ) 16     FF Sachet + Grass</v>
          </cell>
        </row>
        <row r="9">
          <cell r="A9">
            <v>1994</v>
          </cell>
          <cell r="B9" t="str">
            <v>M P Bezbaruah</v>
          </cell>
          <cell r="C9">
            <v>9810623627</v>
          </cell>
          <cell r="D9" t="str">
            <v>323, Deerwood Chase, Sector 50</v>
          </cell>
          <cell r="E9" t="str">
            <v>Nirvana Country</v>
          </cell>
          <cell r="F9" t="str">
            <v>Friday</v>
          </cell>
          <cell r="G9" t="str">
            <v>9 AM - 12 PM</v>
          </cell>
          <cell r="H9">
            <v>999</v>
          </cell>
          <cell r="I9">
            <v>249.75</v>
          </cell>
          <cell r="J9" t="str">
            <v>Delight</v>
          </cell>
          <cell r="K9" t="str">
            <v>Send car on Thursday (05/06) Skip 2 week (18/04) No Rajni till Sep (10/07)</v>
          </cell>
          <cell r="M9" t="str">
            <v>No Rajni till sep(10/07)</v>
          </cell>
          <cell r="N9" t="str">
            <v>2  del of this cycle   -  0-cycles pmnt   Completed - Collect 0</v>
          </cell>
          <cell r="O9" t="str">
            <v>P Spray Daisy ( 16 Inch) 3     FF Sachet + Grass</v>
          </cell>
          <cell r="P9" t="str">
            <v>Mix Alstroemeria ( 14 inch ) 9     FF Sachet + Grass</v>
          </cell>
          <cell r="Q9" t="str">
            <v>P n W Glad ( 16 Inch) 9     Grass</v>
          </cell>
          <cell r="R9" t="str">
            <v>P Asiatic ( 15 Inch ) 2     Grass</v>
          </cell>
          <cell r="S9" t="str">
            <v>P n W Car ( 14 Inch ) 9     Grass</v>
          </cell>
          <cell r="T9" t="str">
            <v>Sunflower ( 12 Inch ) 2     FF Sachet + Grass</v>
          </cell>
        </row>
        <row r="10">
          <cell r="A10">
            <v>2083</v>
          </cell>
          <cell r="B10" t="str">
            <v>Neeraj Rathore</v>
          </cell>
          <cell r="C10">
            <v>9810570666</v>
          </cell>
          <cell r="D10" t="str">
            <v>A-1302, PalM Drive, Sec 66</v>
          </cell>
          <cell r="E10" t="str">
            <v>Badshahpur</v>
          </cell>
          <cell r="F10" t="str">
            <v>Friday</v>
          </cell>
          <cell r="G10" t="str">
            <v>9 AM - 12 PM</v>
          </cell>
          <cell r="H10">
            <v>2750</v>
          </cell>
          <cell r="I10">
            <v>687.5</v>
          </cell>
          <cell r="J10" t="str">
            <v>Elation</v>
          </cell>
          <cell r="K10" t="str">
            <v>Friday n Monday// No Gerbera *25/09) Payment from Dharmesh I Rathod (11/12) Rose next (29/12) No Orchid also (23/02) No Glad (31/03) No BOP (26/07) BMF Vase Sent (23/08) Rs. 500 added as referal credit against subscription of Radhika (08/03) Skip 3 Deliveries (21/09) hold today n skip 1 week (06/10) Upgrade to Elation and day Friday (29/10) One Kind Flowers (30/01) Skip 2 week (05/02) Holdn send on monday (24/04) Skip 2 weeks (07/05) Returned today (22/05)</v>
          </cell>
          <cell r="L10" t="str">
            <v>GERBERA  n BOP</v>
          </cell>
          <cell r="M10" t="str">
            <v>One Kind (30/01)  Rajni next (18/02)</v>
          </cell>
          <cell r="N10" t="str">
            <v>4  del of this cycle   -  0-cycles pmnt   Completed - Collect 0</v>
          </cell>
          <cell r="O10" t="e">
            <v>#N/A</v>
          </cell>
          <cell r="P10" t="e">
            <v>#N/A</v>
          </cell>
          <cell r="Q10" t="str">
            <v>R n W Car ( 14 inch ) 32     2 Gypsola + FF Sachet</v>
          </cell>
          <cell r="R10" t="str">
            <v>R n W Car ( 14 Inch ) 32     2 Limonium + Ff Sachet</v>
          </cell>
          <cell r="S10" t="str">
            <v xml:space="preserve">P Asiatic ( 14 Inch ) 6     2 Gypsola </v>
          </cell>
          <cell r="T10" t="str">
            <v>P n W Glad ( 14 Inch ) 32     2 Limonium</v>
          </cell>
        </row>
        <row r="11">
          <cell r="A11">
            <v>2394</v>
          </cell>
          <cell r="B11" t="str">
            <v>Sachi Poudiyal</v>
          </cell>
          <cell r="C11">
            <v>8420453178</v>
          </cell>
          <cell r="D11" t="str">
            <v>H. No. 901, Ground Floor, Sec 17 B, Next to St PBN School</v>
          </cell>
          <cell r="E11" t="str">
            <v>Old Gurgaon</v>
          </cell>
          <cell r="F11" t="str">
            <v>Friday</v>
          </cell>
          <cell r="G11" t="str">
            <v>4 PM to 7 PM</v>
          </cell>
          <cell r="H11">
            <v>1450</v>
          </cell>
          <cell r="I11">
            <v>362.5</v>
          </cell>
          <cell r="J11" t="str">
            <v>Bliss</v>
          </cell>
          <cell r="K11" t="str">
            <v>12 Del Payment done today (18/03) Hold n start from Aug(12/06) One Payment Received today (09/11)</v>
          </cell>
          <cell r="N11" t="str">
            <v>1  del of this cycle   -  1-cycles pmnt   Pending - Collect 1450</v>
          </cell>
          <cell r="O11" t="str">
            <v>Sunflower ( 15 inch) 4     Grass</v>
          </cell>
          <cell r="P11" t="str">
            <v>R n W Car ( 14 inch ) 16     FF Sachet + Grass</v>
          </cell>
          <cell r="Q11" t="str">
            <v>Asiatic 3     Grass</v>
          </cell>
          <cell r="R11" t="str">
            <v>P n Y Spray Daisy ( 15 Inch ) 5     FF Sachet + Grass</v>
          </cell>
          <cell r="S11" t="str">
            <v>P n W Glad ( 14 Inch ) 16     Grass</v>
          </cell>
          <cell r="T11" t="str">
            <v>Sunflower ( 12 Inch ) 4     FF Sachet + Grass</v>
          </cell>
        </row>
        <row r="12">
          <cell r="A12">
            <v>588</v>
          </cell>
          <cell r="B12" t="str">
            <v>Akiksha Mohan</v>
          </cell>
          <cell r="C12">
            <v>9810145564</v>
          </cell>
          <cell r="D12" t="str">
            <v>D-601, Emaar Plam Drive</v>
          </cell>
          <cell r="E12" t="str">
            <v>Badshahpur</v>
          </cell>
          <cell r="F12" t="str">
            <v>Friday</v>
          </cell>
          <cell r="G12" t="str">
            <v>9 AM - 12 PM</v>
          </cell>
          <cell r="H12">
            <v>1600</v>
          </cell>
          <cell r="I12">
            <v>200</v>
          </cell>
          <cell r="J12" t="str">
            <v>Bloom</v>
          </cell>
          <cell r="K12" t="str">
            <v>Friday n Monday //Return-send next week(10/11) Send Replacement(04/03) change address Tower D Flat No 601 Plam Drive (30/3) Return-send next week(06/04) NOW SEND ONLY GLAD(08/05 Hold n start from 1st week0f Aug(08/07)) Gerbera Next(31/08) Return-send next week(30/11) Return-send after Monday(07/03) Send Next week(08/03) Send Change next(30/10) Today returned-send next week(06/11)  Holy Change(16/03) Return today and Skip 2 Weeks(15/04) REturn-:Payment Not paid(29/04) Today Returned(03/06) Skip 1 week(15/06) Return-send next wek(24/06) Skip 1 Week(21/07) Today returned(05/08) Rajni and Asiatic altrenatively(12/08) Today returnedas payment is pending (16/12) Today return again diue to non payment (23/12) No Guldawari (28/02) Paytm From Neelu mohan (28/02) Hold as payment not received (22/10) No sent as payment not recived (26/10) Hold due to non payment (29/10) One payment in Pooja account on 18th and 1 today at BMF account (03/11) Hold due to non payment(01/12) Hold today due to non payment (01/03) Hold as payment not received (31/03) Skip next del (29/09) Hold due to non payment (09/01) Hold due to non payment (12/01) Hold due to non payment (16/01) Hold due to non payment (03/10) Hold due to non payment (05/10) Hold due to non payment (10/10) Skip 1 week (31/10) Hoold ue to non payment (18/12) Hold due to non payment (26/12) Hold tom due to non payment (28/12) Hold due to non payment (19/01) Hold due to non payment (22/01) Today hold (06/03) HDTNP (25/05)</v>
          </cell>
          <cell r="L12" t="str">
            <v>GULDAWARI</v>
          </cell>
          <cell r="N12" t="str">
            <v>8  del of this cycle   -  0-cycles pmnt   Completed - Collect 0</v>
          </cell>
          <cell r="O12" t="str">
            <v>P Spray Daisy ( 16 Inch) 2     FF Sachet + Grass</v>
          </cell>
          <cell r="P12" t="str">
            <v>Mix Alstroemeria ( 14 inch ) 7     FF Sachet + Grass</v>
          </cell>
          <cell r="Q12" t="str">
            <v>P n W Glad ( 16 Inch) 7     Grass</v>
          </cell>
          <cell r="R12" t="str">
            <v xml:space="preserve">Mix Carnation 7     </v>
          </cell>
          <cell r="S12" t="str">
            <v>Sunflower ( 14 Inch ) 2     FF Sachet + Grass</v>
          </cell>
          <cell r="T12" t="str">
            <v>Mix Alstroemeria ( 12 Inch ) 7     FF Sachet + Grass</v>
          </cell>
        </row>
        <row r="13">
          <cell r="A13">
            <v>3357</v>
          </cell>
          <cell r="B13" t="str">
            <v>Yamini Sharma</v>
          </cell>
          <cell r="C13">
            <v>9958582708</v>
          </cell>
          <cell r="D13" t="str">
            <v>Solace 253, AIPL Peaceful Homes, Sec 70 A</v>
          </cell>
          <cell r="E13" t="str">
            <v>Manesar</v>
          </cell>
          <cell r="F13" t="str">
            <v>Friday</v>
          </cell>
          <cell r="G13" t="str">
            <v>4 Pm to 7 PM</v>
          </cell>
          <cell r="H13">
            <v>1450</v>
          </cell>
          <cell r="I13">
            <v>362.5</v>
          </cell>
          <cell r="J13" t="str">
            <v>Bliss</v>
          </cell>
          <cell r="K13" t="str">
            <v>Skip 1 week (28/05)</v>
          </cell>
          <cell r="N13" t="str">
            <v>1  del of this cycle   -  1-cycles pmnt   Pending - Collect 1450</v>
          </cell>
          <cell r="O13" t="str">
            <v>Shd Pur n O Car 16     FF Sachet + Grass</v>
          </cell>
          <cell r="P13" t="str">
            <v>P n Y Spray Daisy ( 15 inch ) 5   Ensure Collection Ensure Collection FF Sachet + Grass</v>
          </cell>
          <cell r="Q13" t="str">
            <v>P n W Glad ( 16 Inch) 16     Grass</v>
          </cell>
          <cell r="R13" t="e">
            <v>#N/A</v>
          </cell>
          <cell r="S13" t="str">
            <v>O Asiatic ( 14 Inch ) 3     Grass</v>
          </cell>
          <cell r="T13" t="str">
            <v>Mix Alstroemeria ( 12 Inch ) 16     FF Sachet + Grass</v>
          </cell>
        </row>
        <row r="14">
          <cell r="A14">
            <v>1618</v>
          </cell>
          <cell r="B14" t="str">
            <v>Nidhi Sharma Malhotra</v>
          </cell>
          <cell r="C14" t="str">
            <v>8130207722//9999016333</v>
          </cell>
          <cell r="D14" t="str">
            <v>Topaz-36, First Floor, Emaar Emerald Hills, Sec 65</v>
          </cell>
          <cell r="E14" t="str">
            <v>Badshahpur</v>
          </cell>
          <cell r="F14" t="str">
            <v>Friday</v>
          </cell>
          <cell r="G14" t="str">
            <v>9 AM to 2 PM</v>
          </cell>
          <cell r="H14">
            <v>3000</v>
          </cell>
          <cell r="I14">
            <v>375</v>
          </cell>
          <cell r="J14" t="str">
            <v>Charm</v>
          </cell>
          <cell r="K14" t="str">
            <v>Friday n Monday//NO Glad(11/03)  Holy Change(16/03) Send next delivery on Monday (26/04) Heliconia Next (03/05) Now felicity (25/05) Today Returned (15/07) Paytm From sante (16/04) Date was updated from 13th july to 04th Aug -- deliveries missed-- now updated from Jule -- Still deliveries missed(05/07</v>
          </cell>
          <cell r="L14" t="str">
            <v>GLAD</v>
          </cell>
          <cell r="N14" t="str">
            <v>5  del of this cycle   -  0-cycles pmnt   Complimentary - Collect 0</v>
          </cell>
          <cell r="O14" t="str">
            <v>P Asiatic ( 16 inch) 3     Grass</v>
          </cell>
          <cell r="P14" t="str">
            <v>Bop 3     FF Sachet + Grass</v>
          </cell>
          <cell r="Q14" t="str">
            <v>P n W Car ( 14 inch ) 15     FF Sachet + Grass</v>
          </cell>
          <cell r="R14" t="str">
            <v>Mix Spray Daisy 4     FF Sachet + Grass</v>
          </cell>
          <cell r="S14" t="str">
            <v>Pur Eustom ( 14 Inch ) 3     FF Sachet + Grass</v>
          </cell>
          <cell r="T14" t="str">
            <v>BOP ( 14 Inch ) 3     FF Sachet + Grass</v>
          </cell>
        </row>
        <row r="15">
          <cell r="A15">
            <v>139</v>
          </cell>
          <cell r="B15" t="str">
            <v>Mr. Pramod Narula 2</v>
          </cell>
          <cell r="C15">
            <v>9899048440</v>
          </cell>
          <cell r="D15" t="str">
            <v>Ww-57, Ground floor, Malibu Town, Sohna Road    Sohna Road Gurgaon  </v>
          </cell>
          <cell r="E15" t="str">
            <v>Sohna Road 1</v>
          </cell>
          <cell r="F15" t="str">
            <v>Friday</v>
          </cell>
          <cell r="G15" t="str">
            <v>9 AM - 12 PM</v>
          </cell>
          <cell r="H15">
            <v>4750</v>
          </cell>
          <cell r="I15">
            <v>1187.5</v>
          </cell>
          <cell r="J15" t="str">
            <v>Enchantment</v>
          </cell>
          <cell r="K15" t="str">
            <v>3 Stick extra in next del(31/08)Send this Tuesday n then Saturday(07/09)Send on 6th This week(05/11)  Today return-send next week(25/01) Send replacement of Daisy(01/02) Send always on Friday(17/03) Rs.240/- Received today against special pack(12/04) Long stick always(26/04) Flower food next(31/05) NO GERBERA(14/06) Send 1 stick extra next(16/08) 2 Stick extra next(23/08) Send extra flower(20/09) NO GERBERA N NO BOP(11/10) Collect Payment(29/02) Send replacement(11/08/20) Hold for 2 weeks and confirm before sending(19/09/20) Skip 1 more week(08/10/20) Sending Del tom due to Diwali(11/11) No Lily and Sunflower(04/07) Upgrade to 4000 and increase 6 more sticks(01/10) Send 2nd Del on 4th(27/10) Send 5th Del on 4th(29/10) Send remaining flowers(19/11) Hold today and skip 1 week(10/12) Skip 1 week(24/02)  Holy Change(16/03) Hold today--send on sunday (22/12) Hold today n send on Monday (20/12) Skip 1 week (02/01) Skip 1 week (11/03) Hold n start after 5th June (04/05) Send flowers on sunday (16/10) Skip 1 week (18/12) Send on Wednesday instead of Friday this week (22/12) No Lilies (07/05)</v>
          </cell>
          <cell r="L15" t="str">
            <v>lilies n Glad</v>
          </cell>
          <cell r="N15" t="str">
            <v>2  del of this cycle   -  0-cycles pmnt   Completed - Collect 0</v>
          </cell>
          <cell r="O15" t="str">
            <v>Sunflower ( 15 inch) 8 R n W Car  18 P n W Glad 18 FF Sachet + Grass</v>
          </cell>
          <cell r="P15" t="str">
            <v>P n W Spray Daisy ( 15 inch ) 10 P n W Car ( 14 inch ) 18 Mix Alstroemeria ( 14 inch )  18 FF Sachet + Grass</v>
          </cell>
          <cell r="Q15" t="str">
            <v>Y Asiatic ( 15 inch ) 6 P n W Glad ( 14 inch ) 18 Rajni ( 14 Inch ) 18 Grass</v>
          </cell>
          <cell r="R15" t="str">
            <v>Sunflower ( 14 Inch ) 6 R n W Car ( 14 Inch ) 18 Mix Alstroemeria ( 12 Inch ) 18 FF Sachet + Grass</v>
          </cell>
          <cell r="S15" t="str">
            <v>P n Y Spray Daisy ( 14 Inch ) 10 P n W Glad ( 14 Inch ) 18 P n W Car ( 14 Inch ) 18 Grass</v>
          </cell>
          <cell r="T15" t="str">
            <v>W Asiatic ( 14 inch ) 6 Mix Alstroemeria ( 12 Inch ) 18 Pur n P Car ( 14 Inch ) 18 Grass</v>
          </cell>
        </row>
        <row r="16">
          <cell r="A16">
            <v>3119</v>
          </cell>
          <cell r="B16" t="str">
            <v>Rachna Prasad</v>
          </cell>
          <cell r="C16">
            <v>9811106435</v>
          </cell>
          <cell r="D16" t="str">
            <v>N-3/202, Paras Irene Appartments, Sec 70 A</v>
          </cell>
          <cell r="E16" t="str">
            <v>Badshahpur</v>
          </cell>
          <cell r="F16" t="str">
            <v>Friday</v>
          </cell>
          <cell r="G16" t="str">
            <v>4 Pm to 7 PM</v>
          </cell>
          <cell r="H16">
            <v>1450</v>
          </cell>
          <cell r="I16">
            <v>362.5</v>
          </cell>
          <cell r="J16" t="str">
            <v>Bliss</v>
          </cell>
          <cell r="K16" t="str">
            <v>1000 cash and 450 via paytm (01/11) This week send on Sunday (09/02) Paytm From Outside Edge (28/02) Replacement tom (09/03)</v>
          </cell>
          <cell r="M16" t="str">
            <v>No Flowers on 13th -send on 15th Feb (09/02)</v>
          </cell>
          <cell r="N16" t="str">
            <v>1  del of this cycle   -  1-cycles pmnt   Pending - Collect 1450</v>
          </cell>
          <cell r="O16" t="str">
            <v>P Spray Daisy ( 16 Inch) 3 Alstomeria 7   FF Sachet + Grass</v>
          </cell>
          <cell r="P16" t="str">
            <v>Sunflower ( 15 inch ) 2 P n W Glad ( 14 inch ) 7   Grass</v>
          </cell>
          <cell r="Q16" t="str">
            <v>P Eustoma ( 14 Inch ) 2 P n W Car ( 14 inch ) 7   FF Sachet + Grass</v>
          </cell>
          <cell r="R16" t="str">
            <v>O Asiatic ( 15 Inch ) 2 Mix Alstroemeria ( 12 Inch )  7   Grass</v>
          </cell>
          <cell r="S16" t="str">
            <v>Y Spray Daisy ( 14 Inch ) 3 P n W Glad ( 14 Inch ) 7   FF Sachet + Grass</v>
          </cell>
          <cell r="T16" t="str">
            <v>Sunflower ( 12 Inch ) 2 Pur n P Car ( 14 Inch ) 7   FF Sachet + Grass</v>
          </cell>
        </row>
        <row r="17">
          <cell r="A17">
            <v>1377</v>
          </cell>
          <cell r="B17" t="str">
            <v>Geetanjali Babbar</v>
          </cell>
          <cell r="C17">
            <v>9958988852</v>
          </cell>
          <cell r="D17" t="str">
            <v>K-905, Sispal Vihar</v>
          </cell>
          <cell r="E17" t="str">
            <v>Sohna Road 1</v>
          </cell>
          <cell r="F17" t="str">
            <v>Friday</v>
          </cell>
          <cell r="G17" t="str">
            <v>9:30 Am to 2 PM</v>
          </cell>
          <cell r="H17">
            <v>2300</v>
          </cell>
          <cell r="I17">
            <v>287.5</v>
          </cell>
          <cell r="J17" t="str">
            <v>Felicity</v>
          </cell>
          <cell r="K17" t="str">
            <v>Tuesday and FRiday//Monday and Thursday//Send on Monday This week and send rajni too(03/04) Returned-send tom(11/04) Day Changed to Monday(11/04) Sent replacement of Gerbera today(20/04) She likes BOP+Rajni+Car Comb (20/04) Thursday and Monday Morning Slot(13/06) NO BOP(03/08) Hold today ansend after a week(20/11)  Holy Change(16/03) Skip 1 del(16/03) Skip 1 del AND ALWAYS SEND 10 STICKS(02/05) Skip 3rd Feb Del (28/01) Skip tom Delivery (06/04) Dont start from 16th June--start from 19th June (14/06) Skip Friday (13/09) Skip between 24th to 2nd Nov (24/10) Hold n start from Feb (13/01) Skip tom del (14/03) Do Not count last del (21/06) Skip comig Delivery(24/06) Sent a rewplacement today (23/10) Hold geetanjali babbar today (03/01) Skip 1 week (04/01) Skip 18th n 21st Mar (03/03) Skip Friday (09/04) Skip friday (26/06) Paytm From Merajul Alam (23/09) No Del From 09th to 13th (04/12) Skip 10th and 13th Feb (31/01) Skip 1 week (23/03) Replacement tom (21/04) HDTNP (29/05)</v>
          </cell>
          <cell r="M17" t="str">
            <v>Skip 18th n 21st Mar 25</v>
          </cell>
          <cell r="N17" t="str">
            <v>7  del of this cycle   -  0-cycles pmnt   Completed - Collect 0</v>
          </cell>
          <cell r="O17" t="str">
            <v>P Asiatic ( 16 inch) 2     Grass</v>
          </cell>
          <cell r="P17" t="str">
            <v>Rajni ( 14 inch ) 11     Grass</v>
          </cell>
          <cell r="Q17" t="str">
            <v>P n W Car ( 14 inch ) 11     FF Sachet + Grass</v>
          </cell>
          <cell r="R17" t="str">
            <v>O Asiatic ( 15 Inch ) 2   Collect payment Collect payment Grass</v>
          </cell>
          <cell r="S17" t="str">
            <v>Rajni ( 14 Inch ) 11     Grass</v>
          </cell>
          <cell r="T17" t="str">
            <v>Pur n P Car ( 14 Inch ) 11     FF Sachet + Grass</v>
          </cell>
        </row>
        <row r="18">
          <cell r="A18">
            <v>148</v>
          </cell>
          <cell r="B18" t="str">
            <v>Ruchi Kathpalia</v>
          </cell>
          <cell r="C18">
            <v>9899052574</v>
          </cell>
          <cell r="D18" t="str">
            <v>227, Lane 6B,Sector17,Gurgaon</v>
          </cell>
          <cell r="E18" t="str">
            <v>Old Gurgaon</v>
          </cell>
          <cell r="F18" t="str">
            <v>Friday</v>
          </cell>
          <cell r="G18" t="str">
            <v>4 PM to 7PM</v>
          </cell>
          <cell r="H18">
            <v>999</v>
          </cell>
          <cell r="I18">
            <v>249.75</v>
          </cell>
          <cell r="J18" t="str">
            <v>Delight</v>
          </cell>
          <cell r="K18" t="str">
            <v>Pls send some Extra flowers(22/08)Send glad on Friday this week only(27/09) Gifted 1 subscription of 450 to her mother(16/12) NO ROSE(21/12) Upgrade to 650 Plan n NO ORCHID(02/05) NO ASIATIC n ORCHID(04/05) FF Sold Today(20/07) FF Sold today(24/08) GLAD Next(26/09) paytm recvd of 150 from Aditya Kathpalia(11/01) Glad next(03/09/20) Sending Del tom due to Diwali(11/11) Preferred Flowers-- Glad+Chrysanthemum + Tuberose + Car(30/11) NO ROSE(05/02) Holy Change(16/03) NO ROSE (26/04) Pooja's Account (07/07) Send tom (06/02)</v>
          </cell>
          <cell r="L18" t="str">
            <v>ROSE</v>
          </cell>
          <cell r="N18" t="str">
            <v>2  del of this cycle   -  0-cycles pmnt   Completed - Collect 0</v>
          </cell>
          <cell r="O18" t="str">
            <v>R n W Car 9     FF Sachet + Grass</v>
          </cell>
          <cell r="P18" t="str">
            <v>Sunflower ( 15 inch ) 2     Grass</v>
          </cell>
          <cell r="Q18" t="str">
            <v>Mix Glad 9     Grass</v>
          </cell>
          <cell r="R18" t="str">
            <v>Mix Alstroemeria ( 12 Inch ) 9     FF Sachet + Grass</v>
          </cell>
          <cell r="S18" t="str">
            <v>O Asiatic ( 14 Inch ) 2     Grass</v>
          </cell>
          <cell r="T18" t="str">
            <v>Pur n P Car ( 14 Inch ) 9     FF Sachet + Grass</v>
          </cell>
        </row>
        <row r="19">
          <cell r="A19">
            <v>781</v>
          </cell>
          <cell r="B19" t="str">
            <v>Maj. Gen. KN Singh</v>
          </cell>
          <cell r="C19">
            <v>9971391417</v>
          </cell>
          <cell r="D19" t="str">
            <v>GH 4/5C Gurgaon One Apartments- Sectr 22</v>
          </cell>
          <cell r="E19" t="str">
            <v>Old Gurgaon</v>
          </cell>
          <cell r="F19" t="str">
            <v>Friday</v>
          </cell>
          <cell r="G19" t="str">
            <v>4 PM to 7PM</v>
          </cell>
          <cell r="H19">
            <v>1450</v>
          </cell>
          <cell r="I19">
            <v>362.5</v>
          </cell>
          <cell r="J19" t="str">
            <v>Bliss</v>
          </cell>
          <cell r="K19" t="str">
            <v>Tuesday and friday// NO ORCHIDS(02/09) Skip 1 week(04/08) Skip 1 week(22/09) Skip 1 week (15/12) Today hold (13/01) Skip 2 weeks (23/01) Skip 1 week (30/03) Skip 1 week (13/04) Shift to Bliss (27/04) Send replacement tom (13/05) Skip 1 week (24/05) Skip 1 week (25/07) Skip 1 week (10/08) Skip 2 week (08/01) Skip 17th and send on 19th (15/05) Skip 2 week (09/01) Skip 1 week (11/03) skip 2 week (04/12) Send tom (06/02) hOLD TODAY (08/05)</v>
          </cell>
          <cell r="N19" t="str">
            <v>2  del of this cycle   -   0-cycles pmnt  Completed - Collect 0</v>
          </cell>
          <cell r="O19" t="str">
            <v>Sunflower ( 15 inch) 4     Grass</v>
          </cell>
          <cell r="P19" t="str">
            <v>R n W Car ( 14 inch ) 16     FF Sachet + Grass</v>
          </cell>
          <cell r="Q19" t="str">
            <v>P n W Glad ( 16 Inch) 16     Grass</v>
          </cell>
          <cell r="R19" t="str">
            <v>Mix Alstroemeria ( 12 Inch ) 16     FF Sachet + Grass</v>
          </cell>
          <cell r="S19" t="str">
            <v>P Asiatic ( 14 Inch ) 3     Grass</v>
          </cell>
          <cell r="T19" t="str">
            <v>P n Y Spray Daisy ( 14 Inch ) 5     FF Sachet + Grass</v>
          </cell>
        </row>
        <row r="20">
          <cell r="A20">
            <v>2899</v>
          </cell>
          <cell r="B20" t="str">
            <v>Mitali</v>
          </cell>
          <cell r="C20">
            <v>8805097625</v>
          </cell>
          <cell r="D20" t="str">
            <v>A-3o4, Emaar Emerald Estate, Sec 65</v>
          </cell>
          <cell r="E20" t="str">
            <v>Badshahpur</v>
          </cell>
          <cell r="F20" t="str">
            <v>Friday</v>
          </cell>
          <cell r="G20" t="str">
            <v>9 AM - 12 PM</v>
          </cell>
          <cell r="H20">
            <v>999</v>
          </cell>
          <cell r="I20">
            <v>249.75</v>
          </cell>
          <cell r="J20" t="str">
            <v>Delight</v>
          </cell>
          <cell r="K20" t="str">
            <v>Skip tom (16/10) Paytm from Mitali Bansal // Returned today (13/03) Send 1 Del tom (15/03)</v>
          </cell>
          <cell r="N20" t="str">
            <v>3  del of this cycle   -  0-cycles pmnt   Completed - Collect 0</v>
          </cell>
          <cell r="O20" t="str">
            <v>P n W Glad ( 15 inch) 9     Grass</v>
          </cell>
          <cell r="P20" t="str">
            <v>P Spray Daisy ( 15 inch ) 3     FF Sachet + Grass</v>
          </cell>
          <cell r="Q20" t="str">
            <v>Sunflower ( 15 inch ) 2     Grass</v>
          </cell>
          <cell r="R20" t="str">
            <v>Mix Alstroemeria ( 12 Inch ) 9     FF Sachet + Grass</v>
          </cell>
          <cell r="S20" t="str">
            <v>O Asiatic ( 14 Inch ) 2     Grass</v>
          </cell>
          <cell r="T20" t="str">
            <v>Pur n P Car ( 14 Inch ) 9     FF Sachet + Grass</v>
          </cell>
        </row>
        <row r="21">
          <cell r="A21">
            <v>628</v>
          </cell>
          <cell r="B21" t="str">
            <v>Parul Hazel</v>
          </cell>
          <cell r="C21">
            <v>9873675242</v>
          </cell>
          <cell r="D21" t="str">
            <v>E-1202, Palm Drive</v>
          </cell>
          <cell r="E21" t="str">
            <v>Badshahpur</v>
          </cell>
          <cell r="F21" t="str">
            <v>Friday</v>
          </cell>
          <cell r="G21" t="str">
            <v>9 AM - 12 PM</v>
          </cell>
          <cell r="H21">
            <v>1450</v>
          </cell>
          <cell r="I21">
            <v>362.5</v>
          </cell>
          <cell r="J21" t="str">
            <v>Bliss</v>
          </cell>
          <cell r="K21" t="str">
            <v>Send vase replacement tomorrow(27/10) Skip 1 week(27/12) Return-send next week(27/01)Skip 1 week(07/02) Rose next time(26/02) 1 stick extra next week(09/03) Skip 1 week(20/03) Send 1 stick extra in next del(18/05) Today hold n skip 1 week(25/05) Skip 2 week(14/06) Inform Before Sending(01/07) Send 2 pack of FF tom(19/07) Today hold-send tom(21/10) return-send on Thursday(26/10) Rajni Next(21/12) Hold -send on Monday(28/12) Skip 1 week(09/03) Rajni Next(28/01) Rajni tom(28/02) Pls send Mix of Spray daisy + Rajni and send tom only this week(04/03) Skiped 1 week due to HOLI(29/03) Skip 1 week(17/08) Rajni/Rose next(12/10) Send rajni Tom(30/10) Skip 1 week(19/12) Skip 1 week(12/03) Sewnt a replacement today(17/04) Skip 1 we Hold today (29/03)ek(01/06) Skip 2 Weeks(23/06) Skip 1 week(28/07) Skip 1 week (22/12) Skip 2 weeks (01/01/23) Skip 1 week (13/04) Send on sunday this week (14/04) Send 1 delivery tom (19/06)] Skip 1 week (28/09) Skip 1 week (10/04) Send Replacement tom (10/01) Skip 1 week (20/01) Skip friday n send on monday this week (26/06) Send thsi week flowers on monday (14/08) Skip 1 week (16/12) skip tom and send on 28th (17/03) Hold today and check next week before sending (22/05)</v>
          </cell>
          <cell r="N21" t="str">
            <v>4  del of this cycle   -  0-cycles pmnt   CompletedNO COLLECTION-we have extra money - Collect -50</v>
          </cell>
          <cell r="O21" t="e">
            <v>#N/A</v>
          </cell>
          <cell r="P21" t="e">
            <v>#N/A</v>
          </cell>
          <cell r="Q21" t="str">
            <v>P n W Glad ( 16 Inch) 16     Grass</v>
          </cell>
          <cell r="R21" t="str">
            <v>O Asiatic ( 15 Inch ) 3     Grass</v>
          </cell>
          <cell r="S21" t="str">
            <v>P n W Glad ( 14 Inch ) 16     Grass</v>
          </cell>
          <cell r="T21" t="str">
            <v>P n Y Spray Daisy ( 14 Inch ) 5     FF Sachet + Grass</v>
          </cell>
        </row>
        <row r="22">
          <cell r="A22">
            <v>2918</v>
          </cell>
          <cell r="B22" t="str">
            <v>Tina</v>
          </cell>
          <cell r="C22">
            <v>9212408077</v>
          </cell>
          <cell r="D22" t="str">
            <v>J-1603, Palm Drive</v>
          </cell>
          <cell r="E22" t="str">
            <v>Badshahpur</v>
          </cell>
          <cell r="F22" t="str">
            <v>Friday</v>
          </cell>
          <cell r="G22" t="str">
            <v>10 AM to 2:30 PM</v>
          </cell>
          <cell r="H22">
            <v>999</v>
          </cell>
          <cell r="I22">
            <v>249.75</v>
          </cell>
          <cell r="J22" t="str">
            <v>Delight</v>
          </cell>
          <cell r="K22" t="str">
            <v>From Radhika Neeraj Rathod//Colect cash (17/03) Paytm from Gureena Singh (29/08) Send tom n send on Monday this week (19/03)</v>
          </cell>
          <cell r="N22" t="str">
            <v>1  del of this cycle   -  1-cycles pmnt   Pending - Collect 999</v>
          </cell>
          <cell r="O22" t="str">
            <v>R n W Car 9     FF Sachet + Grass</v>
          </cell>
          <cell r="P22" t="str">
            <v>Sunflower ( 15 inch ) 2     Grass</v>
          </cell>
          <cell r="Q22" t="str">
            <v>P n W Glad ( 14 inch ) 9     Grass</v>
          </cell>
          <cell r="R22" t="str">
            <v>P Asiatic ( 15 Inch ) 2 Collect 1375 Carry Receipt Book   Grass</v>
          </cell>
          <cell r="S22" t="str">
            <v>P n W Car ( 14 Inch ) 9     FF Sachet + Grass</v>
          </cell>
          <cell r="T22" t="str">
            <v>Mix Alstroemeria ( 12 Inch ) 9     FF Sachet + Grass</v>
          </cell>
        </row>
        <row r="23">
          <cell r="B23" t="str">
            <v>Manisha Dilawari</v>
          </cell>
          <cell r="C23">
            <v>9810653326</v>
          </cell>
          <cell r="D23" t="str">
            <v>Building-6/5B, The Hibiscus</v>
          </cell>
          <cell r="H23" t="str">
            <v xml:space="preserve">Only Payment </v>
          </cell>
          <cell r="I23" t="str">
            <v xml:space="preserve">Only Payment </v>
          </cell>
          <cell r="J23" t="str">
            <v xml:space="preserve">Only Payment </v>
          </cell>
          <cell r="K23" t="str">
            <v xml:space="preserve">Only Payment </v>
          </cell>
          <cell r="L23" t="str">
            <v xml:space="preserve">Only Payment </v>
          </cell>
          <cell r="M23" t="str">
            <v xml:space="preserve">Only Payment </v>
          </cell>
          <cell r="N23" t="str">
            <v xml:space="preserve">Only Payment </v>
          </cell>
          <cell r="O23" t="str">
            <v xml:space="preserve">Only Payment </v>
          </cell>
          <cell r="P23" t="str">
            <v xml:space="preserve">Only Payment </v>
          </cell>
          <cell r="Q23" t="str">
            <v xml:space="preserve">Only Payment </v>
          </cell>
          <cell r="R23" t="str">
            <v xml:space="preserve">Only Payment </v>
          </cell>
          <cell r="S23" t="str">
            <v xml:space="preserve">Only Payment </v>
          </cell>
          <cell r="T23" t="str">
            <v xml:space="preserve">Only Payment  Only Payment  Only Payment  Only Payment  Only Payment  Only Payment  Only Payment </v>
          </cell>
        </row>
        <row r="24">
          <cell r="A24">
            <v>2224</v>
          </cell>
          <cell r="B24" t="str">
            <v>Samta Mehra</v>
          </cell>
          <cell r="C24">
            <v>9811137290</v>
          </cell>
          <cell r="D24" t="str">
            <v>D-1401, Park View City-1, Sohna Road</v>
          </cell>
          <cell r="E24" t="str">
            <v>Sohna Road 2</v>
          </cell>
          <cell r="F24" t="str">
            <v>Friday</v>
          </cell>
          <cell r="G24" t="str">
            <v>9 AM - 12 PM</v>
          </cell>
          <cell r="H24">
            <v>3750</v>
          </cell>
          <cell r="I24">
            <v>937.5</v>
          </cell>
          <cell r="J24" t="str">
            <v>Savor</v>
          </cell>
          <cell r="K24" t="str">
            <v>Mixed Flowers// Upgrade to Elation (30/03) Skip 3 weeks (13/06) Skip 2 weeks (21/12) Upgrade ti savor (23/02) Skip 1 week (16/04) Skip 1 week (20/06) Hold today (12/09) Skip 1 week (02/10) Skip 1 week (29/12) Skip 1 week (28/03)</v>
          </cell>
          <cell r="N24" t="str">
            <v>2  del of this cycle   -  0-cycles pmnt   Completed - Collect 0</v>
          </cell>
          <cell r="O24" t="e">
            <v>#N/A</v>
          </cell>
          <cell r="P24" t="str">
            <v>P n W Spray Daisy ( 15 inch ) 5 Mix Alstroemeria ( 14 inch ) 21   2 Gypsola + FF sachet</v>
          </cell>
          <cell r="Q24" t="str">
            <v>Y Asiatic ( 15 inch ) 4 P n W Glad ( 14 inch ) 21   2 Limonium + FF aschet</v>
          </cell>
          <cell r="R24" t="str">
            <v>P n W Eustoma ( 14 Inch ) 4 P n W Car ( 14 Inch ) 21   2 Gypsola + FF Sachet</v>
          </cell>
          <cell r="S24" t="str">
            <v>Sunflower ( 12 Inch ) 5 Mix Alstroemeria ( 12 Inch ) 20   2 Limonium + FF Sachet</v>
          </cell>
          <cell r="T24" t="str">
            <v>P n Y Spray Daisy ( 14 Inch ) 5 P n W Glad ( 14 Inch ) 21   2 Gypsola + FF Sachet</v>
          </cell>
        </row>
        <row r="25">
          <cell r="A25">
            <v>2260</v>
          </cell>
          <cell r="B25" t="str">
            <v>Madhu Chopra</v>
          </cell>
          <cell r="C25">
            <v>9810270218</v>
          </cell>
          <cell r="D25" t="str">
            <v>Anand Farm, Sri Krishna Chowk, Sec 22, Dundahera</v>
          </cell>
          <cell r="E25" t="str">
            <v>Old Gurgaon</v>
          </cell>
          <cell r="F25" t="str">
            <v>Friday</v>
          </cell>
          <cell r="G25" t="str">
            <v>4 Pm to 7 PM</v>
          </cell>
          <cell r="H25">
            <v>4750</v>
          </cell>
          <cell r="I25">
            <v>1187.5</v>
          </cell>
          <cell r="J25" t="str">
            <v>Enchantment</v>
          </cell>
          <cell r="K25" t="str">
            <v>NO ROSE// From Albi Wife// Send replacement of Glad n Sunflower tom (20/04)  This week on Thursday (23/10) Anthurium/Lily and bop this week (23/10) Send 1 del tom n hld (11/06) Send on wednsday -- send 5 Oriental + Rajni for 2 Vase + Orchid for 1 Vase + 10 Stem 1 ft Bamboo in Vase with Ribbon (26/10) Hold till 7th Jan (19/12) Pls Send tom (06/02) Sent one del tiday instead of tim (26/02)</v>
          </cell>
          <cell r="L25" t="str">
            <v>ROSE</v>
          </cell>
          <cell r="N25" t="str">
            <v>2  del of this cycle   -  0-cycles pmnt   In Process - Collect 0</v>
          </cell>
          <cell r="O25" t="str">
            <v>p Oriental + eustoma 3 + 4 Alstomeria + R n W Car 12 + 12 R Orchid 5 5 Areca palm + 3 Gypsola + 3 Limonium</v>
          </cell>
          <cell r="P25" t="str">
            <v>P Oriental ( 18 inch ) + BOP ( 15 Inch ) 3 + 3 P n W Glad ( 14 inch ) + B Daisy 12 + 10 Orchid 4 5 Areca palm + 3 Gypsola + 3 Limonium</v>
          </cell>
          <cell r="Q25" t="str">
            <v>W Oriental + G n Y Spray Daisy  3 + 5 P n W Car + Rajni 12 + 12 Eustoma 4 5 Areca Palm + 3 Gypsola + 3 Limonium</v>
          </cell>
          <cell r="R25" t="str">
            <v>P oriental + BOP 3 + 3 R n W Car ( 14 Inch ) + Mix Alstroemeria ( 12 Inch ) 12 + 12 Y Orchid 5 5 Areca Palm + 3 Gypsola + 3 Limonium</v>
          </cell>
          <cell r="S25" t="str">
            <v>W Oriental + Mix Anthurium 3 + 4 P n W Glad + P n W Car 12 + 12 G Orchid 5 5 Areca palm + 3 Gypsola + 3 Limonium</v>
          </cell>
          <cell r="T25" t="str">
            <v>P Oriental + Mix Eustoma 3 + 4 Mix Alstroemeria + Rajni 12 + 12 BOP 4 5 Areca Palm + 3 Gypaols + 3 Limonium</v>
          </cell>
        </row>
        <row r="26">
          <cell r="A26">
            <v>2372</v>
          </cell>
          <cell r="B26" t="str">
            <v>Sumita Shahi</v>
          </cell>
          <cell r="C26">
            <v>9910955257</v>
          </cell>
          <cell r="D26" t="str">
            <v xml:space="preserve">T-A/501, Spaze I-tech Park, </v>
          </cell>
          <cell r="E26" t="str">
            <v>Sohna Road 1</v>
          </cell>
          <cell r="F26" t="str">
            <v>Friday</v>
          </cell>
          <cell r="G26" t="str">
            <v>9 AM - 12 PM</v>
          </cell>
          <cell r="H26">
            <v>1950</v>
          </cell>
          <cell r="I26">
            <v>487.5</v>
          </cell>
          <cell r="J26" t="str">
            <v>Joy</v>
          </cell>
          <cell r="K26" t="str">
            <v>Skip 1 week (04/01) Skip 1 week (25/06) Send tom (26/06) Tday returned (15/08) Hold tom (05/09) Today hold n skip 1 week (26/09) Skip tom (19/03) Upgrade to Joy and four plus 1 Pack (12/04) Hold today (01/05)</v>
          </cell>
          <cell r="N26" t="str">
            <v>3  del of this cycle   -  0-cycles pmnt   Completed - Collect 0</v>
          </cell>
          <cell r="O26" t="str">
            <v>Shd Pur n O Car 22     FF Sachet + Grass</v>
          </cell>
          <cell r="P26" t="str">
            <v>Mix Alstroemeria ( 14 inch ) 22     FF Sachet + Grass</v>
          </cell>
          <cell r="Q26" t="str">
            <v>P n Y Spray Daisy ( 15 inch ) 7     FF Sachet + Grass</v>
          </cell>
          <cell r="R26" t="str">
            <v>P n W Glad ( 14 Inch ) 22     Grass</v>
          </cell>
          <cell r="S26" t="str">
            <v>Mix Alstroemeria ( 12 Inch ) 22     FF Sachet + Grass</v>
          </cell>
          <cell r="T26" t="str">
            <v>Pur n P Eustoma ( 14 Inch ) 4     FF Sachet + Grass</v>
          </cell>
        </row>
        <row r="27">
          <cell r="A27">
            <v>1433</v>
          </cell>
          <cell r="B27" t="str">
            <v>Navritu Kaushal Rai-- After 5:30 PM</v>
          </cell>
          <cell r="C27">
            <v>9818603355</v>
          </cell>
          <cell r="D27" t="str">
            <v>H. No. 3403, 1st Floor, Sec 23</v>
          </cell>
          <cell r="E27" t="str">
            <v>Old Gurgaon</v>
          </cell>
          <cell r="F27" t="str">
            <v>Friday</v>
          </cell>
          <cell r="G27" t="str">
            <v>4 PM to 7PM</v>
          </cell>
          <cell r="H27">
            <v>999</v>
          </cell>
          <cell r="I27">
            <v>249.75</v>
          </cell>
          <cell r="J27" t="str">
            <v>Delight</v>
          </cell>
          <cell r="K27" t="str">
            <v>Friday and Monday//Monday and Thursday// NO WHITE FLOWERS OTHER THAN RAJNI(10/04) BOP//Glad ( No White)// Orchid//Spray Daisy//Carnations//Rajni-- No white flower other than Rajni(26/07) This cycle-- BOP/Spray Daisy/Car/Glad/Rose(29/08) Hold today (28/10) NO ROSE-- NO WHITE COLOR(03/12) NO ROSE n GERBERA ---- And send 3 stems extra in next delivery (30/12) Now Delight (15/02) Do Not count last Del (17/04) Send tom ()6/02) Send Replacement tom (18/04)</v>
          </cell>
          <cell r="L27" t="str">
            <v>Lily</v>
          </cell>
          <cell r="M27" t="str">
            <v>No White</v>
          </cell>
          <cell r="N27" t="str">
            <v>2  del of this cycle   -  0-cycles pmnt   Completed - Collect 0</v>
          </cell>
          <cell r="O27" t="str">
            <v>Alstomeria 9     Grass</v>
          </cell>
          <cell r="P27" t="str">
            <v>R n W Car ( 14 inch ) 9     FF Sachet + Grass</v>
          </cell>
          <cell r="Q27" t="str">
            <v>Sunflower ( 15 inch ) 2     Grass</v>
          </cell>
          <cell r="R27" t="str">
            <v>P n W Glad ( 14 Inch ) 9     Grass</v>
          </cell>
          <cell r="S27" t="str">
            <v>P Spray Daisy ( 14 Inch ) 3     FF Sachet + Grass</v>
          </cell>
          <cell r="T27" t="str">
            <v>Pur n P Car ( 14 Inch ) 9     FF Sachet + Grass</v>
          </cell>
        </row>
        <row r="28">
          <cell r="A28">
            <v>2123</v>
          </cell>
          <cell r="B28" t="str">
            <v>Meenu Singh</v>
          </cell>
          <cell r="C28">
            <v>9999982765</v>
          </cell>
          <cell r="D28" t="str">
            <v xml:space="preserve">FLAT NO 16 A, TOWER 2, FAIRWAY EAST, M3M GOLF ESTATE
</v>
          </cell>
          <cell r="E28" t="str">
            <v>Badshahpur</v>
          </cell>
          <cell r="F28" t="str">
            <v>Friday</v>
          </cell>
          <cell r="G28" t="str">
            <v>9 AM - 12 PM</v>
          </cell>
          <cell r="H28">
            <v>3750</v>
          </cell>
          <cell r="I28">
            <v>937.5</v>
          </cell>
          <cell r="J28" t="str">
            <v>Savor</v>
          </cell>
          <cell r="K28" t="str">
            <v>Mix of 1 Less Flower with more number of flowers (01/07)  NO RAJNI (03/09) Skip 3 Weeks (08/04) Skip 2 week (10/06) Returned today (13/09) Sent Replacement today (07.10) Hold today (20/12) Returned today n hold till 6th Jan (27/12) Hold due to non payment (10/10) Skip 2 weeks (14/10) Skip 1 week (13/11) Hold due to non payment (26/12) Hold due to non payment (09/01) Hold due to non payment (16/01) Hold due to non payment (23/01) Hold due to non payment (06/02) Hold due to non payment (13/02)</v>
          </cell>
          <cell r="M28" t="str">
            <v>Diff Flowers n Combination</v>
          </cell>
          <cell r="N28" t="str">
            <v>4  del of this cycle   -  0-cycles pmnt   Completed - Collect 0</v>
          </cell>
          <cell r="O28" t="str">
            <v>Sunflower ( 15 inch) 5 P n W Glad 21   Grass</v>
          </cell>
          <cell r="P28" t="str">
            <v>BOP 3 Mix Alstroemeria ( 14 inch ) 21   FF Sachet + Grass</v>
          </cell>
          <cell r="Q28" t="str">
            <v>P Asiatic ( 15 inch ) 4 P n W Car ( 14 inch ) 21   FF Sachet + Grass</v>
          </cell>
          <cell r="R28" t="str">
            <v>P n W Spray Daisy ( 15 Inch ) 5 P n W Glad ( 14 Inch ) 21   2 Gypsola + FF Sachet</v>
          </cell>
          <cell r="S28" t="str">
            <v>Sunflower ( 12 Inch ) 5 Mix Alstroemeria ( 12 Inch ) 20   2 Limonium + FF Sachet</v>
          </cell>
          <cell r="T28" t="str">
            <v>Pur n P Eustoma ( 14 Inch ) 4 Pur n P Car ( 14 Inch ) 16   2 Gypsola + FF Sachet</v>
          </cell>
        </row>
        <row r="29">
          <cell r="A29">
            <v>2589</v>
          </cell>
          <cell r="B29" t="str">
            <v>Sonia Nayar -- Palm Vihar</v>
          </cell>
          <cell r="C29">
            <v>9711199830</v>
          </cell>
          <cell r="D29" t="str">
            <v>J-1206A, palam Vihar</v>
          </cell>
          <cell r="E29" t="str">
            <v>Old Gurgaon</v>
          </cell>
          <cell r="F29" t="str">
            <v>Friday</v>
          </cell>
          <cell r="G29" t="str">
            <v>4 PM to 7 PM</v>
          </cell>
          <cell r="H29">
            <v>999</v>
          </cell>
          <cell r="I29">
            <v>249.75</v>
          </cell>
          <cell r="J29" t="str">
            <v>Delight</v>
          </cell>
          <cell r="K29" t="str">
            <v>Hold n start from Jan (19/12)</v>
          </cell>
          <cell r="N29" t="str">
            <v>4  del of this cycle   -  0-cycles pmnt   Completed - Collect 0</v>
          </cell>
          <cell r="O29" t="str">
            <v>Alstomeria 9     Grass</v>
          </cell>
          <cell r="P29" t="str">
            <v>P n W Glad ( 14 inch ) 9     Grass</v>
          </cell>
          <cell r="Q29" t="str">
            <v>Y Spray Daisy ( 15 inch ) 3 R n W Car( 14 inch ) 9   FF Sachet + Grass</v>
          </cell>
          <cell r="R29" t="str">
            <v>Mix Alstroemeria ( 12 Inch ) 9     FF Sachet + Grass</v>
          </cell>
          <cell r="S29" t="str">
            <v>R n W Car ( 14 Inch ) 9     FF Sachet + Grass</v>
          </cell>
          <cell r="T29" t="str">
            <v>W Asiatic ( 14 inch ) 2     Grass</v>
          </cell>
        </row>
        <row r="30">
          <cell r="A30">
            <v>48</v>
          </cell>
          <cell r="B30" t="str">
            <v>Ms. Namrata Agarwal</v>
          </cell>
          <cell r="C30">
            <v>9873660272</v>
          </cell>
          <cell r="D30" t="str">
            <v>18/1101,Orchid Petals, Sohna Road</v>
          </cell>
          <cell r="E30" t="str">
            <v>Sohna Road 1</v>
          </cell>
          <cell r="F30" t="str">
            <v>Friday</v>
          </cell>
          <cell r="G30" t="str">
            <v>9 AM - 12 PM</v>
          </cell>
          <cell r="H30">
            <v>1950</v>
          </cell>
          <cell r="I30">
            <v>487.5</v>
          </cell>
          <cell r="J30" t="str">
            <v>Joy</v>
          </cell>
          <cell r="K30" t="str">
            <v>More Lilies n Orchids (20/05), NO ORCHID(12/10)  NO HELICONIA and send vase Next for 200(01/02) Send 1 vase for 200 tom(05/02)NO BOP(13/03) Paytm from Vipul Agarwal (09/06) Skip 3 weeks after current cycle (10/06) Paytm from Vipul Agarwal (14/07) Do not count last del (09/09) Skip 2 week (29/05) Today Returned (20/06) Hold due to non payment (16/01) Hold due to non payment (23/01) HDTNP (27/02) HDTNP (06/03) HDTNP (13/03) Skip 3 week (19/04)</v>
          </cell>
          <cell r="N30" t="str">
            <v>4  del of this cycle   -  0-cycles pmnt   Completed - Collect 0</v>
          </cell>
          <cell r="O30" t="e">
            <v>#N/A</v>
          </cell>
          <cell r="P30" t="str">
            <v>P n Y Spray Daisy ( 15 inch ) 7     FF Sachet + Grass</v>
          </cell>
          <cell r="Q30" t="str">
            <v>P n W Car ( 14 inch ) 22     FF Sachet + Grass</v>
          </cell>
          <cell r="R30" t="str">
            <v>O Asiatic ( 15 Inch ) 4     Grass</v>
          </cell>
          <cell r="S30" t="str">
            <v>P n W Glad ( 14 Inch ) 22     Grass</v>
          </cell>
          <cell r="T30" t="str">
            <v>Mix Alstroemeria ( 12 Inch ) 22     FF Sachet + Grass</v>
          </cell>
        </row>
        <row r="31">
          <cell r="A31">
            <v>3050</v>
          </cell>
          <cell r="B31" t="str">
            <v>Unnati Jain</v>
          </cell>
          <cell r="C31">
            <v>8999727355</v>
          </cell>
          <cell r="D31" t="str">
            <v>T-16/1003, Orchid Petals</v>
          </cell>
          <cell r="E31" t="str">
            <v>Sohna Road 1</v>
          </cell>
          <cell r="F31" t="str">
            <v>Monday</v>
          </cell>
          <cell r="G31" t="str">
            <v>9 AM - 12 PM</v>
          </cell>
          <cell r="H31">
            <v>1600</v>
          </cell>
          <cell r="I31">
            <v>200</v>
          </cell>
          <cell r="J31" t="str">
            <v>Bloom</v>
          </cell>
          <cell r="K31" t="str">
            <v>Hold n start From 7th Nov (16/10) Skip 1 week (13/11) Today retirned and skip next week also (28/11) Check in Feb to restart (20/12) Skip 1 week (31/05)</v>
          </cell>
          <cell r="N31" t="str">
            <v>2  del of this cycle   -  1-cycles pmnt   Pending - Collect 1600</v>
          </cell>
          <cell r="O31" t="str">
            <v>Sunflower ( 15 inch) 2     Grass</v>
          </cell>
          <cell r="P31" t="str">
            <v>P Spray Daisy ( 15 inch ) 2     FF Sachet + Grass</v>
          </cell>
          <cell r="Q31" t="str">
            <v>Mix Car 7     Grass</v>
          </cell>
          <cell r="R31" t="str">
            <v>Sunflower ( 14 Inch ) 2     FF Sachet + Grass</v>
          </cell>
          <cell r="S31" t="e">
            <v>#N/A</v>
          </cell>
          <cell r="T31" t="str">
            <v>B Daisy ( 12 Inch ) 7     Grass</v>
          </cell>
        </row>
        <row r="32">
          <cell r="A32">
            <v>3062</v>
          </cell>
          <cell r="B32" t="str">
            <v>Shilpa Ravikumar</v>
          </cell>
          <cell r="C32">
            <v>9400305164</v>
          </cell>
          <cell r="D32" t="str">
            <v>A-902, Palm Premier, Emaar Palm Hills, OPP Hyatt Regency, Sec 77</v>
          </cell>
          <cell r="G32" t="str">
            <v>4 Pm to 7 PM</v>
          </cell>
          <cell r="H32">
            <v>1450</v>
          </cell>
          <cell r="J32" t="str">
            <v>Bliss</v>
          </cell>
          <cell r="T32" t="str">
            <v>Mix Carnation  16     FF Sachet + Grass</v>
          </cell>
        </row>
        <row r="33">
          <cell r="A33">
            <v>87</v>
          </cell>
          <cell r="B33" t="str">
            <v>Deepak Kohli</v>
          </cell>
          <cell r="C33">
            <v>9716199110</v>
          </cell>
          <cell r="D33" t="str">
            <v>539/C, 4th Floor, H Block, Palam Vihar</v>
          </cell>
          <cell r="E33" t="str">
            <v>Old Gurgaon</v>
          </cell>
          <cell r="F33" t="str">
            <v>Friday</v>
          </cell>
          <cell r="G33" t="str">
            <v>4 PM to 7PM</v>
          </cell>
          <cell r="H33">
            <v>1450</v>
          </cell>
          <cell r="I33">
            <v>362.5</v>
          </cell>
          <cell r="J33" t="str">
            <v>Bliss</v>
          </cell>
          <cell r="K33" t="str">
            <v>Send 1 bunch Nargis From Amit n Pooja// Wish you a//Sending on 20th instaed of 21st,bcoz of Holi(18/03) Send 1 pack of FF(14/08) Time slot changed to Evening(18/09( Holy Change(16/03) Send tom (06/02)</v>
          </cell>
          <cell r="N33" t="str">
            <v>2  del of this cycle   -  0-cycles pmnt   In Process - Collect 0</v>
          </cell>
          <cell r="O33" t="str">
            <v>Alstomeria 16     Grass</v>
          </cell>
          <cell r="P33" t="str">
            <v>P n W Glad ( 14 inch ) 16     Grass</v>
          </cell>
          <cell r="Q33" t="str">
            <v>R n W Car ( 14 inch ) 16     FF Sachet + Grass</v>
          </cell>
          <cell r="R33" t="str">
            <v>O Asiatic ( 15 Inch ) 3     Grass</v>
          </cell>
          <cell r="S33" t="str">
            <v>Pur n P Eustoma ( 14 Inch ) 3     FF Sachet + Grass</v>
          </cell>
          <cell r="T33" t="str">
            <v>P n Y Spray Daisy ( 14 Inch ) 5     FF Sachet + Grass</v>
          </cell>
        </row>
        <row r="34">
          <cell r="A34">
            <v>1914</v>
          </cell>
          <cell r="B34" t="str">
            <v>Neelam Ahuja</v>
          </cell>
          <cell r="C34">
            <v>7011107486</v>
          </cell>
          <cell r="D34" t="str">
            <v>4002, M3m Latitude, Sec 65</v>
          </cell>
          <cell r="E34" t="str">
            <v>Badshahpur</v>
          </cell>
          <cell r="F34" t="str">
            <v>Friday</v>
          </cell>
          <cell r="G34" t="str">
            <v>9 AM - 12 PM</v>
          </cell>
          <cell r="H34">
            <v>3000</v>
          </cell>
          <cell r="I34">
            <v>375</v>
          </cell>
          <cell r="J34" t="str">
            <v>Charm</v>
          </cell>
          <cell r="K34" t="str">
            <v>Friday and Monday// Lilies/BOP/Rajni/Spray Daisy(19/04) Paytm from Joe Ahuja// Paytm from Jyoti Gandhi// Skip 1 week(14/08) Not avaible tili 3rd Oct (26/09) Gpay From Joe Ahuja (18/10) Loves BOP (04/11) Heliconia or Anthurium next (22/12) Gpay from Pradeep Chib (03/02) Skip 1 week (02/03) Skip 1 week (23/03) No Spray Daisy (15/05) No gerbera/Sptray Daisy and Car for few Deliveries (26/05) Hold till 11th July (02/07) Being birthday--send some best flowers (31/07) BOP Next (13/09) Asiatic Next (24/10) SEnd anthurium also (13/04) No Statice (21/04) Hold n start from 13th May (02/05) Hold till 6th july (30/06) Skip tom (28/07) Send 1 Del Tom (03/08) Skip Friday Del (03/09) Today Hold (15/11) Skip friday Del (10/12) Skip Monday Del (24/01) Skip this monday (16/02) Skip Friday (26/02) Skip Friday (11/03) Referal credit of Vishal Dhawan added (24/03) Hold today (12/05) Paytm From Jyoti Gandhi (18/06) Skip monday (02/08) Skip 1 week a913/12) Skip 1 week and no del till next friday  (31/12) Skip tom (22/01) Hold today (09/02) Skip 1 week (18/02) Today Returned (06/03) Skip tom (22/03) Skip tom (23/04) Hold Monday (03/05) Skip Monday (10/05)</v>
          </cell>
          <cell r="L34" t="str">
            <v>Spray Daisy n GERBERA n Statice</v>
          </cell>
          <cell r="N34" t="str">
            <v>7  del of this cycle   -  0-cycles pmnt   Completed - Collect 0</v>
          </cell>
          <cell r="O34" t="str">
            <v>R Orchid 4     FF Sachet + Grass</v>
          </cell>
          <cell r="P34" t="str">
            <v>Mix Alstroemeria ( 14 inch ) 15     FF Sachet + Grass</v>
          </cell>
          <cell r="Q34" t="str">
            <v>Sunflower ( 15 inch ) 3     Grass</v>
          </cell>
          <cell r="R34" t="str">
            <v>O Asiatic ( 15 Inch ) 3     Grass</v>
          </cell>
          <cell r="S34" t="str">
            <v>P n W Car ( 14 Inch ) 15     FF Sachet + Grass</v>
          </cell>
          <cell r="T34" t="str">
            <v>Mix Alstroemeria ( 12 Inch ) 15     FF Sachet + Grass</v>
          </cell>
        </row>
        <row r="35">
          <cell r="A35">
            <v>3369</v>
          </cell>
          <cell r="B35" t="str">
            <v>Renu Kothari</v>
          </cell>
          <cell r="C35">
            <v>9987323757</v>
          </cell>
          <cell r="D35" t="str">
            <v>4101, M3M Latitude, Sec 65</v>
          </cell>
          <cell r="E35" t="str">
            <v>Badshahpur</v>
          </cell>
          <cell r="F35" t="str">
            <v>Friday</v>
          </cell>
          <cell r="G35" t="str">
            <v>9 AM - 12 PM</v>
          </cell>
          <cell r="H35">
            <v>1450</v>
          </cell>
          <cell r="I35">
            <v>362.5</v>
          </cell>
          <cell r="J35" t="str">
            <v>Bliss</v>
          </cell>
          <cell r="N35" t="str">
            <v>4  del of this cycle   -  0-cycles pmnt   Completed - Collect 0</v>
          </cell>
          <cell r="O35" t="e">
            <v>#N/A</v>
          </cell>
          <cell r="P35" t="e">
            <v>#N/A</v>
          </cell>
          <cell r="Q35" t="str">
            <v>R n W Car ( 14 inch ) 16     FF Sachet + Grass</v>
          </cell>
          <cell r="R35" t="str">
            <v>P Asiatic ( 15 Inch ) 3     Grass</v>
          </cell>
          <cell r="S35" t="str">
            <v>P n W Glad ( 14 Inch ) 16     Grass</v>
          </cell>
          <cell r="T35" t="str">
            <v>P n Y Spray Daisy ( 14 Inch ) 5     FF Sachet + Grass</v>
          </cell>
        </row>
        <row r="36">
          <cell r="A36">
            <v>2985</v>
          </cell>
          <cell r="B36" t="str">
            <v>Leena -- Orchid Petals</v>
          </cell>
          <cell r="C36">
            <v>9810768350</v>
          </cell>
          <cell r="D36" t="str">
            <v>T-24/1103, Orchid Petals</v>
          </cell>
          <cell r="E36" t="str">
            <v>Sohna Road 1</v>
          </cell>
          <cell r="F36" t="str">
            <v>Friday</v>
          </cell>
          <cell r="G36" t="str">
            <v>9 AM - 12 PM</v>
          </cell>
          <cell r="H36">
            <v>1450</v>
          </cell>
          <cell r="I36">
            <v>362.5</v>
          </cell>
          <cell r="J36" t="str">
            <v>Bliss</v>
          </cell>
          <cell r="K36" t="str">
            <v>1st del tom and then every Friday // Upgrade to Bliss (08/01) Hold today (06/02) Skip Friday and send on Sunday this week (20/05)</v>
          </cell>
          <cell r="N36" t="str">
            <v>2  del of this cycle   -  0-cycles pmnt   Completed - Collect 0</v>
          </cell>
          <cell r="O36" t="str">
            <v>Pur Eustoma ( 14 inch )  3     FF Sachet + Grass</v>
          </cell>
          <cell r="P36" t="str">
            <v>P n W Spray Daisy ( 15 inch ) 5     FF Sachet + Grass</v>
          </cell>
          <cell r="Q36" t="e">
            <v>#N/A</v>
          </cell>
          <cell r="R36" t="str">
            <v>R n W Car ( 14 Inch ) 16     FF Sachet + Grass</v>
          </cell>
          <cell r="S36" t="str">
            <v>O Asiatic ( 14 Inch ) 3     Grass</v>
          </cell>
          <cell r="T36" t="str">
            <v>P n W Glad ( 14 Inch ) 16     Grass</v>
          </cell>
        </row>
        <row r="37">
          <cell r="A37">
            <v>953</v>
          </cell>
          <cell r="B37" t="str">
            <v>Nidhi Bansal</v>
          </cell>
          <cell r="C37">
            <v>9818647402</v>
          </cell>
          <cell r="D37" t="str">
            <v>03, Tatvam Villa's,Sector 48</v>
          </cell>
          <cell r="E37" t="str">
            <v>Sohna Road 2</v>
          </cell>
          <cell r="F37" t="str">
            <v>Friday</v>
          </cell>
          <cell r="G37" t="str">
            <v>9 AM - 12 PM</v>
          </cell>
          <cell r="H37">
            <v>2750</v>
          </cell>
          <cell r="I37">
            <v>687.5</v>
          </cell>
          <cell r="J37" t="str">
            <v>Elation</v>
          </cell>
          <cell r="K37" t="str">
            <v>Send Mix of Rajni and Spray Daisy next and send on Friday this week(10/02) Send Dahelia and rajni Next(19/02) Asiatic n Rajni next(26/02) Mix of rajni and daisy(19/03) Always send Lily and Some other flower(02/10) Lily and Rose next(12/11) Rajni this week(03/12) Rajni this week(08/12) Rajni next(07/01) Hold n start from April and Check before sending(28/02) Return-Send next week(17/06) Repeat flowers(10/08) Rajni next 15/12) Add changed (07/07) Send Replacement tom (05/07) Long stems (30/10) 2700 CASH AND 50 PAYTM (08/05)</v>
          </cell>
          <cell r="M37" t="str">
            <v>Long Stems (30/10)</v>
          </cell>
          <cell r="N37" t="str">
            <v>3  del of this cycle   -  0-cycles pmnt   Completed - Collect 0</v>
          </cell>
          <cell r="O37" t="str">
            <v>P n W Spray Daisy ( 15 inch ) 5 P n W Glad ( 15 inch ) 16   2 Gypsola + FF Sachet</v>
          </cell>
          <cell r="P37" t="str">
            <v>Sunflower ( 15 inch ) 4 Mix Alstroemeria ( 14 inch ) 15   2 Limonium</v>
          </cell>
          <cell r="Q37" t="str">
            <v>W Eustoma ( 14 inch ) 4 P n W Car ( 14 inch ) 15   2 Gypsola + FF Sachet</v>
          </cell>
          <cell r="R37" t="str">
            <v>O Asiatic ( 15 Inch ) 3 P n W Glad ( 14 Inch ) 16   2 Limonium</v>
          </cell>
          <cell r="S37" t="str">
            <v>P n Y Spray Daisy ( 14 Inch ) 5 Mix Alstroemeria ( 12 Inch ) 16   2 Gypsola + FF Sachet</v>
          </cell>
          <cell r="T37" t="str">
            <v>Sunflower ( 12 Inch ) 4 Pur n P Car ( 14 Inch ) 16   2 Limonium + FF sachet</v>
          </cell>
        </row>
        <row r="38">
          <cell r="A38">
            <v>2404</v>
          </cell>
          <cell r="B38" t="str">
            <v>Amitt Nenwani</v>
          </cell>
          <cell r="C38">
            <v>9810444444</v>
          </cell>
          <cell r="D38" t="str">
            <v>Villa 21, Z Block, Tatvam Villas</v>
          </cell>
          <cell r="E38" t="str">
            <v>Sohna Road 2</v>
          </cell>
          <cell r="F38" t="str">
            <v>Friday</v>
          </cell>
          <cell r="G38" t="str">
            <v>9 AM - 12 PM</v>
          </cell>
          <cell r="H38">
            <v>6350</v>
          </cell>
          <cell r="I38">
            <v>793.75</v>
          </cell>
          <cell r="J38" t="str">
            <v>Elegance</v>
          </cell>
          <cell r="K38" t="str">
            <v>Friday n Monday//Mixed // Skip 1 week (17/04) Skip this week (12/11) Skip this week and send on 03rd Jan (29/12) Skip tom (15/03) Skip 1 week (26/03)</v>
          </cell>
          <cell r="M38" t="str">
            <v>Mixed Flowers// Change to enchantement from next cycle (12/1)</v>
          </cell>
          <cell r="N38" t="str">
            <v>6  del of this cycle   -  0-cycles pmnt   In Process - Collect 0</v>
          </cell>
          <cell r="O38" t="str">
            <v>Y Asiatic ( 15 inch) 3 B Orchid 3 P n W Car 12 3 Areca Palm + 3 Gypsola + FF Sachet</v>
          </cell>
          <cell r="P38" t="str">
            <v>P Asiatic ( 15 inch ) 3 BOP ( 14 inch ) 3 Rajni ( 14 inch ) 10 3 Areca palm + 3 Gypsola</v>
          </cell>
          <cell r="Q38" t="str">
            <v>Y Asiatic ( 15 inch ) 3 B Orchid  4 Glad 12 3 Areca palm + 3 Limonium</v>
          </cell>
          <cell r="R38" t="str">
            <v>P Asiatic ( 15 Inch ) 3 P n Y Spray Daosy ( 15 Inch ) 4 P n W Car ( 14 Inch ) 12 3 Areca Palm + 3 Limonium</v>
          </cell>
          <cell r="S38" t="str">
            <v>W Asiatic ( 14 Inch ) 3 G Orchid  4 Rajni ( 14 Inch ) 12 Grass</v>
          </cell>
          <cell r="T38" t="str">
            <v>Y Asiatic ( 14 Inch ) 4 BOP ( 15 Inch ) 3 Pur n P Car ( 14 Inch ) 12 3 Areca palm + 3 Gypsola</v>
          </cell>
        </row>
        <row r="39">
          <cell r="A39">
            <v>2803</v>
          </cell>
          <cell r="B39" t="str">
            <v>Priyanka Dey</v>
          </cell>
          <cell r="C39">
            <v>9007706833</v>
          </cell>
          <cell r="D39" t="str">
            <v>D/1003, 10th Floor, Emaar Palm Heights, Sec 77</v>
          </cell>
          <cell r="E39" t="str">
            <v>Badshahpur</v>
          </cell>
          <cell r="F39" t="str">
            <v>Friday</v>
          </cell>
          <cell r="G39" t="str">
            <v>After 5 PM</v>
          </cell>
          <cell r="H39">
            <v>1450</v>
          </cell>
          <cell r="I39">
            <v>362.5</v>
          </cell>
          <cell r="J39" t="str">
            <v>Bliss</v>
          </cell>
          <cell r="K39" t="str">
            <v>Lily Next (28/07) Returned and hold (15/08) Four plus 1 Pack // Today returned (16/05)</v>
          </cell>
          <cell r="N39" t="str">
            <v>3  del of this cycle   -  0-cycles pmnt   Completed - Collect 0</v>
          </cell>
          <cell r="O39" t="str">
            <v>P n W Spray Daisy ( 15 inch ) 5     FF Sachet + Grass</v>
          </cell>
          <cell r="P39" t="str">
            <v>P Asiatic ( 15 inch ) 3     Grass</v>
          </cell>
          <cell r="Q39" t="str">
            <v>R n W Car ( 14 inch ) 16     FF Sachet + Grass</v>
          </cell>
          <cell r="R39" t="str">
            <v>Mix Alstroemeria ( 12 Inch ) 16     FF Sachet + Grass</v>
          </cell>
          <cell r="S39" t="str">
            <v>P n W Glad ( 14 Inch ) 16     Grass</v>
          </cell>
          <cell r="T39" t="str">
            <v>Y Asiatic ( 14 Inch ) 3     Grass</v>
          </cell>
        </row>
        <row r="40">
          <cell r="A40">
            <v>815</v>
          </cell>
          <cell r="B40" t="str">
            <v>Surath Singh</v>
          </cell>
          <cell r="C40">
            <v>9717166559</v>
          </cell>
          <cell r="D40" t="str">
            <v>B-2205, Ireo Victory Valley,Sec-67</v>
          </cell>
          <cell r="E40" t="str">
            <v>Badshahpur</v>
          </cell>
          <cell r="F40" t="str">
            <v>Friday</v>
          </cell>
          <cell r="G40" t="str">
            <v>9 AM - 12 PM</v>
          </cell>
          <cell r="H40">
            <v>2750</v>
          </cell>
          <cell r="I40">
            <v>687.5</v>
          </cell>
          <cell r="J40" t="str">
            <v>Elation</v>
          </cell>
          <cell r="K40" t="str">
            <v xml:space="preserve"> NO GERBERA n CAR(11/10)  NO GULDAWARI(23/02)  Holy Change(16/03) Return-send next week(24/06) Returnedas payment was not done (28/04) Paytm From Franky Arora // Hold today as paymenht not paid (14/07) Hold due to non payment (21/07) Hold due to non payment (01/12) Today returned (21/06) Hold (20/06) Return today (27/03) Paytm From Collectosh (29/05)</v>
          </cell>
          <cell r="N40" t="str">
            <v>1  del of this cycle   -  1-cycles pmnt   Pending - Collect 2750</v>
          </cell>
          <cell r="O40" t="str">
            <v>P n W Glad ( 15 inch) 32     2 Gypsola</v>
          </cell>
          <cell r="P40" t="str">
            <v>Mix Alstroemeria ( 14 inch ) 32     2 Limonium + FF Sachet</v>
          </cell>
          <cell r="Q40" t="str">
            <v>R n W Car ( 14 inch ) 32     2 Gypsola + FF Sachet</v>
          </cell>
          <cell r="R40" t="str">
            <v xml:space="preserve">Mix Spray Daisy 10     2 Luminium +FF </v>
          </cell>
          <cell r="S40" t="str">
            <v xml:space="preserve">P Asiatic ( 14 Inch ) 6     2 Gypsola </v>
          </cell>
          <cell r="T40" t="str">
            <v>P n W Glad ( 14 Inch ) 32     2 Limonium</v>
          </cell>
        </row>
        <row r="41">
          <cell r="A41">
            <v>2126</v>
          </cell>
          <cell r="B41" t="str">
            <v>Nidhi Sehgal</v>
          </cell>
          <cell r="C41">
            <v>9620110010</v>
          </cell>
          <cell r="D41" t="str">
            <v>D-23 Flat No 0002 Victory Valley Sec 67</v>
          </cell>
          <cell r="H41">
            <v>2750</v>
          </cell>
          <cell r="J41" t="str">
            <v>Elation</v>
          </cell>
          <cell r="T41" t="str">
            <v>O Asiatic 3 Pur n P Car ( 14 Inch ) 16   2 Limonium + FF Sachet</v>
          </cell>
        </row>
        <row r="42">
          <cell r="A42">
            <v>2927</v>
          </cell>
          <cell r="B42" t="str">
            <v>Anshita</v>
          </cell>
          <cell r="C42">
            <v>8085480356</v>
          </cell>
          <cell r="D42" t="str">
            <v>H. No. 3107, 2nd Flor, Ansal Versalia, Sec 67 A</v>
          </cell>
          <cell r="E42" t="str">
            <v>Badshahpur</v>
          </cell>
          <cell r="F42" t="str">
            <v>Friday</v>
          </cell>
          <cell r="G42" t="str">
            <v>9:30 Am to 2 PM</v>
          </cell>
          <cell r="H42">
            <v>999</v>
          </cell>
          <cell r="I42">
            <v>249.75</v>
          </cell>
          <cell r="J42" t="str">
            <v>Delight</v>
          </cell>
          <cell r="K42" t="str">
            <v>sent one del today (11/12) Skip 1 week (15/01) Skip today (20/02) Today returned (06/03) Skip 1 week (26/03) Hold for 2 week (22/04)</v>
          </cell>
          <cell r="N42" t="str">
            <v>4  del of this cycle   -  0-cycles pmnt   Completed - Collect 0</v>
          </cell>
          <cell r="O42" t="str">
            <v>P Spray Daisy ( 16 Inch) 3     FF Sachet + Grass</v>
          </cell>
          <cell r="P42" t="str">
            <v>P n W Glad ( 14 inch ) 9     Grass</v>
          </cell>
          <cell r="Q42" t="str">
            <v>Sunflower ( 15 inch ) 2     Grass</v>
          </cell>
          <cell r="R42" t="str">
            <v>Mix Alstroemeria ( 12 Inch ) 9     FF Sachet + Grass</v>
          </cell>
          <cell r="S42" t="str">
            <v>P n W Car ( 14 Inch ) 9     FF Sachet + Grass</v>
          </cell>
          <cell r="T42" t="str">
            <v>Y Asiatic ( 14 Inch ) 2     Grass</v>
          </cell>
        </row>
        <row r="43">
          <cell r="A43">
            <v>196</v>
          </cell>
          <cell r="B43" t="str">
            <v>Nipun Jain</v>
          </cell>
          <cell r="C43">
            <v>9999113554</v>
          </cell>
          <cell r="D43" t="str">
            <v>Villa-9, Tattvam Villa</v>
          </cell>
          <cell r="E43" t="str">
            <v>Sohna Road 2</v>
          </cell>
          <cell r="F43" t="str">
            <v>Friday</v>
          </cell>
          <cell r="G43" t="str">
            <v>9 AM - 12 PM</v>
          </cell>
          <cell r="H43">
            <v>3960</v>
          </cell>
          <cell r="I43">
            <v>990</v>
          </cell>
          <cell r="J43" t="str">
            <v>Customized</v>
          </cell>
          <cell r="K43" t="str">
            <v>Only Lilies(11/06)Next time 1 stick extra(08/09)Hold for 3 weeks(13/11) NO Rose(21/12) Skip 2 week(15/11) 1 Stick Extra next week (21/12) 1 Stick extra next(28/12) Hold today as payment not received(13/11) Send on Tuesday this week instead of Sunday(17/11) Received 1 more transfer of 2050 today(16/01)  Holy Change(16/03) Not sent on 8th and 15th(15/04) Add changed(29/04) Skip 2 weeks (22/12) Skip 2 weeks (20/01) 3rd Delivery put on hold as payment was not received(03/03) Today again put in hold (10/03) Add Changed-- skip n send on sunday next week (29/03) Hold due to non payment (07/04) 8 Lilies in each Delivery (05/10)  No Grens (11/10) Single color always (26/11) Skip 3 weeks (24/12) Return tiday send tom (23/06) Sent one del Today (24/08) 16 Lilies now in 2 color (27/09) Today returned - not at home (28/11) No Delivery from 24th Dec to 5th Jan (19/12) No Flowers on 15th and 22nd (03/06)</v>
          </cell>
          <cell r="N43" t="str">
            <v>4  del of this cycle   -  0-cycles pmnt   Completed - Collect 0</v>
          </cell>
          <cell r="O43" t="str">
            <v>P Asiatic ( 16 inch) 8     2 Limonium</v>
          </cell>
          <cell r="P43" t="str">
            <v>W Asiatic ( 15 inch ) 8     2 Gypsola</v>
          </cell>
          <cell r="Q43" t="str">
            <v>Y Asiatic ( 15 inch ) 8     2 Limonium</v>
          </cell>
          <cell r="R43" t="str">
            <v>O Asiatic ( 15 Inch ) 8     2 Gypsola</v>
          </cell>
          <cell r="S43" t="str">
            <v>P Asiatic ( 14 Inch ) 8     2 Limonium</v>
          </cell>
          <cell r="T43" t="str">
            <v>W Asiatic ( 14 inch ) 8     2 Gypsola</v>
          </cell>
        </row>
        <row r="44">
          <cell r="A44">
            <v>2708</v>
          </cell>
          <cell r="B44" t="str">
            <v>Monica Bakshi</v>
          </cell>
          <cell r="C44">
            <v>9730543073</v>
          </cell>
          <cell r="D44" t="str">
            <v>K-1005, Palm Drive</v>
          </cell>
          <cell r="E44" t="str">
            <v>Badshahpur</v>
          </cell>
          <cell r="F44" t="str">
            <v>Friday</v>
          </cell>
          <cell r="G44" t="str">
            <v>9 AM - 12 PM</v>
          </cell>
          <cell r="H44">
            <v>999</v>
          </cell>
          <cell r="I44">
            <v>249.75</v>
          </cell>
          <cell r="J44" t="str">
            <v>Delight</v>
          </cell>
          <cell r="K44" t="str">
            <v>No Gerbera (02/12)</v>
          </cell>
          <cell r="L44" t="str">
            <v xml:space="preserve">GERBERA </v>
          </cell>
          <cell r="N44" t="str">
            <v>1  del of this cycle   -  0-cycles pmnt   Completed - Collect 0</v>
          </cell>
          <cell r="O44" t="str">
            <v>R n W Car 9     FF Sachet + Grass</v>
          </cell>
          <cell r="P44" t="str">
            <v>Mix Alstroemeria ( 14 inch ) 9     FF Sachet + Grass</v>
          </cell>
          <cell r="Q44" t="str">
            <v>P Asiatic ( 15 inch ) 3     Grass</v>
          </cell>
          <cell r="R44" t="str">
            <v>P n W Glad ( 14 Inch ) 9     Grass</v>
          </cell>
          <cell r="S44" t="str">
            <v>Y Spray Daisy ( 14 Inch ) 3     FF Sachet + Grass</v>
          </cell>
          <cell r="T44" t="str">
            <v>Pur n P Car ( 14 Inch ) 9     FF Sachet + Grass</v>
          </cell>
        </row>
        <row r="45">
          <cell r="A45">
            <v>3280</v>
          </cell>
          <cell r="B45" t="str">
            <v>Priti Sarsaswat</v>
          </cell>
          <cell r="C45">
            <v>9717283344</v>
          </cell>
          <cell r="D45" t="str">
            <v>C-1170, 2nd Floor, Ansal Essecia, C Block, Sec 67</v>
          </cell>
          <cell r="E45" t="str">
            <v>Badshahpur</v>
          </cell>
          <cell r="F45" t="str">
            <v>Monday</v>
          </cell>
          <cell r="G45" t="str">
            <v>9 AM - 12 PM</v>
          </cell>
          <cell r="H45">
            <v>1450</v>
          </cell>
          <cell r="I45">
            <v>362.5</v>
          </cell>
          <cell r="J45" t="str">
            <v>Bliss</v>
          </cell>
          <cell r="K45" t="str">
            <v>Rose In this Cycle (03/03) Day Change to Monday and skip 2 weeks (02/04) Start From Tom (16/04) HDTNP (22/05) Today returned (29/05)(</v>
          </cell>
          <cell r="M45" t="str">
            <v>One Kind and seasonal Next (03/03)</v>
          </cell>
          <cell r="N45" t="str">
            <v>4  del of this cycle   -  0-cycles pmnt   Completed - Collect 0</v>
          </cell>
          <cell r="O45" t="str">
            <v>P n W Glad ( 15 inch) 16     Grass</v>
          </cell>
          <cell r="P45" t="str">
            <v>Bop 3   Ensure Collection Ensure Collection FF Sachet + Grass</v>
          </cell>
          <cell r="Q45" t="e">
            <v>#N/A</v>
          </cell>
          <cell r="R45" t="str">
            <v>P Asiatic ( 15 Inch ) 3     Grass</v>
          </cell>
          <cell r="S45" t="str">
            <v>P n Y Spray Daisy ( 14 Inch ) 5     FF Sachet + Grass</v>
          </cell>
          <cell r="T45" t="str">
            <v>Pur n P Car ( 14 Inch ) 16     FF Sachet + Grass</v>
          </cell>
        </row>
        <row r="46">
          <cell r="A46">
            <v>2700</v>
          </cell>
          <cell r="B46" t="str">
            <v>Rachit Bansal</v>
          </cell>
          <cell r="C46">
            <v>8828352292</v>
          </cell>
          <cell r="D46" t="str">
            <v>T-K/1501, Emaar Palm Drive</v>
          </cell>
          <cell r="E46" t="str">
            <v>Badshahpur</v>
          </cell>
          <cell r="F46" t="str">
            <v>Friday</v>
          </cell>
          <cell r="G46" t="str">
            <v>10 AM to 2:30 PM</v>
          </cell>
          <cell r="H46">
            <v>1450</v>
          </cell>
          <cell r="I46">
            <v>362.5</v>
          </cell>
          <cell r="J46" t="str">
            <v>Bliss</v>
          </cell>
          <cell r="K46" t="str">
            <v>Skip 3 weeks from 25th (16/07) Skip  a week (11/09) Skip 1 week (02/10) Today hold n send on Sunday (10/10) Skip 1 week (08/01) Todau Hold (16/01) Skip 1 week (12/02) Skip 1 week (19/03) Skip 1 week (15/04)</v>
          </cell>
          <cell r="N46" t="str">
            <v>4  del of this cycle   -  0-cycles pmnt   CompletedNO COLLECTION-we have extra money - Collect -50</v>
          </cell>
          <cell r="O46" t="e">
            <v>#N/A</v>
          </cell>
          <cell r="P46" t="e">
            <v>#N/A</v>
          </cell>
          <cell r="Q46" t="str">
            <v>R n W Car ( 14 inch ) 16     FF Sachet + Grass</v>
          </cell>
          <cell r="R46" t="str">
            <v>O Asiatic ( 15 Inch ) 3     Grass</v>
          </cell>
          <cell r="S46" t="str">
            <v>P n W Glad ( 14 Inch ) 16     Grass</v>
          </cell>
          <cell r="T46" t="str">
            <v>P n Y Spray Daisy ( 14 Inch ) 5     FF Sachet + Grass</v>
          </cell>
        </row>
        <row r="47">
          <cell r="A47">
            <v>3309</v>
          </cell>
          <cell r="B47" t="str">
            <v>Tahzeeb Mohammad</v>
          </cell>
          <cell r="C47">
            <v>9986608474</v>
          </cell>
          <cell r="D47" t="str">
            <v>Natura Tower -1, N 2105, M3M Marina, Sec 68</v>
          </cell>
          <cell r="E47" t="str">
            <v>Badshahpur</v>
          </cell>
          <cell r="F47" t="str">
            <v>Friday</v>
          </cell>
          <cell r="G47" t="str">
            <v>9 AM - 12 PM</v>
          </cell>
          <cell r="H47">
            <v>2550</v>
          </cell>
          <cell r="I47">
            <v>318.75</v>
          </cell>
          <cell r="J47" t="str">
            <v>Bi weekly Customised</v>
          </cell>
          <cell r="K47" t="str">
            <v>Gerbera // Rajni // Sunflowers // Eustoma // Orchid // Skip Monday (15/05)</v>
          </cell>
          <cell r="N47" t="str">
            <v>2  del of this cycle   -  0-cycles pmnt   Completed - Collect 0</v>
          </cell>
          <cell r="O47" t="str">
            <v>W Eustoma 2     FF Sachet + Grass</v>
          </cell>
          <cell r="P47" t="str">
            <v>B Orchid 4     FF Sachet + Grass</v>
          </cell>
          <cell r="Q47" t="str">
            <v>Rajni ( 16 inch ) 11     Grass</v>
          </cell>
          <cell r="R47" t="str">
            <v>P Eustoma ( 14 Inch ) 3     FF Sachet + Grass</v>
          </cell>
          <cell r="S47" t="str">
            <v>G Orchid 4     Grass</v>
          </cell>
          <cell r="T47" t="str">
            <v>Rajni ( 14 Inch ) 11     Grass</v>
          </cell>
        </row>
        <row r="48">
          <cell r="A48">
            <v>2259</v>
          </cell>
          <cell r="B48" t="str">
            <v>Shivani Kapoor</v>
          </cell>
          <cell r="C48">
            <v>9818659010</v>
          </cell>
          <cell r="D48" t="str">
            <v>94, Tattvam Villa</v>
          </cell>
          <cell r="E48" t="str">
            <v>Sohna Road 2</v>
          </cell>
          <cell r="F48" t="str">
            <v>Monday</v>
          </cell>
          <cell r="G48" t="str">
            <v>9 AM - 12 PM</v>
          </cell>
          <cell r="H48">
            <v>3950</v>
          </cell>
          <cell r="I48">
            <v>493.75</v>
          </cell>
          <cell r="J48" t="str">
            <v>Grace</v>
          </cell>
          <cell r="K48" t="str">
            <v>Monday n Friday// Payment from Sanjeev K (05/05) Skip 1 week (26/07) Skip 1 week (04/11) Skip this Friday (26/12) Skip 1 week (01/01/25) Skip tom (02/02) No delivery on Monday (01/03) Skip 14th n send on 17th (11/03) Now start from 7th July (24/06)</v>
          </cell>
          <cell r="M48" t="str">
            <v>No White</v>
          </cell>
          <cell r="N48" t="str">
            <v>5  del of this cycle   -  0-cycles pmnt   Completed - Collect 0</v>
          </cell>
          <cell r="O48" t="str">
            <v>Sunflower ( 15 inch) 5     Grass</v>
          </cell>
          <cell r="P48" t="str">
            <v>R n W Car ( 14 inch ) 20     FF Sachet + Grass</v>
          </cell>
          <cell r="Q48" t="str">
            <v>P n W Glad ( 16 Inch) 20     Grass</v>
          </cell>
          <cell r="R48" t="str">
            <v>P Oriental ( 15 Inch ) 3     Grass</v>
          </cell>
          <cell r="S48" t="str">
            <v>Pur n P Eustoma ( 14 Inch ) 4     FF Sachet + Grass</v>
          </cell>
          <cell r="T48" t="str">
            <v>Pur n P Car ( 14 Inch ) 20     FF Sachet + Grass</v>
          </cell>
        </row>
        <row r="49">
          <cell r="A49">
            <v>3312</v>
          </cell>
          <cell r="B49" t="str">
            <v>Pallabi Dey</v>
          </cell>
          <cell r="C49">
            <v>9953755297</v>
          </cell>
          <cell r="D49" t="str">
            <v>T-2/403, Uniworld Gardens 1</v>
          </cell>
          <cell r="E49" t="str">
            <v>Sohna Road 1</v>
          </cell>
          <cell r="F49" t="str">
            <v>Monday</v>
          </cell>
          <cell r="G49" t="str">
            <v>4 Pm to 7 PM</v>
          </cell>
          <cell r="H49">
            <v>1950</v>
          </cell>
          <cell r="I49">
            <v>487.5</v>
          </cell>
          <cell r="J49" t="str">
            <v>Joy</v>
          </cell>
          <cell r="N49" t="str">
            <v>1  del of this cycle   -  1-cycles pmnt   Pending - Collect 1950</v>
          </cell>
          <cell r="O49" t="str">
            <v>O Asiatic ( 16 inch) 4     Grass</v>
          </cell>
          <cell r="P49" t="str">
            <v>Mix Car 22     Grass</v>
          </cell>
          <cell r="Q49" t="str">
            <v>Sunflower ( 15 inch ) 5     Grass</v>
          </cell>
          <cell r="R49" t="str">
            <v>P n W Glad ( 14 Inch ) 22 Collect 1375 Carry Receipt Book Collect 1375 Carry Receipt Book Grass</v>
          </cell>
          <cell r="S49" t="str">
            <v>P n Y Spray Daisy ( 14 Inch ) 7     FF Sachet + Grass</v>
          </cell>
          <cell r="T49" t="str">
            <v>W Asiatic ( 14 inch ) 4     Grass</v>
          </cell>
        </row>
        <row r="50">
          <cell r="A50">
            <v>2976</v>
          </cell>
          <cell r="B50" t="str">
            <v>Monika Dubey</v>
          </cell>
          <cell r="C50">
            <v>6350565083</v>
          </cell>
          <cell r="D50" t="str">
            <v>H-1101, Tower-H, Mapsko Mountville, Sec 79</v>
          </cell>
          <cell r="E50" t="str">
            <v>Badshahpur</v>
          </cell>
          <cell r="F50" t="str">
            <v>Friday</v>
          </cell>
          <cell r="G50" t="str">
            <v>4 Pm to 7 PM</v>
          </cell>
          <cell r="H50">
            <v>1450</v>
          </cell>
          <cell r="I50">
            <v>362.5</v>
          </cell>
          <cell r="J50" t="str">
            <v>Bliss</v>
          </cell>
          <cell r="K50" t="str">
            <v>2 Premium and 2 Seasonal // Yesterday returned (11/10)</v>
          </cell>
          <cell r="N50" t="str">
            <v>2  del of this cycle   -  0-cycles pmnt   Completed - Collect 0</v>
          </cell>
          <cell r="O50" t="e">
            <v>#N/A</v>
          </cell>
          <cell r="P50" t="e">
            <v>#N/A</v>
          </cell>
          <cell r="Q50" t="e">
            <v>#N/A</v>
          </cell>
          <cell r="R50" t="e">
            <v>#N/A</v>
          </cell>
          <cell r="S50" t="str">
            <v>P n W Car ( 14 Inch ) 16     FF Sachet + Grass</v>
          </cell>
          <cell r="T50" t="str">
            <v>Y Asiatic ( 14 Inch ) 3     Grass</v>
          </cell>
        </row>
        <row r="51">
          <cell r="A51">
            <v>2583</v>
          </cell>
          <cell r="B51" t="str">
            <v>Bhumika Gupta</v>
          </cell>
          <cell r="C51">
            <v>9818096329</v>
          </cell>
          <cell r="D51" t="str">
            <v>H-37, 2nd Floor, Aaron Ville, Sec 48</v>
          </cell>
          <cell r="E51" t="str">
            <v>Sohna Road 1</v>
          </cell>
          <cell r="F51" t="str">
            <v>Sunday</v>
          </cell>
          <cell r="G51" t="str">
            <v>9:30 Am to 2 PM</v>
          </cell>
          <cell r="H51">
            <v>1950</v>
          </cell>
          <cell r="I51">
            <v>487.5</v>
          </cell>
          <cell r="J51" t="str">
            <v>Joy</v>
          </cell>
          <cell r="K51" t="str">
            <v>No Rose n Glad n flowers in same color // Long Stems (20/04) Gpay from Tanmay Oberoi (15/06) Skip 3 Sunday (04/08) Skip 3 weeks (4/08) Day Change to Friday (27/09) Skip 1 week (15/01) Skip Friday (26/03) Returned today (01/05)</v>
          </cell>
          <cell r="L51" t="str">
            <v>Rose n Glad</v>
          </cell>
          <cell r="M51" t="str">
            <v>Long Stems</v>
          </cell>
          <cell r="N51" t="str">
            <v>3  del of this cycle   -  0-cycles pmnt   Completed - Collect 0</v>
          </cell>
          <cell r="O51" t="str">
            <v>P Asiatic ( 16 inch) 2 P n W Glad 11   FF Sachet + Grass</v>
          </cell>
          <cell r="P51" t="str">
            <v>Sunflower ( 15 inch ) 3 Mix Alstroemeria ( 14 inch ) 11   Grass</v>
          </cell>
          <cell r="Q51" t="str">
            <v>P n Y Spray Daisy ( 15 inch ) 4 P n W Car ( 14 inch ) 11   FF Sachet + Grass</v>
          </cell>
          <cell r="R51" t="str">
            <v>O Asiatic ( 15 Inch ) 2 P n W Glad ( 14 Inch ) 11   Grass</v>
          </cell>
          <cell r="S51" t="str">
            <v>Pur Eustom ( 14 Inch ) 2 Mix Alstroemeria ( 12 Inch ) 11   FF Sachet + Grass</v>
          </cell>
          <cell r="T51" t="str">
            <v>Sunflower ( 12 Inch ) 3 Pur n P Car ( 14 Inch ) 11   FF Sachet + Grass</v>
          </cell>
        </row>
        <row r="52">
          <cell r="A52">
            <v>3178</v>
          </cell>
          <cell r="B52" t="str">
            <v>Disha Gopal</v>
          </cell>
          <cell r="C52">
            <v>8588003677</v>
          </cell>
          <cell r="D52" t="str">
            <v>T-10/4A, Central Park Resorts, Sec 48</v>
          </cell>
          <cell r="E52" t="str">
            <v>Sohna Road 2</v>
          </cell>
          <cell r="F52" t="str">
            <v>Friday</v>
          </cell>
          <cell r="G52" t="str">
            <v>4 PM to 7 PM</v>
          </cell>
          <cell r="H52">
            <v>1950</v>
          </cell>
          <cell r="I52">
            <v>487.5</v>
          </cell>
          <cell r="J52" t="str">
            <v>Joy</v>
          </cell>
          <cell r="K52" t="str">
            <v>Micxed Flowers // Hold till 8th Jan (24/12)</v>
          </cell>
          <cell r="M52" t="str">
            <v>Mixed Flowers</v>
          </cell>
          <cell r="N52" t="str">
            <v>4  del of this cycle   -  0-cycles pmnt   Completed - Collect 0</v>
          </cell>
          <cell r="O52" t="str">
            <v>Pur Eustoma ( 14 inch )  2 P n W Car 11   FF Sachet + Grass</v>
          </cell>
          <cell r="P52" t="str">
            <v>Sunflower ( 15 inch ) 3 Mix Alstroemeria ( 14 inch ) 11   Grass</v>
          </cell>
          <cell r="Q52" t="str">
            <v>P n Y Spray Daisy ( 15 inch ) 4 P n W Glad ( 14 inch ) 11   FF Sachet + Grass</v>
          </cell>
          <cell r="R52" t="str">
            <v>O Asiatic ( 15 Inch ) 2 R n W Car ( 14 Inch ) 11   Grass</v>
          </cell>
          <cell r="S52" t="str">
            <v>P Eustoma ( 14 Inch ) 2 Mix Alstroemeria ( 12 Inch ) 11   FF Sachet + Grass</v>
          </cell>
          <cell r="T52" t="str">
            <v>Sunflower ( 12 Inch ) 3 P n W Car ( 14 Inch ) 11   FF Sachet + Grass</v>
          </cell>
        </row>
        <row r="53">
          <cell r="A53">
            <v>1630</v>
          </cell>
          <cell r="B53" t="str">
            <v>Nikhil Ranganathan-- Evening Only</v>
          </cell>
          <cell r="C53">
            <v>9910184448</v>
          </cell>
          <cell r="D53" t="str">
            <v>24/7, Primrose Vatika</v>
          </cell>
          <cell r="E53" t="str">
            <v>Sohna Road 1</v>
          </cell>
          <cell r="F53" t="str">
            <v>Friday</v>
          </cell>
          <cell r="G53" t="str">
            <v>4 Pm to 7 PM</v>
          </cell>
          <cell r="H53">
            <v>1450</v>
          </cell>
          <cell r="I53">
            <v>362.5</v>
          </cell>
          <cell r="J53" t="str">
            <v>Bliss</v>
          </cell>
          <cell r="K53" t="str">
            <v>Friday n Monday// Holy Change(16/03) Orchids this week(05/06) Do Not Count last Delivery(13/08) Skip 1 week (16/10) Skip 1 week (22/12) Received one more payment of 2900 today (07/01) Hold n start from 31st Mar (12/03) Monday n Friday // Send Flower food next (24/06) Skip tom Del (12/10) Skip Friday Delivery (17/10) Change to Bliss (13/12) Skip 2 week (09/01) Skip 1 week (22/02) Skip 8th Del (01/03) In Pooja's Account (01/07) Skip 1 week (09/7) Skip 1 week (14/08) Skip 1 week (27.10) Skip 2 weeks (04/06) Skip 1 week (22/01) Skip 1 week (25/03) Send vase tom (27/04)</v>
          </cell>
          <cell r="N53" t="str">
            <v>4  del of this cycle   -  0-cycles pmnt   Completed - Collect 0</v>
          </cell>
          <cell r="O53" t="str">
            <v>R n W Car 16     FF Sachet + Grass</v>
          </cell>
          <cell r="P53" t="str">
            <v>Spray Daisy 5     Grass</v>
          </cell>
          <cell r="Q53" t="str">
            <v>Sunflower ( 15 inch ) 4     Grass</v>
          </cell>
          <cell r="R53" t="str">
            <v>O Asiatic ( 15 Inch ) 3     Grass</v>
          </cell>
          <cell r="S53" t="str">
            <v>P n W Glad ( 14 Inch ) 16     Grass</v>
          </cell>
          <cell r="T53" t="str">
            <v>P n Y Spray Daisy ( 14 Inch ) 5     FF Sachet + Grass</v>
          </cell>
        </row>
        <row r="54">
          <cell r="A54">
            <v>2385</v>
          </cell>
          <cell r="B54" t="str">
            <v>Vasanta Poddar</v>
          </cell>
          <cell r="C54">
            <v>9899170709</v>
          </cell>
          <cell r="D54" t="str">
            <v>S-64, 2nd Floor, Uppal Southend</v>
          </cell>
          <cell r="E54" t="str">
            <v>Sohna Road 1</v>
          </cell>
          <cell r="F54" t="str">
            <v>Friday</v>
          </cell>
          <cell r="G54" t="str">
            <v>9 AM - 12 PM</v>
          </cell>
          <cell r="H54">
            <v>1950</v>
          </cell>
          <cell r="I54">
            <v>487.5</v>
          </cell>
          <cell r="J54" t="str">
            <v>Joy</v>
          </cell>
          <cell r="K54" t="str">
            <v xml:space="preserve"> Skip 1 week (11/03) Skip 2 week (29/05) Sent 1 Del today (21/08) Send tom (06/02) Skip 1 week (19/02)</v>
          </cell>
          <cell r="L54" t="str">
            <v>ORCHID</v>
          </cell>
          <cell r="N54" t="str">
            <v>4  del of this cycle   -  0-cycles pmnt   Completed - Collect 0</v>
          </cell>
          <cell r="O54" t="str">
            <v>Shd Pur n O Car 22     FF Sachet + Grass</v>
          </cell>
          <cell r="P54" t="str">
            <v>P n Y Spray Daisy ( 15 inch ) 7     FF Sachet + Grass</v>
          </cell>
          <cell r="Q54" t="str">
            <v>Sunflower ( 15 inch ) 5     Grass</v>
          </cell>
          <cell r="R54" t="str">
            <v>P n W Glad ( 14 Inch ) 22     Grass</v>
          </cell>
          <cell r="S54" t="str">
            <v>W Asiatic ( 14 Inch ) 4     Grass</v>
          </cell>
          <cell r="T54" t="str">
            <v>P Asiatic ( 14 Inch ) 4     Grass</v>
          </cell>
        </row>
        <row r="55">
          <cell r="A55">
            <v>9</v>
          </cell>
          <cell r="B55" t="str">
            <v>Ms. Reema Bose Suri-- Before 10 AM</v>
          </cell>
          <cell r="C55">
            <v>9818199482</v>
          </cell>
          <cell r="D55" t="str">
            <v>B-64, Spaze privi, Sec-72, Sohna Road</v>
          </cell>
          <cell r="E55" t="str">
            <v>Badshahpur</v>
          </cell>
          <cell r="F55" t="str">
            <v>Friday</v>
          </cell>
          <cell r="G55" t="str">
            <v>9 AM - 12 PM</v>
          </cell>
          <cell r="H55">
            <v>999</v>
          </cell>
          <cell r="I55">
            <v>249.75</v>
          </cell>
          <cell r="J55" t="str">
            <v>Delight</v>
          </cell>
          <cell r="K55" t="str">
            <v>Friday and Monday//Need Before 10 am (19/05)  NO BOP(07/02) NO BOP(20/07) Skip 1 week(09/08) Hold Now (16/10) Skip 1 week (07/12) Skip 1 Week (29/12) Skip 1 week (26/01) Skip 1 week (21/03) Sent replacement today (22/04) Return-send on Sunday (28/04) Sent replacement today(03/05) 1 Stem extra in next delivery (19/05) Skip this week Delivery (24/05)  No BOP (04/07) Skip tom n start from friday (23/07) Skip tom (06/08) Dont count last delivery (07/09) Skip Monday Del (01/10) Skip 1 more week (16/10) Send Replacement tomorrow (31/10) Skip 1 week (07/11) Skip Tom (10/12) Skip Friday Del (12/12) 1150 added of bouquet and 250 deducted aswe had 250 extra (17/12) Today returned (26/12) Skip 1 week (28/12) Skip 1 week (05/01) Skip tom (15/02) Return -send tom (22/03) Skip 1 week (11/04) Skip Tom (23/05) Skip 2 weeks (09/06) Skip tom n send on sunday (31/10) Skip 1 week (28/11) Skip 1 week (11/12) Skip 1 week (05/01) Skip 1 week (26/01) Skip thsi week n send on sunday before 11 AM (11/03) Skip tom (22/05) Skip 1 week and confirm before sending next week (19/06) 25th July del skipped (02/08) Skip tom (07/08) Skip tom (14/08) Hold today (29/08) Skip 1 week (13/11) Skip tom (11/12) Hold n start from Jan (19/12) Skip tom (23/01) Skip tom (13/02)</v>
          </cell>
          <cell r="L55" t="str">
            <v>BOP</v>
          </cell>
          <cell r="M55" t="str">
            <v>Confirm before sending (19/06)</v>
          </cell>
          <cell r="N55" t="str">
            <v>2  del of this cycle   -  0-cycles pmnt   Completed - Collect 0</v>
          </cell>
          <cell r="O55" t="str">
            <v>P Spray Daisy ( 16 Inch) 3     FF Sachet + Grass</v>
          </cell>
          <cell r="P55" t="str">
            <v>Mix Alstroemeria ( 14 inch ) 9     FF Sachet + Grass</v>
          </cell>
          <cell r="Q55" t="str">
            <v>R n W Car ( 14 inch ) 9     FF Sachet + Grass</v>
          </cell>
          <cell r="R55" t="str">
            <v>P Asiatic ( 15 Inch ) 2     Grass</v>
          </cell>
          <cell r="S55" t="str">
            <v>P n W Glad ( 14 Inch ) 9     Grass</v>
          </cell>
          <cell r="T55" t="str">
            <v>Sunflower ( 12 Inch ) 2     FF Sachet + Grass</v>
          </cell>
        </row>
        <row r="56">
          <cell r="A56">
            <v>2117</v>
          </cell>
          <cell r="B56" t="str">
            <v>Inderbir</v>
          </cell>
          <cell r="C56">
            <v>9650136697</v>
          </cell>
          <cell r="D56" t="str">
            <v>1101/C2, Vatika City, Sector 49</v>
          </cell>
          <cell r="E56" t="str">
            <v>Sohna Road 1</v>
          </cell>
          <cell r="F56" t="str">
            <v>Friday</v>
          </cell>
          <cell r="G56" t="str">
            <v>4 Pm to 7 PM</v>
          </cell>
          <cell r="H56">
            <v>999</v>
          </cell>
          <cell r="I56">
            <v>249.75</v>
          </cell>
          <cell r="J56" t="str">
            <v>Delight</v>
          </cell>
          <cell r="K56" t="str">
            <v>sent replacement of Gerbera today (23/07) 300 cahs received (12/09) Skip 1 week (11/01) Hold today (21/02)</v>
          </cell>
          <cell r="N56" t="str">
            <v>4  del of this cycle   -  0-cycles pmnt   CompletedNO COLLECTION-we have extra money - Collect -282</v>
          </cell>
          <cell r="O56" t="str">
            <v>R n W Car 9     FF Sachet + Grass</v>
          </cell>
          <cell r="P56" t="str">
            <v>Sunflower ( 15 inch ) 2     Grass</v>
          </cell>
          <cell r="Q56" t="str">
            <v>P n W Glad ( 14 inch ) 9     FF Sachet + Grass</v>
          </cell>
          <cell r="R56" t="str">
            <v>O Asiatic ( 15 Inch ) 2     Grass</v>
          </cell>
          <cell r="S56" t="str">
            <v>P Spray Daisy ( 14 Inch ) 3     FF Sachet + Grass</v>
          </cell>
          <cell r="T56" t="str">
            <v>Pur n P Car ( 14 Inch ) 9     FF Sachet + Grass</v>
          </cell>
        </row>
        <row r="57">
          <cell r="A57">
            <v>163</v>
          </cell>
          <cell r="B57" t="str">
            <v>Rasmeeta Nayak</v>
          </cell>
          <cell r="C57">
            <v>8800444342</v>
          </cell>
          <cell r="D57" t="str">
            <v>H-504, Park View City - 2, Sohna Road</v>
          </cell>
          <cell r="E57" t="str">
            <v>Sohna Road 1</v>
          </cell>
          <cell r="F57" t="str">
            <v>Friday</v>
          </cell>
          <cell r="G57" t="str">
            <v>9 AM - 12 PM</v>
          </cell>
          <cell r="H57">
            <v>1950</v>
          </cell>
          <cell r="I57">
            <v>487.5</v>
          </cell>
          <cell r="J57" t="str">
            <v>Joy</v>
          </cell>
          <cell r="K57" t="str">
            <v xml:space="preserve"> NO GLAD(12/04)  NO BOP(12/12)  NO HELICONIA(24/12)  Today returned-send tom(20/05) Return today and skip 1 week(09/09) Double Del tom with Lily and Rajnigandha (20/10) Today Returned -- send on 16th (14/07) Hold n start from 22nd Sep (08/08) Skip 2 week (16/03) Send 4th Del on Wednesday not on Friday (23/10) Today Returned (21/02) Skip n send on Monday (11/03) Skip 1 week (27/03) Skip 1 week (02/07) Hold n skip 2 weeks // hold she will confirm (19/12)</v>
          </cell>
          <cell r="N57" t="str">
            <v>1  del of this cycle   -  0-cycles pmnt   Completed - Collect 0</v>
          </cell>
          <cell r="O57" t="str">
            <v>Shd Pur n O Car 22     FF Sachet + Grass</v>
          </cell>
          <cell r="P57" t="str">
            <v>Mix Alstroemeria ( 14 inch ) 22     FF Sachet + Grass</v>
          </cell>
          <cell r="Q57" t="str">
            <v>P n W Glad ( 16 Inch) 22     Grass</v>
          </cell>
          <cell r="R57" t="str">
            <v>Y Orchid  7     FF Sachet + Grass</v>
          </cell>
          <cell r="S57" t="str">
            <v>W Asiatic ( 14 Inch ) 4     Grass</v>
          </cell>
          <cell r="T57" t="str">
            <v>Pur n P Car ( 14 Inch ) 22     FF Sachet + Grass</v>
          </cell>
        </row>
        <row r="58">
          <cell r="A58">
            <v>207</v>
          </cell>
          <cell r="B58" t="str">
            <v>Ms. Monaliza</v>
          </cell>
          <cell r="C58">
            <v>9958305888</v>
          </cell>
          <cell r="D58" t="str">
            <v>C-4/703, Sovereign, Vatika City</v>
          </cell>
          <cell r="E58" t="str">
            <v>Sohna Road 1</v>
          </cell>
          <cell r="F58" t="str">
            <v>Friday</v>
          </cell>
          <cell r="G58" t="str">
            <v>4 Pm to 7 PM</v>
          </cell>
          <cell r="H58">
            <v>1450</v>
          </cell>
          <cell r="I58">
            <v>362.5</v>
          </cell>
          <cell r="J58" t="str">
            <v>Bliss</v>
          </cell>
          <cell r="K58" t="str">
            <v>Never send Rajni, Gerbera and Daisy(17/06)Rtrnd today send tomorrow(22/07)Day chenged to Monday(23/07)Don’t send between 22nd to 30th(07/10) Returnde-send next week(25/02) Preferred Flowers-- Rose + Orchid+Oriental + Heliconia(30/11) Sent 1 del today(15/10) Sent replacement today and never colorefull roses(15/02)  Holy Change(16/03) Skip 2 weeks (26/09) Skip 1 week (24/11) Send 1  Del tom (26/11) Senty replacement today (22/05) Return-send next week (30/06) No Sunflowers (03/03) Skip 1 week (21/03) Hold she is changing house (06/05) Hold today due to non payment (02/10) Hold due to non payment (09/10) Hold due to non payment (26/12) Hold due to non payment (23/01) Hold due to non payment (30/01) From Rohit Ramani (17/02) Skip tom (28/05)</v>
          </cell>
          <cell r="L58" t="str">
            <v>Sunflower</v>
          </cell>
          <cell r="N58" t="str">
            <v>3  del of this cycle   -  0-cycles pmnt   Completed - Collect 0</v>
          </cell>
          <cell r="O58" t="str">
            <v>R n W Car 16     FF Sachet + Grass</v>
          </cell>
          <cell r="P58" t="str">
            <v>Mix Alstroemeria ( 14 inch ) 16     FF Sachet + Grass</v>
          </cell>
          <cell r="Q58" t="str">
            <v>Mix Spray Daisy 5     FF Sachet + Grass</v>
          </cell>
          <cell r="R58" t="e">
            <v>#N/A</v>
          </cell>
          <cell r="S58" t="str">
            <v>P Asiatic ( 14 Inch ) 3     Grass</v>
          </cell>
          <cell r="T58" t="str">
            <v>P n W Glad ( 14 Inch ) 16     Grass</v>
          </cell>
        </row>
        <row r="59">
          <cell r="A59" t="str">
            <v>M00008</v>
          </cell>
          <cell r="B59" t="str">
            <v>Pooja Tripathi</v>
          </cell>
          <cell r="C59">
            <v>8800700522</v>
          </cell>
          <cell r="D59" t="str">
            <v>One Good Earth Trehan Luxury Floors 21 First Floor sector 70</v>
          </cell>
          <cell r="E59" t="str">
            <v>Nirvana Country</v>
          </cell>
          <cell r="F59" t="str">
            <v>Thursday</v>
          </cell>
          <cell r="G59" t="str">
            <v>9 AM - 12 PM</v>
          </cell>
          <cell r="H59">
            <v>3650</v>
          </cell>
          <cell r="I59">
            <v>912.5</v>
          </cell>
          <cell r="J59" t="str">
            <v>Mixed Bunch</v>
          </cell>
          <cell r="K59" t="str">
            <v>6 Lotus and 100 Gm Mogra</v>
          </cell>
          <cell r="N59" t="str">
            <v>2  del of this cycle   -  0-cycles pmnt   In Process - Collect 0</v>
          </cell>
          <cell r="O59" t="str">
            <v>Mix Spray Car + B Daosy + Mix Alstroemeria 15 + 10 + 15     Grass</v>
          </cell>
          <cell r="P59" t="str">
            <v>Mix Alstroemeria ( 14 inch ) 15 P n W Glad ( 14 inch ) 15 R n W Car ( 14 inch ) 15 Grass</v>
          </cell>
          <cell r="Q59" t="str">
            <v>Sunflower ( 15 inch ) 4 Rajni 15 P n W Car ( 15 inch ) 15 FF Sachet + Grass</v>
          </cell>
          <cell r="R59" t="str">
            <v>Mix Oriental  4 Mix Alstroemeria ( 12 Inch )  20 Shd Pur n P Car 15 2 Gypsola</v>
          </cell>
          <cell r="S59" t="e">
            <v>#N/A</v>
          </cell>
          <cell r="T59" t="str">
            <v>Mix Oriental + Mix Alstroemeria + Mix Car 4 + 15 + 15     2 Gypsola + FF Sachet</v>
          </cell>
        </row>
        <row r="60">
          <cell r="A60">
            <v>2775</v>
          </cell>
          <cell r="B60" t="str">
            <v>Sreeparna Ghosh</v>
          </cell>
          <cell r="C60">
            <v>9711590494</v>
          </cell>
          <cell r="D60" t="str">
            <v>H-701, Mapsko Mountville, Sec 79</v>
          </cell>
          <cell r="E60" t="str">
            <v>Badshahpur</v>
          </cell>
          <cell r="F60" t="str">
            <v>Friday</v>
          </cell>
          <cell r="G60" t="str">
            <v>4 PM to 7PM</v>
          </cell>
          <cell r="H60">
            <v>1950</v>
          </cell>
          <cell r="I60">
            <v>487.5</v>
          </cell>
          <cell r="J60" t="str">
            <v>Bliss</v>
          </cell>
          <cell r="K60" t="str">
            <v>Send 1 W Asiatic as replacement (30/08) Skip 1 week (06/09) Returned-send next week (03/10) Send replacement of Gerbera tom (02/12) Skip 1 week (20/12) Upgarde to Joy from next cycle and mixed (20/02) Upgrade to Joy and skip 1 week (05/03)</v>
          </cell>
          <cell r="M60" t="str">
            <v>Upgarde to Joy from next cycle and mixed (20/02)</v>
          </cell>
          <cell r="N60" t="str">
            <v>2  del of this cycle   -  0-cycles pmnt   Completed - Collect 0</v>
          </cell>
          <cell r="O60" t="str">
            <v>P Eustoma ( 14 inch ) 2 P n W Gerbera ( 14 inch ) 11   FF Sachet + Grass</v>
          </cell>
          <cell r="P60" t="str">
            <v>Sunflower ( 15 inch ) 3 Mix Alstroemeria ( 14 inch ) 10 Ensure Collection Ensure Collection Grass</v>
          </cell>
          <cell r="Q60" t="str">
            <v>P n W Spray Daisy 4 P n W Car ( 14 inch ) 11   FF Sachet + Grass</v>
          </cell>
          <cell r="R60" t="str">
            <v>O Asiatic ( 15 Inch ) 2 Spray Carnation 10   Grass</v>
          </cell>
          <cell r="S60" t="str">
            <v>Pur Eustom ( 14 Inch ) 2 P n W Glad ( 14 Inch ) 11   FF Sachet + Grass</v>
          </cell>
          <cell r="T60" t="str">
            <v>Sunflower ( 12 Inch ) 3 Mix Alstroemeria ( 12 Inch ) 11   FF Sachet + Grass</v>
          </cell>
        </row>
        <row r="61">
          <cell r="A61">
            <v>3354</v>
          </cell>
          <cell r="B61" t="str">
            <v>Radha Bhatnagar</v>
          </cell>
          <cell r="C61">
            <v>9971944440</v>
          </cell>
          <cell r="D61" t="str">
            <v>D-35, 2nd Floor, Vipul World</v>
          </cell>
          <cell r="E61" t="str">
            <v>Sohna Road 2</v>
          </cell>
          <cell r="F61" t="str">
            <v>Friday</v>
          </cell>
          <cell r="G61" t="str">
            <v>9 AM - 12 PM</v>
          </cell>
          <cell r="H61">
            <v>1450</v>
          </cell>
          <cell r="I61">
            <v>362.5</v>
          </cell>
          <cell r="J61" t="str">
            <v>Bliss</v>
          </cell>
          <cell r="N61" t="str">
            <v>2  del of this cycle   -  0-cycles pmnt   Completed - Collect 0</v>
          </cell>
          <cell r="O61" t="str">
            <v>Pur n P Car  16     FF Sachet + Grass</v>
          </cell>
          <cell r="P61" t="str">
            <v>P n Y Spray Daisy ( 15 inch ) 5     FF Sachet + Grass</v>
          </cell>
          <cell r="Q61" t="str">
            <v>P n W Glad ( 16 Inch) 16     Grass</v>
          </cell>
          <cell r="R61" t="str">
            <v>O Asiatic ( 15 Inch ) 3     Grass</v>
          </cell>
          <cell r="S61" t="str">
            <v>Mix Alstroemeria ( 12 Inch ) 16     FF Sachet + Grass</v>
          </cell>
          <cell r="T61" t="str">
            <v>R n W Car ( 14 Inch ) 16     FF Sachet + Grass</v>
          </cell>
        </row>
        <row r="62">
          <cell r="A62">
            <v>95</v>
          </cell>
          <cell r="B62" t="str">
            <v>Jasjeet Kaur</v>
          </cell>
          <cell r="C62">
            <v>9971132467</v>
          </cell>
          <cell r="D62" t="str">
            <v>L-1206, Emaar Palm drive Sector 66, golf course extension road</v>
          </cell>
          <cell r="E62" t="str">
            <v>Badshahpur</v>
          </cell>
          <cell r="F62" t="str">
            <v>Friday</v>
          </cell>
          <cell r="G62" t="str">
            <v>9 AM - 12 PM</v>
          </cell>
          <cell r="H62">
            <v>999</v>
          </cell>
          <cell r="I62">
            <v>249.75</v>
          </cell>
          <cell r="J62" t="str">
            <v>Delight</v>
          </cell>
          <cell r="K62" t="str">
            <v>Rose on Next Del(01/06)Rtrnd, pls send tom FF Sold Today(20/07)orrow(21/06)Return-next week(10/11) Hold n start from 5th Jan(21/12) Replacement Tom(13/04) Return-send tom(15/06) Yesterday returned-skip 2 week(16/06) Return-skip 1 week(02/11) Return-send tom(07/12) Paytm from Sobhit(14/12) Hold n start after 15th Jan and inform before sending(28/12) 15% Discount (26/07) Paytm From Sobhit Jain (15/08) Hold due to non payment (10/10) HDTNP (29/05)</v>
          </cell>
          <cell r="N62" t="str">
            <v>4  del of this cycle   -  0-cycles pmnt   CompletedNO COLLECTION-we have extra money - Collect -1</v>
          </cell>
          <cell r="O62" t="str">
            <v>R n W Car 9     FF Sachet + Grass</v>
          </cell>
          <cell r="P62" t="str">
            <v>P Spray Daisy ( 15 inch ) 3     FF Sachet + Grass</v>
          </cell>
          <cell r="Q62" t="str">
            <v>P n W Glad ( 14 inch ) 9     Grass</v>
          </cell>
          <cell r="R62" t="str">
            <v xml:space="preserve">Collect 500 Carry Receipt Book Collect 500 Carry Receipt Book Collect 500 Carry Receipt Book </v>
          </cell>
          <cell r="S62" t="str">
            <v>O Asiatic ( 14 Inch ) 2     Grass</v>
          </cell>
          <cell r="T62" t="str">
            <v>Pur n P Car ( 14 Inch ) 9     FF Sachet + Grass</v>
          </cell>
        </row>
        <row r="63">
          <cell r="A63">
            <v>1899</v>
          </cell>
          <cell r="B63" t="str">
            <v>Hardik Shah</v>
          </cell>
          <cell r="C63">
            <v>9811227080</v>
          </cell>
          <cell r="D63" t="str">
            <v>T-5/1402, Vipul Green</v>
          </cell>
          <cell r="E63" t="str">
            <v>Sohna Road 2</v>
          </cell>
          <cell r="F63" t="str">
            <v>Friday</v>
          </cell>
          <cell r="G63" t="str">
            <v>9 AM - 12 PM</v>
          </cell>
          <cell r="H63">
            <v>4850</v>
          </cell>
          <cell r="I63">
            <v>606.25</v>
          </cell>
          <cell r="J63" t="str">
            <v>Poise</v>
          </cell>
          <cell r="K63" t="str">
            <v>Friday n Sunday (02/04) Shift to Poise after this cycle(22/05) No Poies(28/05) Skip 1 week(13/08) Today Returned(21/08) Today Returned again(26/08) Skip 2 week (18/06) Skip only next delivery (29/07) Hold today n skip 1 week (19/01) Skip 1 week (15/08) Hold for 4 weeks (27/01) Returned today (14/11) Today returned (01/05)</v>
          </cell>
          <cell r="N63" t="str">
            <v>8  del of this cycle   -  0-cycles pmnt   Completed - Collect 0</v>
          </cell>
          <cell r="O63" t="str">
            <v>BOP 6     FF Sachet + Grass</v>
          </cell>
          <cell r="P63" t="str">
            <v>Sunflower ( 15 inch ) 8     Grass</v>
          </cell>
          <cell r="Q63" t="str">
            <v>P Asiatic ( 15 inch ) 6     Grass</v>
          </cell>
          <cell r="R63" t="str">
            <v>P Oriental ( 15 Inch ) 4     Grass</v>
          </cell>
          <cell r="S63" t="str">
            <v>P n Y Spray Daisy ( 14 Inch ) 9     FF Sachet + Grass</v>
          </cell>
          <cell r="T63" t="str">
            <v>Y Asiatic ( 14 Inch ) 6     Grass</v>
          </cell>
        </row>
        <row r="64">
          <cell r="A64">
            <v>1147</v>
          </cell>
          <cell r="B64" t="str">
            <v xml:space="preserve">Reena </v>
          </cell>
          <cell r="C64">
            <v>9811157690</v>
          </cell>
          <cell r="D64" t="str">
            <v>31/1, Ixia, Vatika City</v>
          </cell>
          <cell r="E64" t="str">
            <v>Sohna Road 1</v>
          </cell>
          <cell r="F64" t="str">
            <v>Tuesday</v>
          </cell>
          <cell r="G64" t="str">
            <v>9 AM to 2 PM</v>
          </cell>
          <cell r="H64">
            <v>1600</v>
          </cell>
          <cell r="I64">
            <v>200</v>
          </cell>
          <cell r="J64" t="str">
            <v>Bloom</v>
          </cell>
          <cell r="K64" t="str">
            <v>Tuesday and Friday//NO Rose/Rajni and ORCHID(30/10) Pink car Next(08/11) No Rose/No Rajni/No Orchids(30/11  NO RAJNI n HELICONIA (30/12) Star From Sunday (24/08) Skip coming Friday (07/12) Skip 1 week (18/01) Shift tom del to Sunday (20/06) Skip Friday Del (15/08) Today Returned(03/09) Skip 27th Del (22/12) Skip tom (30/01) Today Returned-send again (04/04) Hold n start from 15th (07/04) Skip friday (26/06) Skip 1 week (07/08) Skip tom del (11/09) Skip 1 week (01/11) Skip tom (30/04)</v>
          </cell>
          <cell r="L64" t="str">
            <v>RAJNI n HELICONIA</v>
          </cell>
          <cell r="N64" t="str">
            <v>2  del of this cycle   -  0-cycles pmnt   Completed - Collect 0</v>
          </cell>
          <cell r="O64" t="str">
            <v>Sunflower ( 15 inch) 2     Grass</v>
          </cell>
          <cell r="P64" t="str">
            <v>P Spray Daisy ( 15 inch ) 2     FF Sachet + Grass</v>
          </cell>
          <cell r="Q64" t="str">
            <v>P n W Car ( 14 inch ) 7     FF Sachet + Grass</v>
          </cell>
          <cell r="R64" t="str">
            <v>Mix Alstroemeria ( 12 Inch ) 7     FF Sachet + Grass</v>
          </cell>
          <cell r="S64" t="str">
            <v>W Spray Daisy ( 14 Inch ) 2     FF Sachet + Grass</v>
          </cell>
          <cell r="T64" t="str">
            <v>Pink White Car ( 12 Inch ) 7     Grass</v>
          </cell>
        </row>
        <row r="65">
          <cell r="A65">
            <v>3047</v>
          </cell>
          <cell r="B65" t="str">
            <v>Meenal</v>
          </cell>
          <cell r="C65">
            <v>9811222881</v>
          </cell>
          <cell r="D65" t="str">
            <v>168, Deerwood</v>
          </cell>
          <cell r="E65" t="str">
            <v>Badshahpur</v>
          </cell>
          <cell r="F65" t="str">
            <v>Friday</v>
          </cell>
          <cell r="G65" t="str">
            <v>4 PM to 7PM</v>
          </cell>
          <cell r="H65">
            <v>999</v>
          </cell>
          <cell r="I65">
            <v>249.75</v>
          </cell>
          <cell r="J65" t="str">
            <v>Delight</v>
          </cell>
          <cell r="K65" t="str">
            <v>Skip Friday and sned on Monday (07/01) HDTNP (24/04) Skip 2 week (27/05)</v>
          </cell>
          <cell r="N65" t="str">
            <v>3  del of this cycle   -  0-cycles pmnt   Completed - Collect 0</v>
          </cell>
          <cell r="O65" t="str">
            <v>R n W Car 9     FF Sachet + Grass</v>
          </cell>
          <cell r="P65" t="str">
            <v>P n W Glad ( 14 inch ) 9     Grass</v>
          </cell>
          <cell r="Q65" t="str">
            <v>Sunflower ( 15 inch ) 2     Grass</v>
          </cell>
          <cell r="R65" t="e">
            <v>#N/A</v>
          </cell>
          <cell r="S65" t="e">
            <v>#N/A</v>
          </cell>
          <cell r="T65" t="str">
            <v>P Asiatic ( 14 Inch ) 2     Grass</v>
          </cell>
        </row>
        <row r="66">
          <cell r="A66">
            <v>3307</v>
          </cell>
          <cell r="B66" t="str">
            <v>Amit Jindal</v>
          </cell>
          <cell r="C66">
            <v>8860400001</v>
          </cell>
          <cell r="D66" t="str">
            <v>T-5/1401, Vipul Greens</v>
          </cell>
          <cell r="E66" t="str">
            <v>Sohna Road 2</v>
          </cell>
          <cell r="F66" t="str">
            <v>Friday</v>
          </cell>
          <cell r="G66" t="str">
            <v>9:30 AM to 2 PM</v>
          </cell>
          <cell r="H66">
            <v>2626</v>
          </cell>
          <cell r="I66">
            <v>656.5</v>
          </cell>
          <cell r="J66" t="str">
            <v>Customized</v>
          </cell>
          <cell r="K66" t="str">
            <v>3 Oriental every week</v>
          </cell>
          <cell r="N66" t="str">
            <v>2  del of this cycle   -  0-cycles pmnt   Completed - Collect 0</v>
          </cell>
          <cell r="O66" t="str">
            <v>W Oriental 3     1 Limonium</v>
          </cell>
          <cell r="P66" t="str">
            <v>P Oriental ( 18 inch ) 3     1 Gypsola</v>
          </cell>
          <cell r="Q66" t="str">
            <v>W Oriental ( 16 Inch ) 3     1 Limonium + FF aschet</v>
          </cell>
          <cell r="R66" t="str">
            <v>P Oriental ( 15 Inch ) 3     1 gypsola</v>
          </cell>
          <cell r="S66" t="str">
            <v>P Oriental ( 16 Inch ) 3     1 Limonium</v>
          </cell>
          <cell r="T66" t="str">
            <v>W Oriental ( 15 Inch ) 3     1 Gypsola</v>
          </cell>
        </row>
        <row r="67">
          <cell r="A67">
            <v>2427</v>
          </cell>
          <cell r="B67" t="str">
            <v>Amrita Jain</v>
          </cell>
          <cell r="C67">
            <v>9560706242</v>
          </cell>
          <cell r="D67" t="str">
            <v>Flat 72, Emilia C2, Gardenia Street</v>
          </cell>
          <cell r="E67" t="str">
            <v>Sohna Road 1</v>
          </cell>
          <cell r="F67" t="str">
            <v>Friday</v>
          </cell>
          <cell r="G67" t="str">
            <v>9 AM - 12 PM</v>
          </cell>
          <cell r="H67">
            <v>1450</v>
          </cell>
          <cell r="I67">
            <v>362.5</v>
          </cell>
          <cell r="J67" t="str">
            <v>Bliss</v>
          </cell>
          <cell r="K67" t="str">
            <v>Referred By Mohar Ray Dahiya // Replacement tom (23/03) No Rose n Orchid (14/04) Send replacement tom of Car (29/07) Payment from Amrita  Das Gupta (20/09) Today Returned (24/10) Do not count last fdel (29/10) Hold due to non payment (26/12) Skip due to non payment (01/01/26) Send one del tom (04/01) HDTNP (27/02)</v>
          </cell>
          <cell r="L67" t="str">
            <v>Rose n Orchid</v>
          </cell>
          <cell r="N67" t="str">
            <v>4  del of this cycle   -  0-cycles pmnt   Completed - Collect 0</v>
          </cell>
          <cell r="O67" t="str">
            <v>P Spray Daisy ( 16 Inch) 3 Alstromia 7   FF Sachet + Grass</v>
          </cell>
          <cell r="P67" t="str">
            <v>Y Asiatic ( 15 inch ) 2 P n W Glad ( 14 inch ) 7   Grass</v>
          </cell>
          <cell r="Q67" t="str">
            <v>Sunflower ( 15 inch ) 2 B Daisy ( 12 inch ) 7   Grass</v>
          </cell>
          <cell r="R67" t="str">
            <v>Pur Eustoma 2 P n W Car ( 14 Inch ) 7   FF Sachet + Grass</v>
          </cell>
          <cell r="S67" t="str">
            <v>Y Spray Daisy ( 14 Inch ) 3 P n W Glad ( 14 Inch ) 7   FF Sachet + Grass</v>
          </cell>
          <cell r="T67" t="str">
            <v>P Asiatic ( 14 Inch ) 2 Mix Alstroemeria ( 12 Inch ) 7   Grass</v>
          </cell>
        </row>
        <row r="68">
          <cell r="A68">
            <v>3139</v>
          </cell>
          <cell r="B68" t="str">
            <v>Ishita Chopra</v>
          </cell>
          <cell r="C68">
            <v>9810247803</v>
          </cell>
          <cell r="D68" t="str">
            <v>B-69, Ground Floor, Soutthend Floor, Sec 49</v>
          </cell>
          <cell r="E68" t="str">
            <v>Sohna Road 1</v>
          </cell>
          <cell r="F68" t="str">
            <v>Friday</v>
          </cell>
          <cell r="G68" t="str">
            <v>4 Pm to 7 PM</v>
          </cell>
          <cell r="H68">
            <v>1450</v>
          </cell>
          <cell r="I68">
            <v>362.5</v>
          </cell>
          <cell r="J68" t="str">
            <v>Bliss</v>
          </cell>
          <cell r="K68" t="str">
            <v>No Red Rose // Today returned due to timing missunderstaning (21/11) No Roses (06/01)</v>
          </cell>
          <cell r="L68" t="str">
            <v>Roses</v>
          </cell>
          <cell r="N68" t="str">
            <v>3  del of this cycle   -  0-cycles pmnt   Completed - Collect 0</v>
          </cell>
          <cell r="O68" t="e">
            <v>#N/A</v>
          </cell>
          <cell r="P68" t="e">
            <v>#N/A</v>
          </cell>
          <cell r="Q68" t="e">
            <v>#N/A</v>
          </cell>
          <cell r="R68" t="str">
            <v>P n W Car 16     FF Sachet + Grass</v>
          </cell>
          <cell r="S68" t="str">
            <v>O Asiatic ( 14 Inch ) 3     Grass</v>
          </cell>
          <cell r="T68" t="str">
            <v>P n W Glad ( 14 Inch ) 16     Grass</v>
          </cell>
        </row>
        <row r="69">
          <cell r="A69">
            <v>1238</v>
          </cell>
          <cell r="B69" t="str">
            <v>Meenakshi Dua-- Evening Only</v>
          </cell>
          <cell r="C69">
            <v>9560900277</v>
          </cell>
          <cell r="D69" t="str">
            <v>T-9/803, Orchid Petals</v>
          </cell>
          <cell r="E69" t="str">
            <v>Sohna Road 1</v>
          </cell>
          <cell r="F69" t="str">
            <v>Friday</v>
          </cell>
          <cell r="G69" t="str">
            <v>4 PM to 7PM</v>
          </cell>
          <cell r="H69">
            <v>1950</v>
          </cell>
          <cell r="I69">
            <v>487.5</v>
          </cell>
          <cell r="J69" t="str">
            <v>Joy</v>
          </cell>
          <cell r="K69" t="str">
            <v>Friday and Tuesday// Rajni Next (14/11) Upgrade to Elations and No Heliconia and BOP // Send Rajni and Guldawari next (26/12)(26/12) No Charm (25/02) Sprya Daisy or Guldawari Tom (03/04) Send any from Guldawari/Rajnior Lily (06/04) No Flowers till 28th (17/11) Send from Orienta/ Daisy or Rajni tom (21/12) Send Replacement tom (01/03). skip tomorrow (25/04)</v>
          </cell>
          <cell r="L69" t="str">
            <v xml:space="preserve">HELICONIA n BOP n GERBERA </v>
          </cell>
          <cell r="M69" t="str">
            <v>No Yel/Wht/Red in Glad and Guldawari</v>
          </cell>
          <cell r="N69" t="str">
            <v>4  del of this cycle   -  0-cycles pmnt   Completed - Collect 0</v>
          </cell>
          <cell r="O69" t="str">
            <v>Alstomeria 22     Grass</v>
          </cell>
          <cell r="P69" t="str">
            <v>P n W Glad ( 14 inch ) 22     Grass</v>
          </cell>
          <cell r="Q69" t="str">
            <v>P Asiatic ( 15 inch ) 4     Grass</v>
          </cell>
          <cell r="R69" t="str">
            <v>R n W Car ( 14 Inch ) 22     FF Sachet + Grass</v>
          </cell>
          <cell r="S69" t="str">
            <v>Pur n P Eustoma ( 14 Inch ) 4     FF Sachet + Grass</v>
          </cell>
          <cell r="T69" t="str">
            <v>P n Y Spray Daisy ( 14 Inch ) 7     FF Sachet + Grass</v>
          </cell>
        </row>
        <row r="70">
          <cell r="A70">
            <v>2832</v>
          </cell>
          <cell r="B70" t="str">
            <v>Anshu Mittal Roy</v>
          </cell>
          <cell r="C70" t="str">
            <v xml:space="preserve"> 97172 00986</v>
          </cell>
          <cell r="D70" t="str">
            <v xml:space="preserve"> B203 Godrej 101, Sector 79
</v>
          </cell>
          <cell r="E70" t="str">
            <v>Badshahpur</v>
          </cell>
          <cell r="F70" t="str">
            <v>Friday</v>
          </cell>
          <cell r="G70" t="str">
            <v>4 Pm to 7 PM</v>
          </cell>
          <cell r="H70">
            <v>1450</v>
          </cell>
          <cell r="I70">
            <v>362.5</v>
          </cell>
          <cell r="J70" t="str">
            <v>Bliss</v>
          </cell>
          <cell r="K70" t="str">
            <v>15 % Discount (26/07) 3 Month with 10% discount (24/08) Skip 1 week (19/12) Skip 1 week (19/02) Skip 2 week (16/05)</v>
          </cell>
          <cell r="N70" t="str">
            <v>2  del of this cycle   -  0-cycles pmnt   Completed - Collect 0</v>
          </cell>
          <cell r="O70" t="str">
            <v>Sunflower ( 15 inch) 2 B Daisy 7   Grass</v>
          </cell>
          <cell r="P70" t="str">
            <v>P Asiatic ( 15 inch ) 2 Mix Alstroemeria ( 14 inch ) 7   Grass</v>
          </cell>
          <cell r="Q70" t="e">
            <v>#N/A</v>
          </cell>
          <cell r="R70" t="e">
            <v>#N/A</v>
          </cell>
          <cell r="S70" t="str">
            <v>Y Spray Daisy ( 14 Inch ) 3 P n W Car ( 14 Inch ) 7   FF Sachet + Grass</v>
          </cell>
          <cell r="T70" t="str">
            <v>Pur Eustoma ( 12 Inch ) 2 P n W Glad ( 14 Inch ) 7   FF Sachet + Grass</v>
          </cell>
        </row>
        <row r="71">
          <cell r="A71">
            <v>359</v>
          </cell>
          <cell r="B71" t="str">
            <v>Sudipta Karnik</v>
          </cell>
          <cell r="C71">
            <v>9810266546</v>
          </cell>
          <cell r="D71" t="str">
            <v>Tower 4, Flat 6A, Bellevue, Central Park,Sector-48    Sec 48 Gurgoan  122001</v>
          </cell>
          <cell r="E71" t="str">
            <v>Sohna Road 2</v>
          </cell>
          <cell r="F71" t="str">
            <v>Friday</v>
          </cell>
          <cell r="G71" t="str">
            <v>9 AM - 12 PM</v>
          </cell>
          <cell r="H71">
            <v>1950</v>
          </cell>
          <cell r="I71">
            <v>487.5</v>
          </cell>
          <cell r="J71" t="str">
            <v>Joy</v>
          </cell>
          <cell r="K71" t="str">
            <v>Pls send diff flowers in both package(24/07)Pls send only white color flowers other that Rajni till Nov-18(19/10)NO ROSE(20/12) FLOWER FOOD(10/04) Rs.80/- received against Special Pack(13/04) Send 1 pack of spaecial pack(18/05)  ONLY ASIATIC TILL NEXT INSTR(07/06) Return-send tom(29/06) Sent 2 del today with 40 Car(16/09) Return-send tom(30/11) Change day to Friday(22/02) Hold today-sent next week(10/07/20) Today hold-send tom(04/09/20) Gerbera Next(23/09/20) Sending del Tom due to Diwali(11/11) Skip 1 week(09/07) Skip 1 week(15/09) NO HELICONIA(24/12) Holy Change(16/03) Send replacement tom (03/06)</v>
          </cell>
          <cell r="N71" t="str">
            <v>2  del of this cycle   -  1-cycles pmnt   Pending - Collect 1950</v>
          </cell>
          <cell r="O71" t="str">
            <v>P n W Glad ( 15 inch) 22     Grass</v>
          </cell>
          <cell r="P71" t="str">
            <v>R n W Car ( 14 inch ) 22     FF Sachet + Grass</v>
          </cell>
          <cell r="Q71" t="str">
            <v>Glad 22     Grass</v>
          </cell>
          <cell r="R71" t="str">
            <v>Y Orchid  7     FF Sachet + Grass</v>
          </cell>
          <cell r="S71" t="str">
            <v>O Asiatic ( 14 Inch ) 4     Grass</v>
          </cell>
          <cell r="T71" t="str">
            <v>Sunflower ( 12 Inch ) 5     FF Sachet + Grass</v>
          </cell>
        </row>
        <row r="72">
          <cell r="A72">
            <v>2798</v>
          </cell>
          <cell r="B72" t="str">
            <v>Priya Chaturvedi</v>
          </cell>
          <cell r="C72">
            <v>9999283603</v>
          </cell>
          <cell r="D72" t="str">
            <v>D-2003, Bestech Alturea, Sec 79</v>
          </cell>
          <cell r="E72" t="str">
            <v>Manesar</v>
          </cell>
          <cell r="F72" t="str">
            <v>Friday</v>
          </cell>
          <cell r="G72" t="str">
            <v>4 Pm to 7 PM</v>
          </cell>
          <cell r="H72">
            <v>1450</v>
          </cell>
          <cell r="I72">
            <v>362.5</v>
          </cell>
          <cell r="J72" t="str">
            <v>Bliss</v>
          </cell>
          <cell r="K72" t="str">
            <v>Today Returned (08/08) {ayment From Chinmananda Devgoswami (25/10) Four Plus 1 Pack (15/04) Skip 1 week (07/05)</v>
          </cell>
          <cell r="N72" t="str">
            <v>3  del of this cycle   -  0-cycles pmnt   Completed - Collect 0</v>
          </cell>
          <cell r="O72" t="e">
            <v>#N/A</v>
          </cell>
          <cell r="P72" t="str">
            <v>P n Y Spray Daisy ( 15 inch ) 5     FF Sachet + Grass</v>
          </cell>
          <cell r="Q72" t="str">
            <v>R n W Car ( 14 inch ) 16     FF Sachet + Grass</v>
          </cell>
          <cell r="R72" t="e">
            <v>#N/A</v>
          </cell>
          <cell r="S72" t="str">
            <v>O Asiatic ( 14 Inch ) 3     Grass</v>
          </cell>
          <cell r="T72" t="str">
            <v>P n W Glad ( 14 Inch ) 16     Grass</v>
          </cell>
        </row>
        <row r="73">
          <cell r="A73">
            <v>3257</v>
          </cell>
          <cell r="B73" t="str">
            <v>Dr. Pallavee</v>
          </cell>
          <cell r="C73">
            <v>9990359025</v>
          </cell>
          <cell r="D73" t="str">
            <v>T-6/603, Orchid Petals</v>
          </cell>
          <cell r="E73" t="str">
            <v>Sohna Road 1</v>
          </cell>
          <cell r="F73" t="str">
            <v>Friday</v>
          </cell>
          <cell r="G73" t="str">
            <v>4 Pm to 7 PM</v>
          </cell>
          <cell r="H73">
            <v>999</v>
          </cell>
          <cell r="I73">
            <v>249.75</v>
          </cell>
          <cell r="J73" t="str">
            <v>Delight</v>
          </cell>
          <cell r="K73" t="str">
            <v>From Pallavee Rajboganshi // Hold n start after 20th (03/05) Alstroemeria Next (06/06)</v>
          </cell>
          <cell r="M73" t="str">
            <v>Alstroemeria next (06/06)</v>
          </cell>
          <cell r="N73" t="str">
            <v>4  del of this cycle   -  0-cycles pmnt   CompletedNO COLLECTION-we have extra money - Collect -4</v>
          </cell>
          <cell r="O73" t="e">
            <v>#N/A</v>
          </cell>
          <cell r="P73" t="e">
            <v>#N/A</v>
          </cell>
          <cell r="Q73" t="str">
            <v>R n W Car ( 14 inch ) 9     FF Sachet + Grass</v>
          </cell>
          <cell r="R73" t="str">
            <v>O Asiatic ( 15 Inch ) 2     Grass</v>
          </cell>
          <cell r="S73" t="str">
            <v>P n W Glad ( 14 Inch ) 9     Grass</v>
          </cell>
          <cell r="T73" t="str">
            <v>Mix Alstroemeria ( 12 Inch ) 9     FF Sachet + Grass</v>
          </cell>
        </row>
        <row r="74">
          <cell r="A74">
            <v>1974</v>
          </cell>
          <cell r="B74" t="str">
            <v>Suruchi Maitra</v>
          </cell>
          <cell r="C74">
            <v>9810239177</v>
          </cell>
          <cell r="D74" t="str">
            <v>D-98, Vipul World</v>
          </cell>
          <cell r="E74" t="str">
            <v>Sohna Road 2</v>
          </cell>
          <cell r="F74" t="str">
            <v>Friday</v>
          </cell>
          <cell r="G74" t="str">
            <v>9 AM - 12 PM</v>
          </cell>
          <cell r="H74">
            <v>2750</v>
          </cell>
          <cell r="I74">
            <v>687.5</v>
          </cell>
          <cell r="J74" t="str">
            <v>Elation</v>
          </cell>
          <cell r="K74" t="str">
            <v>No Spray Daisy (03/10) Now upgrade to Elation (14/10) Hold n start from 6th Jan (17/12) Hold n strat from 30th June (10/06) Hold n start from 5th Jan (30/12) Skip 1 week (06/06) Skip 1 week (22/06) Hold today and send after 29th (20'/12) Skip 2 week (21/06) Skip 2 week (18/12)</v>
          </cell>
          <cell r="N74" t="str">
            <v>2  del of this cycle   -  0-cycles pmnt   Completed - Collect 0</v>
          </cell>
          <cell r="O74" t="str">
            <v>Sunflower ( 15 inch) 7     2 Gypsola</v>
          </cell>
          <cell r="P74" t="str">
            <v>P n W Glad ( 14 inch ) 22     2 Limonium</v>
          </cell>
          <cell r="Q74" t="str">
            <v>P Asiatic ( 15 inch ) 6     2 Gypsola</v>
          </cell>
          <cell r="R74" t="str">
            <v>P n W Spray Daisy ( 15 Inch ) 10     2 Limonium + Ff Sachet</v>
          </cell>
          <cell r="S74" t="str">
            <v>Pur n P Eustoma ( 14 Inch ) 6     2 Gypsola + FF Sachet</v>
          </cell>
          <cell r="T74" t="str">
            <v>Pur n P Car ( 14 Inch ) 32     2 Limonium + FF sachet</v>
          </cell>
        </row>
        <row r="75">
          <cell r="A75">
            <v>2454</v>
          </cell>
          <cell r="B75" t="str">
            <v>Vipin</v>
          </cell>
          <cell r="C75" t="str">
            <v>9555977401 // 9654829329</v>
          </cell>
          <cell r="D75" t="str">
            <v>Villa / VB-5, Tata Primanti, Sec 72</v>
          </cell>
          <cell r="E75" t="str">
            <v>Badshahpur</v>
          </cell>
          <cell r="F75" t="str">
            <v>Friday</v>
          </cell>
          <cell r="G75" t="str">
            <v>9 AM - 12 PM</v>
          </cell>
          <cell r="H75">
            <v>1950</v>
          </cell>
          <cell r="I75">
            <v>487.5</v>
          </cell>
          <cell r="J75" t="str">
            <v>Joy</v>
          </cell>
          <cell r="K75" t="str">
            <v>Send in evening slot tom (11/03) Paytm From Hina Kapoor (06/04) Send replacement Tom (17/05) Send replacement of W Eustoma (17/05) Paytm from Tarun Kumar (15/95) Replacement tom (16/05)</v>
          </cell>
          <cell r="N75" t="str">
            <v>3  del of this cycle   -  0-cycles pmnt   Completed - Collect 0</v>
          </cell>
          <cell r="O75" t="str">
            <v>P n W Spray Daisy ( 15 inch ) 4 R n W Car 11   FF Sachet + Grass</v>
          </cell>
          <cell r="P75" t="str">
            <v>Sunflower ( 15 inch ) 3 Mix Alstroemeria ( 14 inch ) 10 Ensure Collection Ensure Collection Grass</v>
          </cell>
          <cell r="Q75" t="str">
            <v>W Eustoma ( 14 inch ) 2 P n W Glad ( 14 inch ) 11   FF Sachet + Grass</v>
          </cell>
          <cell r="R75" t="str">
            <v>O Asiatic ( 15 Inch ) 2 P n W Car ( 14 Inch ) 11   Grass</v>
          </cell>
          <cell r="S75" t="str">
            <v>P n Y Spray Daisy ( 14 Inch ) 4 Mix Alstroemeria ( 12 Inch ) 11   FF Sachet + Grass</v>
          </cell>
          <cell r="T75" t="str">
            <v>Sunflower ( 12 Inch ) 3 P n W Glad ( 14 Inch ) 11   FF Sachet + Grass</v>
          </cell>
        </row>
        <row r="76">
          <cell r="A76">
            <v>3077</v>
          </cell>
          <cell r="B76" t="str">
            <v>Shweta Katiyar</v>
          </cell>
          <cell r="C76">
            <v>9999435065</v>
          </cell>
          <cell r="D76" t="str">
            <v>G-122, DLF Primus, Sec 82 A</v>
          </cell>
          <cell r="E76" t="str">
            <v>Manesar</v>
          </cell>
          <cell r="F76" t="str">
            <v>Friday</v>
          </cell>
          <cell r="G76" t="str">
            <v>4 PM to 7 PM</v>
          </cell>
          <cell r="H76">
            <v>1950</v>
          </cell>
          <cell r="I76">
            <v>487.5</v>
          </cell>
          <cell r="J76" t="str">
            <v>Joy</v>
          </cell>
          <cell r="K76" t="str">
            <v>No Eustoma// Skip tom (31/12/25) Replacement of guldawari tom (16/01)</v>
          </cell>
          <cell r="L76" t="str">
            <v>Eustoma</v>
          </cell>
          <cell r="N76" t="str">
            <v>3  del of this cycle   -  0-cycles pmnt   Completed - Collect 0</v>
          </cell>
          <cell r="O76" t="str">
            <v>BOP 2 P n W Gerbera ( 14 inch ) 11   FF Sachet + Grass</v>
          </cell>
          <cell r="P76" t="str">
            <v>P n W Spray Daisy ( 15 inch ) 4 Mix Alstroemeria ( 14 inch ) 10   FF Sachet + Grass</v>
          </cell>
          <cell r="Q76" t="str">
            <v>Sunflower ( 15 inch ) 3 P n W Glad ( 14 inch ) 11   Grass</v>
          </cell>
          <cell r="R76" t="str">
            <v>P Asiatic ( 15 Inch ) 2 P n W Car ( 14 Inch ) 11   Grass</v>
          </cell>
          <cell r="S76" t="str">
            <v>Pur Eustom ( 14 Inch ) 2 Mix Alstroemeria ( 12 Inch ) 11   FF Sachet + Grass</v>
          </cell>
          <cell r="T76" t="str">
            <v>P n Y Spray Daisy ( 14 Inch ) 4 P n W Glad ( 14 Inch ) 11   FF Sachet + Grass</v>
          </cell>
        </row>
        <row r="77">
          <cell r="A77">
            <v>43</v>
          </cell>
          <cell r="B77" t="str">
            <v>Ms. Arpita Bhargava</v>
          </cell>
          <cell r="C77">
            <v>9953515520</v>
          </cell>
          <cell r="D77" t="str">
            <v>T-4/1701,Tata Primanty,Sector-72</v>
          </cell>
          <cell r="E77" t="str">
            <v>Sohna Road 2</v>
          </cell>
          <cell r="F77" t="str">
            <v>Friday</v>
          </cell>
          <cell r="G77" t="str">
            <v>9 AM - 12 PM</v>
          </cell>
          <cell r="H77">
            <v>999</v>
          </cell>
          <cell r="I77">
            <v>249.75</v>
          </cell>
          <cell r="J77" t="str">
            <v>Delight</v>
          </cell>
          <cell r="K77" t="str">
            <v xml:space="preserve"> NO ROSES(28/12) Prefer Glad and Daisy(11/01)  NO ORCHIDS(31/05)  MORE CHRYSANTHEMUM , GLADIOLI NO ROSE AND ORCHIDS(26/12) Return-send Tom(17/01) NO ORCHIDS OR LILIES, ONLY 15 STICKS(31/07/20)  NO GUldawari now in this season--sent replacement today(12/03)   Holy Change(16/03) Flower F Next(13/05) NO RAJNI N GERBERA(21/07) Skip 1 week (29/10) Send 1 stem extra next (23/12) NO GERBERA n ROSE (14/01) REturn today (10/03) Returnb-send next week (30/06) Today return-send next week (07/07) Skip 2 weeks (27/12) Skip 1 week (26/03) Skip 1 week (25/09) Hold send next week (03/10) Returned today (07/11) Today hold (21/11) Today returned (28/11) Skip 2 week (18/12) Replacement tom (17/04)</v>
          </cell>
          <cell r="L77" t="str">
            <v>GERBERA n ROSE</v>
          </cell>
          <cell r="N77" t="str">
            <v>2  del of this cycle   -  1-cycles pmnt   Pending - Collect 999</v>
          </cell>
          <cell r="O77" t="str">
            <v>Pur Eustoma ( 14 inch )  2     Grass</v>
          </cell>
          <cell r="P77" t="str">
            <v>P n W Glad ( 14 inch ) 9     Grass</v>
          </cell>
          <cell r="Q77" t="str">
            <v>Y Spray Daisy ( 15 inch ) 3 Sunflower ( 15 inch ) 2   FF Sachet + Grass</v>
          </cell>
          <cell r="R77" t="str">
            <v>P Asiatic ( 15 Inch ) 2     Grass</v>
          </cell>
          <cell r="S77" t="str">
            <v>P n W Car ( 14 Inch ) 9     FF Sachet + Grass</v>
          </cell>
          <cell r="T77" t="str">
            <v>Mix Alstroemeria ( 12 Inch ) 9     FF Sachet + Grass</v>
          </cell>
        </row>
        <row r="78">
          <cell r="A78">
            <v>2652</v>
          </cell>
          <cell r="B78" t="str">
            <v>Shilpi Samantray</v>
          </cell>
          <cell r="C78">
            <v>8527486150</v>
          </cell>
          <cell r="D78" t="str">
            <v>Q-294, DLF Ultima</v>
          </cell>
          <cell r="E78" t="str">
            <v>Manesar</v>
          </cell>
          <cell r="F78" t="str">
            <v>Friday</v>
          </cell>
          <cell r="G78" t="str">
            <v>4 Pm to 7 PM</v>
          </cell>
          <cell r="H78">
            <v>1450</v>
          </cell>
          <cell r="I78">
            <v>362.5</v>
          </cell>
          <cell r="J78" t="str">
            <v>Bliss</v>
          </cell>
          <cell r="K78" t="str">
            <v>Flower Food next (21/05) Do not count todays delivery (30/05) Skip 1 week (26/06) Skip 1 week (09/07) No asiatic Lilies (07/08) No glad now (25/09) Replacement tom (24/10) Skip 1 week (08/11) Skip 2 week (12/12) Skip 1 week (21/01) HDTNP (27/02) Skip 1 week (09/04) HDTNP (15/05) Next del on 5th JUne (18/05)</v>
          </cell>
          <cell r="L78" t="str">
            <v>lilies n Glad</v>
          </cell>
          <cell r="M78" t="str">
            <v>More Eustoams</v>
          </cell>
          <cell r="N78" t="str">
            <v>3  del of this cycle   -  0-cycles pmnt   Completed - Collect 0</v>
          </cell>
          <cell r="O78" t="str">
            <v>P Spray Daisy ( 16 Inch) 3 R n W Car 7   FF Sachet + Grass</v>
          </cell>
          <cell r="P78" t="e">
            <v>#N/A</v>
          </cell>
          <cell r="Q78" t="e">
            <v>#N/A</v>
          </cell>
          <cell r="R78" t="e">
            <v>#N/A</v>
          </cell>
          <cell r="S78" t="str">
            <v>O Asiatic ( 14 Inch ) 2 P n W Glad ( 14 Inch ) 7   Grass</v>
          </cell>
          <cell r="T78" t="str">
            <v>Pur Eustoma ( 12 Inch ) 2 Mix Alstroemeria ( 12 Inch ) 7   FF Sachet + Grass</v>
          </cell>
        </row>
        <row r="79">
          <cell r="A79">
            <v>2190</v>
          </cell>
          <cell r="B79" t="str">
            <v>Vismit Sharma</v>
          </cell>
          <cell r="C79">
            <v>9205393464</v>
          </cell>
          <cell r="D79" t="str">
            <v>R-164, DLF Ultima, Sec 81</v>
          </cell>
          <cell r="E79" t="str">
            <v>Manesar</v>
          </cell>
          <cell r="F79" t="str">
            <v>Friday</v>
          </cell>
          <cell r="G79" t="str">
            <v>4 Pm to 7 PM</v>
          </cell>
          <cell r="H79">
            <v>1950</v>
          </cell>
          <cell r="I79">
            <v>487.5</v>
          </cell>
          <cell r="J79" t="str">
            <v>Joy</v>
          </cell>
          <cell r="K79" t="str">
            <v>Skip 2 week (22/02) Skip 1 week (12/03) Skip 1 week (10/03) Skip 1 week (24/07) Skip 1 week (04/09) Skip 2 week (25/09) Hold n start from Jan (12/12)</v>
          </cell>
          <cell r="N79" t="str">
            <v>1  del of this cycle   -  0-cycles pmnt   Completed - Collect 0</v>
          </cell>
          <cell r="O79" t="str">
            <v>Shd Pur n O Car 22     FF Sachet + Grass</v>
          </cell>
          <cell r="P79" t="str">
            <v>Mix Alstroemeria ( 14 inch ) 22     FF Sachet + Grass</v>
          </cell>
          <cell r="Q79" t="str">
            <v>P n W Glad ( 14 inch ) 22     FF Sachet + Grass</v>
          </cell>
          <cell r="R79" t="str">
            <v>Y Orchid  7     FF Sachet + Grass</v>
          </cell>
          <cell r="S79" t="str">
            <v>P n Y Spray Daisy ( 14 Inch ) 7     FF Sachet + Grass</v>
          </cell>
          <cell r="T79" t="str">
            <v>Pur n P Car ( 14 Inch ) 22     FF Sachet + Grass</v>
          </cell>
        </row>
        <row r="80">
          <cell r="A80">
            <v>3322</v>
          </cell>
          <cell r="B80" t="str">
            <v>Bhavna Mishra</v>
          </cell>
          <cell r="C80">
            <v>9701147470</v>
          </cell>
          <cell r="D80" t="str">
            <v>Tower-A/701, Tulip Ivory, Sec 70</v>
          </cell>
          <cell r="E80" t="str">
            <v>Badshahpur</v>
          </cell>
          <cell r="F80" t="str">
            <v>Friday</v>
          </cell>
          <cell r="G80" t="str">
            <v>10 AM to 2:30 PM</v>
          </cell>
          <cell r="H80">
            <v>1450</v>
          </cell>
          <cell r="I80">
            <v>362.5</v>
          </cell>
          <cell r="J80" t="str">
            <v>Bliss</v>
          </cell>
          <cell r="K80" t="str">
            <v>Four Plus 1 Pack// No Sunflower n Alstroemeria (22/05)</v>
          </cell>
          <cell r="L80" t="str">
            <v>Sunflower n Alstroemeria (22/05)</v>
          </cell>
          <cell r="N80" t="str">
            <v>4  del of this cycle   -  0-cycles pmnt   Completed - Collect 0</v>
          </cell>
          <cell r="O80" t="str">
            <v>P n W Spray Daisy ( 15 inch ) 5     FF Sachet + Grass</v>
          </cell>
          <cell r="P80" t="str">
            <v>Mix Alstroemeria ( 14 inch ) 16     FF Sachet + Grass</v>
          </cell>
          <cell r="Q80" t="str">
            <v>R n W Car ( 14 inch ) 16     FF Sachet + Grass</v>
          </cell>
          <cell r="R80" t="str">
            <v>P Asiatic ( 15 Inch ) 3     Grass</v>
          </cell>
          <cell r="S80" t="str">
            <v>P n W Glad ( 14 Inch ) 16     Grass</v>
          </cell>
          <cell r="T80" t="str">
            <v>P n Y Spray Daisy ( 14 Inch ) 5     FF Sachet + Grass</v>
          </cell>
        </row>
        <row r="81">
          <cell r="A81">
            <v>2688</v>
          </cell>
          <cell r="B81" t="str">
            <v>Shabnam Chaudhari</v>
          </cell>
          <cell r="C81">
            <v>9810042409</v>
          </cell>
          <cell r="D81" t="str">
            <v>B-1902, Bestech Parkview Grandspa, Sec 81</v>
          </cell>
          <cell r="E81" t="str">
            <v>Manesar</v>
          </cell>
          <cell r="F81" t="str">
            <v>Friday</v>
          </cell>
          <cell r="G81" t="str">
            <v>4 PM to 7 PM</v>
          </cell>
          <cell r="H81">
            <v>999</v>
          </cell>
          <cell r="I81">
            <v>249.75</v>
          </cell>
          <cell r="J81" t="str">
            <v>Delight</v>
          </cell>
          <cell r="K81" t="str">
            <v>Only Seasonals (23/05) No Glad (06/06) No Yellow n white (15/06) 1 Stem extra (07/11) No Gerbera and do not count todays delivery (30/01) Next 2 time premium (07/03) Do not count todays delivery (27/03) 2 Stem extra next (01/05) No Gerbera and do not count last delivery (09/05) Only gerbera restricted (10/05)</v>
          </cell>
          <cell r="L81" t="str">
            <v>Gerbera</v>
          </cell>
          <cell r="M81" t="str">
            <v>Seasonal Only // 2 stem extra next (01/05)</v>
          </cell>
          <cell r="N81" t="str">
            <v>3  del of this cycle   -  0-cycles pmnt   Completed - Collect 0</v>
          </cell>
          <cell r="O81" t="str">
            <v>P n Y Gerbera ( 14 inch) 11     FF Sachet + Grass</v>
          </cell>
          <cell r="P81" t="str">
            <v>P n W Glad ( 14 inch ) 9     Grass</v>
          </cell>
          <cell r="Q81" t="str">
            <v>P n W Car ( 14 inch ) 9     FF Sachet + Grass</v>
          </cell>
          <cell r="R81" t="e">
            <v>#N/A</v>
          </cell>
          <cell r="S81" t="str">
            <v>Mix Alstroemeria ( 12 Inch ) 9     FF Sachet + Grass</v>
          </cell>
          <cell r="T81" t="str">
            <v>Rajni ( 14 Inch ) 9     Grass</v>
          </cell>
        </row>
        <row r="82">
          <cell r="A82">
            <v>2311</v>
          </cell>
          <cell r="B82" t="str">
            <v>Ranjeeta Sanghvi</v>
          </cell>
          <cell r="C82">
            <v>9986593206</v>
          </cell>
          <cell r="D82" t="str">
            <v>T-3/TH-B, Bellevue. Central Park 2</v>
          </cell>
          <cell r="E82" t="str">
            <v>Sohna Road 2</v>
          </cell>
          <cell r="F82" t="str">
            <v>Friday</v>
          </cell>
          <cell r="G82" t="str">
            <v>9 AM - 12 PM</v>
          </cell>
          <cell r="H82">
            <v>999</v>
          </cell>
          <cell r="I82">
            <v>249.75</v>
          </cell>
          <cell r="J82" t="str">
            <v>Delight</v>
          </cell>
          <cell r="N82" t="str">
            <v>4  del of this cycle   -  0-cycles pmnt   Completed - Collect 0</v>
          </cell>
          <cell r="O82" t="str">
            <v>R n W Car 9     FF Sachet + Grass</v>
          </cell>
          <cell r="P82" t="str">
            <v>Sunflower ( 15 inch ) 2     Grass</v>
          </cell>
          <cell r="Q82" t="str">
            <v>P Spray Daisy ( 15 inch ) 3 P n W Glad ( 14 inch ) 9   FF Sachet + Grass</v>
          </cell>
          <cell r="R82" t="str">
            <v>Mix Alstroemeria ( 12 Inch ) 9     FF Sachet + Grass</v>
          </cell>
          <cell r="S82" t="str">
            <v>P n W Glad ( 14 Inch ) 9     Grass</v>
          </cell>
          <cell r="T82" t="str">
            <v>Pur n P Car ( 14 Inch ) 9     FF Sachet + Grass</v>
          </cell>
        </row>
        <row r="83">
          <cell r="A83">
            <v>3290</v>
          </cell>
          <cell r="B83" t="str">
            <v>Ambika Anand</v>
          </cell>
          <cell r="C83">
            <v>8789906098</v>
          </cell>
          <cell r="D83" t="str">
            <v>T-A2/401, Tulip Orange, Sec 70</v>
          </cell>
          <cell r="E83" t="str">
            <v>Badshahpur</v>
          </cell>
          <cell r="F83" t="str">
            <v>Friday</v>
          </cell>
          <cell r="G83" t="str">
            <v>9 AM - 12 PM</v>
          </cell>
          <cell r="H83">
            <v>1450</v>
          </cell>
          <cell r="I83">
            <v>362.5</v>
          </cell>
          <cell r="J83" t="str">
            <v>Bliss</v>
          </cell>
          <cell r="N83" t="str">
            <v>1  del of this cycle   -  1-cycles pmnt   Pending - Collect 1450</v>
          </cell>
          <cell r="O83" t="str">
            <v>P n W Glad ( 15 inch) 16     Grass</v>
          </cell>
          <cell r="P83" t="str">
            <v>Asiatic 3     FF Sachet + Grass</v>
          </cell>
          <cell r="Q83" t="str">
            <v>Sunflower ( 15 inch ) 4     Grass</v>
          </cell>
          <cell r="R83" t="str">
            <v>R n W Car ( 14 Inch ) 16     FF Sachet + Grass</v>
          </cell>
          <cell r="S83" t="str">
            <v>P n Y Spray Daisy ( 14 Inch ) 5     FF Sachet + Grass</v>
          </cell>
          <cell r="T83" t="str">
            <v>P n W Glad ( 14 Inch ) 16     Grass</v>
          </cell>
        </row>
        <row r="84">
          <cell r="A84">
            <v>1389</v>
          </cell>
          <cell r="B84" t="str">
            <v>Revathi-- After 5 PM</v>
          </cell>
          <cell r="C84">
            <v>9811998878</v>
          </cell>
          <cell r="D84" t="str">
            <v>A-1201, The Emaar Palm Drive</v>
          </cell>
          <cell r="E84" t="str">
            <v>Badshahpur</v>
          </cell>
          <cell r="F84" t="str">
            <v>Friday</v>
          </cell>
          <cell r="G84" t="str">
            <v>4 PM to 7PM</v>
          </cell>
          <cell r="H84">
            <v>3850</v>
          </cell>
          <cell r="I84">
            <v>481.25</v>
          </cell>
          <cell r="J84" t="str">
            <v>Grace</v>
          </cell>
          <cell r="K84" t="str">
            <v>Friday and Tuesday// NO RAJNIGANDHA NOW ONLY LILIES//CAR AND GLAD(26/07)  NO WONLY LILIES, HELICONIA AND CAR IN YELLOW OR ORANGE ONLY(11/09)  ONLY  LILIES/GLADIOLI AND HELICONIA ONLY IN YELL AND ORANGE COLOR-- NOCARNATION(01/10) Rajni or Bop next(18/10) Send 1 FF Next(29/06) LILY n GLAD ARE PREFERRED(29/06) Now From Rose//Car//Glad//Guldawari//Asiatic//Oriental(03/08) Skip this friday(09/08) No Upgrade (17/10) Skip 1 week (114/11) Skip 1 week after tom Delivery (09/03) No Del on Froday-- sned on Tuesda (29/03) Glad Next (01/05) Hold n start after 8th June (12/05) Bop n Heliconia Next (10/02) Skip tom Del (28/03) Flower food next (14/05) Hold till 8th (29/05) No Gerbera and Orchid (28/07) One Payment received today (01/10) Skip Friday Del (27/11) Skip friday (25/12) Return not at home (20/06) Today Returned (20/06) Received one payment of 3250 today (21/07)</v>
          </cell>
          <cell r="L84" t="str">
            <v>Gerbera n ORCHID</v>
          </cell>
          <cell r="N84" t="str">
            <v>4  del of this cycle   -  0-cycles pmnt   Completed - Collect 0</v>
          </cell>
          <cell r="O84" t="str">
            <v>BOP 4     FF Sachet + Grass</v>
          </cell>
          <cell r="P84" t="str">
            <v>P n W Car ( 14 inch ) 20     FF Sachet + Grass</v>
          </cell>
          <cell r="Q84" t="str">
            <v>P n W Glad ( 16 Inch) 20     Grass</v>
          </cell>
          <cell r="R84" t="str">
            <v>Sunflower ( 14 Inch ) 5     Grass</v>
          </cell>
          <cell r="S84" t="str">
            <v>Pur n P Eustoma ( 14 Inch ) 4     FF Sachet + Grass</v>
          </cell>
          <cell r="T84" t="str">
            <v>Rajni ( 14 Inch ) 20     Grass</v>
          </cell>
        </row>
        <row r="85">
          <cell r="A85">
            <v>3013</v>
          </cell>
          <cell r="B85" t="str">
            <v>Surabhi Sukriti</v>
          </cell>
          <cell r="C85">
            <v>8652750573</v>
          </cell>
          <cell r="D85" t="str">
            <v>D-804, Bestech Park Viw Spa Next, Sec 67</v>
          </cell>
          <cell r="E85" t="str">
            <v>Badshahpur</v>
          </cell>
          <cell r="F85" t="str">
            <v>Friday</v>
          </cell>
          <cell r="G85" t="str">
            <v>4 PM to 7 PM</v>
          </cell>
          <cell r="H85">
            <v>1450</v>
          </cell>
          <cell r="I85">
            <v>362.5</v>
          </cell>
          <cell r="J85" t="str">
            <v>Bliss</v>
          </cell>
          <cell r="K85" t="str">
            <v>Skip 1 week (01/10) Add changed (05/04)</v>
          </cell>
          <cell r="N85" t="str">
            <v>3  del of this cycle   -  0-cycles pmnt   Completed - Collect 0</v>
          </cell>
          <cell r="O85" t="str">
            <v>G Button Daisy 3 Alstomeria 7   FF Sachet + Grass</v>
          </cell>
          <cell r="P85" t="str">
            <v>Eustoma 2 P n W Glad ( 14 inch ) 7   Grass</v>
          </cell>
          <cell r="Q85" t="str">
            <v>Sunflower ( 15 inch ) 2 P n W Car ( 14 inch ) 7   FF Sachet + Grass</v>
          </cell>
          <cell r="R85" t="str">
            <v>O Asiatic ( 15 Inch ) 2 Mix Alstroemeria ( 12 Inch )  7   Grass</v>
          </cell>
          <cell r="S85" t="str">
            <v>P Spray Daisy ( 14 Inch ) 3 P n W Glad ( 14 Inch ) 7   FF Sachet + Grass</v>
          </cell>
          <cell r="T85" t="str">
            <v>Pur Eustoma ( 12 Inch ) 2 Pur n P Car ( 14 Inch ) 7   FF Sachet + Grass</v>
          </cell>
        </row>
        <row r="86">
          <cell r="A86">
            <v>1996</v>
          </cell>
          <cell r="B86" t="str">
            <v>Ankita Sethi</v>
          </cell>
          <cell r="C86">
            <v>9899660037</v>
          </cell>
          <cell r="D86" t="str">
            <v>C1/202, Vatika City, Sec 49</v>
          </cell>
          <cell r="E86" t="str">
            <v>Sohna Road 1</v>
          </cell>
          <cell r="F86" t="str">
            <v>Friday</v>
          </cell>
          <cell r="G86" t="str">
            <v>9 AM - 12 PM</v>
          </cell>
          <cell r="H86">
            <v>1450</v>
          </cell>
          <cell r="I86">
            <v>362.5</v>
          </cell>
          <cell r="J86" t="str">
            <v>Bliss</v>
          </cell>
          <cell r="K86" t="str">
            <v>NO GLAD (22/12) Upgrade to Joy (19/01) NO HELICONIA ALSO (20/01) Hold today-send tom (03/02) Skip today (31/03) Send replacement tom (09/04) Sent replacement today and sent 1 replacement today (04/06) Skip today (09/06) Sent replacement today (26/-06) Skip 1 week (29/06) Skip 1 week (11/08) 1 Flower food next (04/11) Flower food next (24/11) Skip 1 week (22/12) Skip 1 week (04/01) Skip 1 week (09/05) Skip Tom (16/05) Add changed (24/05) Return today (31/05) Skip 1 week (16/01) Skip tom (06/02)  Hold today (18/04) Skip 1 week (02/07) Skip 1 week (11/09) Today returned as guldwari sent which was not restricted (21/11) Hold due to non payment (26/12) HDTNP ((24/04) Send one del Tom (26/04)</v>
          </cell>
          <cell r="L86" t="str">
            <v>GLAD n HELICONIA</v>
          </cell>
          <cell r="N86" t="str">
            <v>2  del of this cycle   -  1-cycles pmnt   Pending - Collect 1450</v>
          </cell>
          <cell r="O86" t="str">
            <v>P Eustoma ( 14 inch ) 3     FF Sachet + Grass</v>
          </cell>
          <cell r="P86" t="str">
            <v>R n W Car ( 14 inch ) 16     FF Sachet + Grass</v>
          </cell>
          <cell r="Q86" t="str">
            <v>Glad 16     FF Sachet + Grass</v>
          </cell>
          <cell r="R86" t="str">
            <v>P Asiatic ( 15 Inch ) 3     Grass</v>
          </cell>
          <cell r="S86" t="str">
            <v>P n Y Spray Daisy ( 14 Inch ) 5     FF Sachet + Grass</v>
          </cell>
          <cell r="T86" t="str">
            <v>Sunflower ( 12 Inch ) 4     FF Sachet + Grass</v>
          </cell>
        </row>
        <row r="87">
          <cell r="A87">
            <v>2599</v>
          </cell>
          <cell r="B87" t="str">
            <v>Huma Rizvi</v>
          </cell>
          <cell r="C87">
            <v>8527379089</v>
          </cell>
          <cell r="D87" t="str">
            <v>9C-Tower P, Central Park Resort</v>
          </cell>
          <cell r="E87" t="str">
            <v>Sohna Road 2</v>
          </cell>
          <cell r="F87" t="str">
            <v>Friday</v>
          </cell>
          <cell r="G87" t="str">
            <v>9 AM to 2 PM</v>
          </cell>
          <cell r="H87">
            <v>999</v>
          </cell>
          <cell r="I87">
            <v>249.75</v>
          </cell>
          <cell r="J87" t="str">
            <v>Delight</v>
          </cell>
          <cell r="K87" t="str">
            <v>Hold n start frommid july and confirm before sending (15/06) Hold till 5th Oct (12/09) No Sunflower (06/04)</v>
          </cell>
          <cell r="L87" t="str">
            <v>Glad</v>
          </cell>
          <cell r="N87" t="str">
            <v>4  del of this cycle   -  0-cycles pmnt   Completed - Collect 0</v>
          </cell>
          <cell r="O87" t="str">
            <v>R n W Car 9     FF Sachet + Grass</v>
          </cell>
          <cell r="P87" t="str">
            <v>Sunflower ( 15 inch ) 2     Grass</v>
          </cell>
          <cell r="Q87" t="str">
            <v>P Spray Daisy ( 15 inch ) 3     FF Sachet + Grass</v>
          </cell>
          <cell r="R87" t="str">
            <v>Mix Alstroemeria ( 12 Inch ) 9     FF Sachet + Grass</v>
          </cell>
          <cell r="S87" t="str">
            <v>O Asiatic ( 14 Inch ) 2     Grass</v>
          </cell>
          <cell r="T87" t="str">
            <v>Pur n P Car ( 14 Inch ) 9     FF Sachet + Grass</v>
          </cell>
        </row>
        <row r="88">
          <cell r="A88">
            <v>2018</v>
          </cell>
          <cell r="B88" t="str">
            <v>Lakshmi Shankaran</v>
          </cell>
          <cell r="C88">
            <v>9818054747</v>
          </cell>
          <cell r="D88" t="str">
            <v>C2/202,  Sovereign Vatika City</v>
          </cell>
          <cell r="E88" t="str">
            <v>Sohna Road 1</v>
          </cell>
          <cell r="F88" t="str">
            <v>Friday</v>
          </cell>
          <cell r="G88" t="str">
            <v>9 AM - 12 PM</v>
          </cell>
          <cell r="H88">
            <v>1450</v>
          </cell>
          <cell r="I88">
            <v>362.5</v>
          </cell>
          <cell r="J88" t="str">
            <v>Bliss</v>
          </cell>
          <cell r="K88" t="str">
            <v>Friday n Monday//Skip 1 week n send 1 Flower foo with next del (11/01) Skip 1 week and send 1 Flowers food box next (21/01) Send 1 FF Tom (05/02) Red n Yel Gerbera Tom (06/04) Sent a replacement today (08/04) same bliss package (27/04) Send change tom (01/06) Send replacement today due to Glad (17/07) No Bliss (27/07) Skip 1 week (29/11) Skip 1 week (23/03) Hold - start from 7th June (16/05) do not count last del (01/11) Today received 900 extra (05/12) Skip 1 week (09/01) Skip 1 week (21/01) Skip tom (22/05) Skip 2 weeks after 8th June (04/06) Today returned (27/06) Skip 1 week (05/11) Skip tom (15/01) Skip 1 week (13/95) Skip 1 week (28/05)</v>
          </cell>
          <cell r="L88" t="str">
            <v>GERBERA n GLAD</v>
          </cell>
          <cell r="N88" t="str">
            <v>2  del of this cycle   -  0-cycles pmnt   Completed - Collect 0</v>
          </cell>
          <cell r="O88" t="str">
            <v>O Asiatic ( 16 inch) 3     Grass</v>
          </cell>
          <cell r="P88" t="e">
            <v>#N/A</v>
          </cell>
          <cell r="Q88" t="str">
            <v>P n Y Spray Daisy ( 15 inch ) 5     FF Sachet + Grass</v>
          </cell>
          <cell r="R88" t="e">
            <v>#N/A</v>
          </cell>
          <cell r="S88" t="str">
            <v>Mix Alstroemeria ( 12 Inch ) 16     FF Sachet + Grass</v>
          </cell>
          <cell r="T88" t="str">
            <v>W Asiatic ( 14 inch ) 3     Grass</v>
          </cell>
        </row>
        <row r="89">
          <cell r="A89">
            <v>296</v>
          </cell>
          <cell r="B89" t="str">
            <v>Madhu Thapliyal</v>
          </cell>
          <cell r="C89">
            <v>9999364696</v>
          </cell>
          <cell r="D89" t="str">
            <v>2/201, Sovereign, Vatika City</v>
          </cell>
          <cell r="E89" t="str">
            <v>Sohna Road 1</v>
          </cell>
          <cell r="F89" t="str">
            <v>Friday</v>
          </cell>
          <cell r="G89" t="str">
            <v>9 AM - 12 PM</v>
          </cell>
          <cell r="H89">
            <v>1450</v>
          </cell>
          <cell r="I89">
            <v>362.5</v>
          </cell>
          <cell r="J89" t="str">
            <v>Bliss</v>
          </cell>
          <cell r="K89" t="str">
            <v xml:space="preserve">  Orchids tom(11/10) Pls sned on thursday with Lilies(27/10) Orchids next(22/11) Orchids Next(06/12) Skip n send Chrysanthemum on Momday(17/01) Skip 1 week and  Orchids Next(24/01) Lilies Next(31/01) Orchids nxt(07/02) Paytm from Chandresh(08/02) P n W Chrysanthemum Tom(14/02) NO R Orchids next(21/02)  NO RAJNI N GLAD(25/02)  No Red Daisy (13/10) Skip 1 week (20/10) 1 Spray Daisy Next (30/10) Skip 1 week (07/11) NO GLAD (02/12) Skip 1 week (08/12) Upgrade to Joy (16/12) NO GLAD  AND NO HELICONIA(22/12) Skip 1 week (05/01) P n W Gerbera Next (09/01) SEnt repolacement today (16/01) Skip 1 week (25/01) Spray Daisy Next (16/02) Spray Daisy next (06/04) Sent replacement (09/04) skip 1 wek (13/04) Skip 1 week (20/04) Change to Bliss and send flower food -- No BOP n Glad (18/05) Skip 1 week (31/05) Return today and skip 2 week (09/06) Skip 1 week (14/06) Sent replacement today (26/06) Skip 1 week (29/06) Skip 1 week (08/11) Skip 1 week (18/12) Skip 1 week (25/01) Skip 1 week (08/02) Skip 2 week (21/03) Hold tom (16/05) Skip 2 week (10/096) Sent replacement today (15/07) Skip 1 week (22/07) Spray Daisy next (15/08) Hold today (25/10) Skip this week (25/10) Return today n hold next week also (03/01) Skip 1 week (23/01) Hold today (28/03) Skip 1 week (10/04) Skip tom (19/06) Skip 1 week (02/07) Skip 1 week (24/07) Skip 1 week (01/08) Skip 1 week (15/10) Skip 1 week (19/11) Skip 1 week (05/01) Skip 1 week (17/01) Skip 1 week (29/01) Skip 1 week (22/03) Statice next (19/04)</v>
          </cell>
          <cell r="L89" t="str">
            <v>GLAD n BOP</v>
          </cell>
          <cell r="M89" t="str">
            <v>Statice next (19/04)</v>
          </cell>
          <cell r="N89" t="str">
            <v>1  del of this cycle   -  1-cycles pmnt   Pending - Collect 1450</v>
          </cell>
          <cell r="O89" t="str">
            <v>R n W Car 16     FF Sachet + Grass</v>
          </cell>
          <cell r="P89" t="str">
            <v>P Asiatic ( 15 inch ) 3     Grass</v>
          </cell>
          <cell r="Q89" t="str">
            <v>Sunflower ( 15 inch ) 4     Grass</v>
          </cell>
          <cell r="R89" t="str">
            <v>Mix Alstroemeria ( 12 Inch ) 16     FF Sachet + Grass</v>
          </cell>
          <cell r="S89" t="str">
            <v>P n W Spray Daisy ( 14 Inch ) 5     FF Sachet + Grass</v>
          </cell>
          <cell r="T89" t="str">
            <v>Pur n P Car ( 14 Inch ) 16     FF Sachet + Grass</v>
          </cell>
        </row>
        <row r="90">
          <cell r="A90">
            <v>1467</v>
          </cell>
          <cell r="B90" t="str">
            <v>Priyanka Chaturvedi</v>
          </cell>
          <cell r="C90">
            <v>7838930274</v>
          </cell>
          <cell r="D90" t="str">
            <v xml:space="preserve">Flat No. A-303, The Peaceful Homes, Sec 70-A
</v>
          </cell>
          <cell r="E90" t="str">
            <v>Badshahpur</v>
          </cell>
          <cell r="F90" t="str">
            <v>Friday</v>
          </cell>
          <cell r="G90" t="str">
            <v>9 AM - 12 PM</v>
          </cell>
          <cell r="H90">
            <v>1600</v>
          </cell>
          <cell r="I90">
            <v>200</v>
          </cell>
          <cell r="J90" t="str">
            <v>Bloom</v>
          </cell>
          <cell r="K90" t="str">
            <v>Friday and Sunday//Saturday evening slot and Sunday morning Slot(06/08) Send 100 Gm Mogra also(03/09) Received cash of 100 today(04/09) Skip coming week(20/09) Skip 1 week(15/10) Skip tom n send on comong fridayu this week(29/01) W Car next(26/02)  Holy Change(16/03) Return today(15/04) Hold n start from July (01/05) Skip 13th Delivery (10/01) NO ROSE (29/01) Sent replacement today (05/02) Send bothe deliveries together on sunday (12/05) Skip 1 week (25/05) Send both deliveries on Sunday only (01/06) Double Delivery only on Sunday (10/06) Paytm From Gaurav Chaturvedi (26/03) Hold til next saturday (20/06) Skip this sunday (11/10) No Spray Daisy (22/11) Today REturned (12/01) Skip 2nd week (03/04) No Del between 7th to 14th (05/04) Skip this sunday (18/06) Skip tom (04/10) Skip 1 week (10/12) Today Returned (04/01)</v>
          </cell>
          <cell r="L90" t="str">
            <v>ROSE n SPRAY DAISY</v>
          </cell>
          <cell r="N90" t="str">
            <v>6  del of this cycle   -  0-cycles pmnt   Completed - Collect 0</v>
          </cell>
          <cell r="O90" t="str">
            <v>Y Spray Daisy ( 16 inch)  2     FF Sachet + Grass</v>
          </cell>
          <cell r="P90" t="str">
            <v>P n W Glad ( 14 inch ) 7     Grass</v>
          </cell>
          <cell r="Q90" t="str">
            <v>Rajni ( 16 inch ) 7     Grass</v>
          </cell>
          <cell r="R90" t="e">
            <v>#N/A</v>
          </cell>
          <cell r="S90" t="e">
            <v>#N/A</v>
          </cell>
          <cell r="T90" t="str">
            <v>Glad ( 12 Inch ) 7     Grass</v>
          </cell>
        </row>
        <row r="91">
          <cell r="A91">
            <v>3368</v>
          </cell>
          <cell r="B91" t="str">
            <v>Sugandha Goyal</v>
          </cell>
          <cell r="C91">
            <v>9971681194</v>
          </cell>
          <cell r="D91" t="str">
            <v>T-15/3C, Central Park Resorts</v>
          </cell>
          <cell r="E91" t="str">
            <v>Sohna Road 2</v>
          </cell>
          <cell r="F91" t="str">
            <v>Monday</v>
          </cell>
          <cell r="G91" t="str">
            <v>9 AM - 12 PM</v>
          </cell>
          <cell r="H91">
            <v>2300</v>
          </cell>
          <cell r="I91">
            <v>287.5</v>
          </cell>
          <cell r="J91" t="str">
            <v>Felicity</v>
          </cell>
          <cell r="N91" t="str">
            <v>8  del of this cycle   -  0-cycles pmnt   Completed - Collect 0</v>
          </cell>
          <cell r="O91" t="e">
            <v>#N/A</v>
          </cell>
          <cell r="P91" t="e">
            <v>#N/A</v>
          </cell>
          <cell r="Q91" t="str">
            <v>P n W Glad ( 16 Inch) 11     Grass</v>
          </cell>
          <cell r="R91" t="str">
            <v>O Asiatic ( 15 Inch ) 2     Grass</v>
          </cell>
          <cell r="S91" t="str">
            <v>P Spray Daisy ( 14 Inch ) 3     FF Sachet + Grass</v>
          </cell>
          <cell r="T91" t="str">
            <v>Mix Alstroemeria ( 12 Inch ) 11     FF Sachet + Grass</v>
          </cell>
        </row>
        <row r="92">
          <cell r="A92">
            <v>2674</v>
          </cell>
          <cell r="B92" t="str">
            <v>Jaspreet Dhillon</v>
          </cell>
          <cell r="C92">
            <v>9971159399</v>
          </cell>
          <cell r="D92" t="str">
            <v>T-2/204, Uniworld Garden -1</v>
          </cell>
          <cell r="E92" t="str">
            <v>Sohna Road 1</v>
          </cell>
          <cell r="F92" t="str">
            <v>Friday</v>
          </cell>
          <cell r="G92" t="str">
            <v>9 AM - 12 PM</v>
          </cell>
          <cell r="H92">
            <v>999</v>
          </cell>
          <cell r="I92">
            <v>249.75</v>
          </cell>
          <cell r="J92" t="str">
            <v>Delight</v>
          </cell>
          <cell r="K92" t="str">
            <v>Send a message on Sunday to start // Start next cycle from Friday (19/09) Today Returned (26/09) No Sunflower (08/11) Hold today (28/11) Hold tom (11/12) Skip 1 week (16/12) Skip 1 week (11/01) Hold due to non payment (30/01 Hold due to non payment (06/02) Hold due to non payment (13/02) HDTNP (20/02) Skip 1 week (02/04) Skip 1 week (23/04) HDTNP (08/05) Skip 1 week (17/05)</v>
          </cell>
          <cell r="L92" t="str">
            <v>Sunflower</v>
          </cell>
          <cell r="N92" t="str">
            <v>1  del of this cycle   -  1-cycles pmnt   Pending - Collect 999</v>
          </cell>
          <cell r="O92" t="e">
            <v>#N/A</v>
          </cell>
          <cell r="P92" t="str">
            <v>R n W Car ( 14 inch ) 9     FF Sachet + Grass</v>
          </cell>
          <cell r="Q92" t="e">
            <v>#N/A</v>
          </cell>
          <cell r="R92" t="str">
            <v>P n W Glad ( 14 Inch ) 9     Grass</v>
          </cell>
          <cell r="S92" t="str">
            <v>P Asiatic ( 14 Inch ) 2     Grass</v>
          </cell>
          <cell r="T92" t="str">
            <v>Mix Alstroemeria ( 12 Inch ) 9     FF Sachet + Grass</v>
          </cell>
        </row>
        <row r="93">
          <cell r="A93">
            <v>2066</v>
          </cell>
          <cell r="B93" t="str">
            <v>Shilpi Tibrewal</v>
          </cell>
          <cell r="C93">
            <v>9999103067</v>
          </cell>
          <cell r="D93" t="str">
            <v>Tower-A/3803, Ireo Victory Valley, Sec 67</v>
          </cell>
          <cell r="E93" t="str">
            <v>Badshahpur</v>
          </cell>
          <cell r="F93" t="str">
            <v>Friday</v>
          </cell>
          <cell r="G93" t="str">
            <v>4 Pm to 7 PM</v>
          </cell>
          <cell r="H93">
            <v>1450</v>
          </cell>
          <cell r="I93">
            <v>362.5</v>
          </cell>
          <cell r="J93" t="str">
            <v>Bliss</v>
          </cell>
          <cell r="K93" t="str">
            <v>Either Rose or Car// Normal Flowers (04/05) Sent replacement today (26/08) Return yesterday (17/08) Today returned (25/07)</v>
          </cell>
          <cell r="N93" t="str">
            <v>1  del of this cycle   -  0-cycles pmnt   CompletedNO COLLECTION-we have extra money - Collect -50</v>
          </cell>
          <cell r="O93" t="str">
            <v>P n W Spray Daisy ( 15 inch ) 5     FF Sachet + Grass</v>
          </cell>
          <cell r="P93" t="str">
            <v>P n W Glad ( 14 inch ) 16     Grass</v>
          </cell>
          <cell r="Q93" t="str">
            <v>P Asiatic ( 15 inch ) 3     Grass</v>
          </cell>
          <cell r="R93" t="str">
            <v>R n W Car ( 14 Inch ) 16     FF Sachet + Grass</v>
          </cell>
          <cell r="S93" t="str">
            <v>Pur Eustom ( 14 Inch ) 3     FF Sachet + Grass</v>
          </cell>
          <cell r="T93" t="str">
            <v>P n Y Spray Daisy ( 14 Inch ) 5     FF Sachet + Grass</v>
          </cell>
        </row>
        <row r="94">
          <cell r="A94">
            <v>3011</v>
          </cell>
          <cell r="B94" t="str">
            <v>Nandita Sharma</v>
          </cell>
          <cell r="C94">
            <v>9702930000</v>
          </cell>
          <cell r="D94" t="str">
            <v>Sovereign-2/102, Vatila City</v>
          </cell>
          <cell r="E94" t="str">
            <v>Sohna Road 1</v>
          </cell>
          <cell r="F94" t="str">
            <v>Friday</v>
          </cell>
          <cell r="G94" t="str">
            <v>9 AM to 2 PM</v>
          </cell>
          <cell r="H94">
            <v>1450</v>
          </cell>
          <cell r="I94">
            <v>362.5</v>
          </cell>
          <cell r="J94" t="str">
            <v>Bliss</v>
          </cell>
          <cell r="K94" t="str">
            <v>Hld till 8th Mar (22/02)</v>
          </cell>
          <cell r="N94" t="str">
            <v>1  del of this cycle   -  1-cycles pmnt   Pending - Collect 1450</v>
          </cell>
          <cell r="O94" t="str">
            <v>Y Spray Daisy ( 16 inch)  3 Alstromia 7   FF Sachet + Grass</v>
          </cell>
          <cell r="P94" t="str">
            <v>Bop 2 P n W Glad ( 14 inch ) 7   FF Sachet + Grass</v>
          </cell>
          <cell r="Q94" t="str">
            <v>Sunflower ( 15 inch ) 2 P n W Car ( 14 inch ) 7   FF Sachet + Grass</v>
          </cell>
          <cell r="R94" t="str">
            <v>O Asiatic ( 15 Inch ) 2 Mix Alstroemeria ( 12 Inch )  7   Grass</v>
          </cell>
          <cell r="S94" t="str">
            <v>P Spray Daisy ( 14 Inch ) 3 P n W Glad ( 14 Inch ) 7   FF Sachet + Grass</v>
          </cell>
          <cell r="T94" t="str">
            <v>Pur Eustoma ( 12 Inch ) 2 Pur n P Car ( 14 Inch ) 7   FF Sachet + Grass</v>
          </cell>
        </row>
        <row r="95">
          <cell r="A95">
            <v>1571</v>
          </cell>
          <cell r="B95" t="str">
            <v>Mohar Ray Dahiya</v>
          </cell>
          <cell r="C95">
            <v>9910019898</v>
          </cell>
          <cell r="D95" t="str">
            <v>Sovereign-3/201, Vatika City</v>
          </cell>
          <cell r="E95" t="str">
            <v>Sohna Road 1</v>
          </cell>
          <cell r="F95" t="str">
            <v>Friday</v>
          </cell>
          <cell r="G95" t="str">
            <v>9 AM to 2 PM</v>
          </cell>
          <cell r="H95">
            <v>1600</v>
          </cell>
          <cell r="I95">
            <v>200</v>
          </cell>
          <cell r="J95" t="str">
            <v>Bloom</v>
          </cell>
          <cell r="K95" t="str">
            <v>Friday and Monday(29/06)Chamged to Friday//NO Tape Usage(10/12) Rajni and Car next -- No Red Car(14/01)  Glad and Rose-- Pref both Red(11/02) Spray Daisy and Guldawari this week(24/02) Send Mix of BOP and anthurium(28/02) Mix of Orchid and Lily next(10/03)   NO BOP AND ANTHURIUM(18/04)NO BOP/ANTHURIUM/HELICONIA AND ORIENTAL(01/06) Spray Daisy Next(10/07) Mix Glad Next(30/08) Lilies if they are good else  any other flower in Red/Orange or Yellow (19/10) Yellow Glad Next (27/11) No Joy Package and sned Rose and Guldawari Tom (15/12) Send mix of Red n W Car anmd Guldawari tom (22/12) Pls send on sunday this week instead of friday (08/01) Guldawari and Orchids Next (16/01) NO RAJNI til they become better(04/08) Send replacement today(23/09) Aster in Subscription (19/10) Glad Next (08/11) No Delivery between (5th Jan to 16th Jan (28/12) NO BOP n GERBERA (23/02) Hold till 23rd Jan (30/12) Rs. 725 added against referal credit of Amrita Jain Subscription (08/03) Do not count last del (19/04) Friday missed (16/06) Skip this friday (25/06) Hold from 5th to 12th (04/01)</v>
          </cell>
          <cell r="L95" t="str">
            <v>BOP n GERBERA</v>
          </cell>
          <cell r="N95" t="str">
            <v>5  del of this cycle   -  0-cycles pmnt   Completed - Collect 0</v>
          </cell>
          <cell r="O95" t="str">
            <v>Sunflower ( 15 inch) 2     Grass</v>
          </cell>
          <cell r="P95" t="str">
            <v>P n W Car ( 14 inch ) 7     FF Sachet + Grass</v>
          </cell>
          <cell r="Q95" t="str">
            <v>Rajni ( 16 inch ) 7     Grass</v>
          </cell>
          <cell r="R95" t="str">
            <v>P n W Glad ( 14 Inch ) 7     Grass</v>
          </cell>
          <cell r="S95" t="str">
            <v>R n W Car ( 14 Inch ) 7     FF Sachet + Grass</v>
          </cell>
          <cell r="T95" t="str">
            <v>Rajni ( 14 Inch ) 7     Grass</v>
          </cell>
        </row>
        <row r="96">
          <cell r="A96">
            <v>3076</v>
          </cell>
          <cell r="B96" t="str">
            <v>Aishwarya -- Acacia</v>
          </cell>
          <cell r="C96">
            <v>8454952029</v>
          </cell>
          <cell r="D96" t="str">
            <v>11/2, Acacia, Vatika City</v>
          </cell>
          <cell r="E96" t="str">
            <v>Sohna Road 1</v>
          </cell>
          <cell r="F96" t="str">
            <v>Friday</v>
          </cell>
          <cell r="G96" t="str">
            <v>9 AM - 12 PM</v>
          </cell>
          <cell r="H96">
            <v>2750</v>
          </cell>
          <cell r="I96">
            <v>687.5</v>
          </cell>
          <cell r="J96" t="str">
            <v>Elation</v>
          </cell>
          <cell r="K96" t="str">
            <v>Upgrade to elation (06/11) Hold due to non payment (18/12) hold due to non payment (16/01)</v>
          </cell>
          <cell r="N96" t="str">
            <v>2  del of this cycle   -  0-cycles pmnt   Completed - Collect 0</v>
          </cell>
          <cell r="O96" t="str">
            <v>BOP 3 B Daisy 16   2 Gypsola</v>
          </cell>
          <cell r="P96" t="str">
            <v>P Asiatic ( 15 inch ) 3 Mix Alstroemeria ( 14 inch ) 16   2 Limonium</v>
          </cell>
          <cell r="Q96" t="str">
            <v>Sunflower ( 15 inch ) 4 P n W Glad ( 14 inch ) 15   2 Gypsola</v>
          </cell>
          <cell r="R96" t="str">
            <v>P n Y Spray Daisy ( 15 Inch ) 5 P n W Car ( 14 Inch ) 16   2 Limonium + Ff Sachet</v>
          </cell>
          <cell r="S96" t="str">
            <v>Pur Eustom ( 14 Inch ) 3 Mix Alstroemeria ( 12 Inch ) 16   2 Gypsola + FF Sachet</v>
          </cell>
          <cell r="T96" t="str">
            <v>Y Asiatic ( 14 Inch ) 3 P n W Glad ( 14 Inch ) 16   2 Limonium</v>
          </cell>
        </row>
        <row r="97">
          <cell r="A97">
            <v>152</v>
          </cell>
          <cell r="B97" t="str">
            <v xml:space="preserve">Manisha Kahai
</v>
          </cell>
          <cell r="C97">
            <v>9810013410</v>
          </cell>
          <cell r="D97" t="str">
            <v xml:space="preserve">Flat number 41, Jasminium 1, Vatika City, Sector 49 (Sohna Road)    Sec 49 Gurgaon  122001 
</v>
          </cell>
          <cell r="E97" t="str">
            <v>Sohna Road 1</v>
          </cell>
          <cell r="F97" t="str">
            <v>Friday</v>
          </cell>
          <cell r="G97" t="str">
            <v>9 AM - 12 PM</v>
          </cell>
          <cell r="H97">
            <v>1450</v>
          </cell>
          <cell r="I97">
            <v>362.5</v>
          </cell>
          <cell r="J97" t="str">
            <v>Bliss</v>
          </cell>
          <cell r="K97" t="str">
            <v>Day changed to Sat (25/02)Return-send tomorrow(03/11)Hold and start from 11th may(06/04) FF Sold today(03/08) FF Sold today n payment recvd(07/09) Holy Change(16/03) FF Next(20/03) Paytm from Manisha Singh (09/06) 250 returned via paytm (03/.11) Today Returned (18/07)</v>
          </cell>
          <cell r="N97" t="str">
            <v>1  del of this cycle   -  1-cycles pmnt   Pending - Collect 1450</v>
          </cell>
          <cell r="O97" t="str">
            <v>Pur Eustoma ( 14 inch )  3     FF Sachet + Grass</v>
          </cell>
          <cell r="P97" t="str">
            <v>P n Y Spray Daisy ( 15 inch ) 5     FF Sachet + Grass</v>
          </cell>
          <cell r="Q97" t="str">
            <v>P Asiatic ( 15 inch ) 3     Grass</v>
          </cell>
          <cell r="R97" t="str">
            <v>R n W Car ( 14 Inch ) 16     FF Sachet + Grass</v>
          </cell>
          <cell r="S97" t="str">
            <v>P n W Glad ( 14 Inch ) 16     Grass</v>
          </cell>
          <cell r="T97" t="str">
            <v>Sunflower ( 12 Inch ) 4     FF Sachet + Grass</v>
          </cell>
        </row>
        <row r="98">
          <cell r="A98">
            <v>36</v>
          </cell>
          <cell r="B98" t="str">
            <v>Ms. Anubha T Agarwal</v>
          </cell>
          <cell r="C98">
            <v>9818690761</v>
          </cell>
          <cell r="D98" t="str">
            <v>D-902, Park View City-1, Sohna Road</v>
          </cell>
          <cell r="E98" t="str">
            <v>Sohna Road 2</v>
          </cell>
          <cell r="F98" t="str">
            <v>Friday</v>
          </cell>
          <cell r="G98" t="str">
            <v>4 Pm to 7 PM</v>
          </cell>
          <cell r="H98">
            <v>999</v>
          </cell>
          <cell r="I98">
            <v>249.75</v>
          </cell>
          <cell r="J98" t="str">
            <v>Delight</v>
          </cell>
          <cell r="K98" t="str">
            <v>No Rajni (22/05)Skip coming week del(13/08)Pls skip this week n send next week(03/09)Pls shift time slot to evevning(18/09)Pls shift to morning(10/10) Paytm from manoj Agarwal(13/02) Skip 1 week(03/04) Send 1 stick extra in next Del(19/06) Say Change to Monday(21/08) Upgrade to 650 (01/12) Skiped 1 week due to HOLI(29/03) Flower Food Next(16/04) Upgrade to Bliss and send remaining flowers in 2nd Del(14/09) Skip 1 wek(14/10) skip 1 week(01/01)  Holy Change(16/03) Skip this week n send on sunday(10/08) Send Replacement tom (19/11) Send on monday this week (10/08)  Hold today (26/01) Today Returned (05/04) Today returned (16/08) Send replacement tom (15/09) Yesterday Returned (15/02) Return today (25/04) Skip 1 week (29/05) Skip 1 week (28/07) Skip tom n send on sunday (18/09) Skip 1 week (04/12)</v>
          </cell>
          <cell r="N98" t="str">
            <v>2  del of this cycle   -  0-cycles pmnt   Completed - Collect 0</v>
          </cell>
          <cell r="O98" t="str">
            <v>Alstomeria 9     Grass</v>
          </cell>
          <cell r="P98" t="str">
            <v>P n W Glad ( 14 inch ) 9     Grass</v>
          </cell>
          <cell r="Q98" t="str">
            <v>R n W Car( 14 inch ) 9     FF Sachet + Grass</v>
          </cell>
          <cell r="R98" t="str">
            <v>O Asiatic ( 15 Inch ) 2     Grass</v>
          </cell>
          <cell r="S98" t="str">
            <v>Sunflower ( 12 Inch ) 2     FF Sachet + Grass</v>
          </cell>
          <cell r="T98" t="str">
            <v>P n W Glad ( 14 Inch ) 9     Grass</v>
          </cell>
        </row>
        <row r="99">
          <cell r="A99">
            <v>2678</v>
          </cell>
          <cell r="B99" t="str">
            <v>Saachi Satyaarth</v>
          </cell>
          <cell r="C99">
            <v>9643712005</v>
          </cell>
          <cell r="D99" t="str">
            <v>H-1504, Microtek Greenburg, Sec 86</v>
          </cell>
          <cell r="E99" t="str">
            <v>Manesar</v>
          </cell>
          <cell r="F99" t="str">
            <v>Friday</v>
          </cell>
          <cell r="G99" t="str">
            <v>4 PM to 7 PM</v>
          </cell>
          <cell r="H99">
            <v>1450</v>
          </cell>
          <cell r="I99">
            <v>362.5</v>
          </cell>
          <cell r="J99" t="str">
            <v>Bliss</v>
          </cell>
          <cell r="K99" t="str">
            <v>Skip 1 week (04/06) Do not count last Del (28/03) 1 Sunflower Extra next (03/04)</v>
          </cell>
          <cell r="M99" t="str">
            <v>1 Sunflower Extra Next (03/04)</v>
          </cell>
          <cell r="N99" t="str">
            <v>2  del of this cycle   -  0-cycles pmnt   Completed - Collect 0</v>
          </cell>
          <cell r="O99" t="str">
            <v>P Asiatic ( 16 inch) 2 B Daisy 7   Grass</v>
          </cell>
          <cell r="P99" t="str">
            <v>Y Spray Daisy ( 15 inch ) 3 Mix Alstroemeria ( 14 inch ) 7   FF Sachet + Grass</v>
          </cell>
          <cell r="Q99" t="str">
            <v>Sunflower ( 15 inch ) 2 P n W Glad ( 14 inch ) 7   Grass</v>
          </cell>
          <cell r="R99" t="str">
            <v>O Asiatic ( 15 Inch ) 2 R n W Car ( 14 Inch ) 7   Grass</v>
          </cell>
          <cell r="S99" t="str">
            <v>P Eustoma ( 14 Inch ) 2 Mix Alstroemeria ( 12 Inch ) 7   FF Sachet + Grass</v>
          </cell>
          <cell r="T99" t="str">
            <v>P Spray Daisy ( 14 Inch ) 3 P n W Glad ( 14 Inch ) 7   FF Sachet + Grass</v>
          </cell>
        </row>
        <row r="100">
          <cell r="A100">
            <v>3057</v>
          </cell>
          <cell r="B100" t="str">
            <v>Nimisha Narayan</v>
          </cell>
          <cell r="C100">
            <v>9999975582</v>
          </cell>
          <cell r="D100" t="str">
            <v>T-7/604, Uniworl Garden 1</v>
          </cell>
          <cell r="E100" t="str">
            <v>Sohna Road 1</v>
          </cell>
          <cell r="F100" t="str">
            <v>Friday</v>
          </cell>
          <cell r="G100" t="str">
            <v>9 AM - 12 PM</v>
          </cell>
          <cell r="H100">
            <v>999</v>
          </cell>
          <cell r="I100">
            <v>249.75</v>
          </cell>
          <cell r="J100" t="str">
            <v>Delight</v>
          </cell>
          <cell r="K100" t="str">
            <v>Skip n sned on Sunday (03/12) Return today (01/05)</v>
          </cell>
          <cell r="N100" t="str">
            <v>4  del of this cycle   -  0-cycles pmnt   Completed - Collect 0</v>
          </cell>
          <cell r="O100" t="str">
            <v>P n W Glad ( 15 inch) 9     Grass</v>
          </cell>
          <cell r="P100" t="str">
            <v>R n W Car ( 14 inch ) 9     FF Sachet + Grass</v>
          </cell>
          <cell r="Q100" t="str">
            <v>Sunflower ( 15 inch ) 2     Grass</v>
          </cell>
          <cell r="R100" t="str">
            <v>Mix Alstroemeria ( 12 Inch ) 9     FF Sachet + Grass</v>
          </cell>
          <cell r="S100" t="str">
            <v>P Asiatic ( 14 Inch ) 2     Grass</v>
          </cell>
          <cell r="T100" t="str">
            <v>P n W Glad ( 14 Inch ) 9     Grass</v>
          </cell>
        </row>
        <row r="101">
          <cell r="A101">
            <v>3375</v>
          </cell>
          <cell r="B101" t="str">
            <v>Saniya Anand</v>
          </cell>
          <cell r="C101">
            <v>9810955188</v>
          </cell>
          <cell r="D101" t="str">
            <v>D-1102, Caritriona Ambience Island</v>
          </cell>
          <cell r="E101" t="str">
            <v>M G Road</v>
          </cell>
          <cell r="F101" t="str">
            <v>Friday</v>
          </cell>
          <cell r="G101" t="str">
            <v>4 Pm to 7 PM</v>
          </cell>
          <cell r="H101">
            <v>1950</v>
          </cell>
          <cell r="I101">
            <v>487.5</v>
          </cell>
          <cell r="J101" t="str">
            <v>Joy</v>
          </cell>
          <cell r="N101" t="str">
            <v>2  del of this cycle   -  0-cycles pmnt   Completed - Collect 0</v>
          </cell>
          <cell r="O101" t="e">
            <v>#N/A</v>
          </cell>
          <cell r="P101" t="e">
            <v>#N/A</v>
          </cell>
          <cell r="Q101" t="e">
            <v>#N/A</v>
          </cell>
          <cell r="R101" t="e">
            <v>#N/A</v>
          </cell>
          <cell r="S101" t="str">
            <v>Shd Pur n P Car ( 14 Inch ) 22     FF Sachet + Grass</v>
          </cell>
          <cell r="T101" t="str">
            <v>P Asiatic ( 14 Inch ) 4     Grass</v>
          </cell>
        </row>
        <row r="102">
          <cell r="A102">
            <v>3337</v>
          </cell>
          <cell r="B102" t="str">
            <v>Shweta Bajpai</v>
          </cell>
          <cell r="C102">
            <v>9205184535</v>
          </cell>
          <cell r="D102" t="str">
            <v>288, Tatvam Villa</v>
          </cell>
          <cell r="E102" t="str">
            <v>Sohna Road 2</v>
          </cell>
          <cell r="F102" t="str">
            <v>Friday</v>
          </cell>
          <cell r="G102" t="str">
            <v>4 Pm to 7 PM</v>
          </cell>
          <cell r="H102">
            <v>1450</v>
          </cell>
          <cell r="I102">
            <v>1450</v>
          </cell>
          <cell r="J102" t="str">
            <v>Bliss</v>
          </cell>
          <cell r="N102" t="str">
            <v>4  del of this cycle   -  0-cycles pmnt   Completed - Collect 0</v>
          </cell>
          <cell r="O102" t="str">
            <v>Alstomeria 16     Grass</v>
          </cell>
          <cell r="P102" t="str">
            <v>P n W Glad ( 14 inch ) 16     Grass</v>
          </cell>
          <cell r="Q102" t="str">
            <v>P Asiatic ( 15 inch ) 3     Grass</v>
          </cell>
          <cell r="R102" t="str">
            <v>R n W Car ( 14 Inch ) 16     FF Sachet + Grass</v>
          </cell>
          <cell r="S102" t="str">
            <v>P n Y Spray Daisy ( 14 Inch ) 5     FF Sachet + Grass</v>
          </cell>
          <cell r="T102" t="str">
            <v>Mix Alstroemeria ( 12 Inch ) 16     FF Sachet + Grass</v>
          </cell>
        </row>
        <row r="103">
          <cell r="A103">
            <v>3289</v>
          </cell>
          <cell r="B103" t="str">
            <v>Devyani -- Blinkit</v>
          </cell>
          <cell r="C103">
            <v>8588870465</v>
          </cell>
          <cell r="D103" t="str">
            <v>H. No. 75, 1st Floor Emaar Emerald Hills, Ivory Block, Sec 65</v>
          </cell>
          <cell r="E103" t="str">
            <v>Badshahpur</v>
          </cell>
          <cell r="F103" t="str">
            <v>Friday</v>
          </cell>
          <cell r="G103" t="str">
            <v>Between 2:30 to 4 PM</v>
          </cell>
          <cell r="H103">
            <v>1950</v>
          </cell>
          <cell r="I103">
            <v>487.5</v>
          </cell>
          <cell r="J103" t="str">
            <v>Joy</v>
          </cell>
          <cell r="K103" t="str">
            <v>Paytm From Devyani Puri (17/03) Today hold n sned on monday (29/05)</v>
          </cell>
          <cell r="N103" t="str">
            <v>4  del of this cycle   -  0-cycles pmnt   Completed - Collect 0</v>
          </cell>
          <cell r="O103" t="e">
            <v>#N/A</v>
          </cell>
          <cell r="P103" t="e">
            <v>#N/A</v>
          </cell>
          <cell r="Q103" t="str">
            <v>P Asiatic ( 15 Inch ) 2 P n W Car ( 14 Inch ) 11   Grass</v>
          </cell>
          <cell r="R103" t="str">
            <v>P n Y Spray Daisy ( 15 Inch ) 4 Mix Alstroemeria ( 12 Inch )  10   FF Sachet + Grass</v>
          </cell>
          <cell r="S103" t="str">
            <v>Pur Eustom ( 14 Inch ) 3 P n W Glad ( 14 Inch ) 11   FF Sachet + Grass</v>
          </cell>
          <cell r="T103" t="str">
            <v>Sunflower ( 12 Inch ) 3 Pur n P Car ( 14 Inch ) 11   FF Sachet + Grass</v>
          </cell>
        </row>
        <row r="104">
          <cell r="A104">
            <v>3185</v>
          </cell>
          <cell r="B104" t="str">
            <v>Kamla Anand</v>
          </cell>
          <cell r="C104">
            <v>9711216660</v>
          </cell>
          <cell r="D104" t="str">
            <v>83  Jasminium 1,Vatika city 
Sec 49</v>
          </cell>
          <cell r="E104" t="str">
            <v>Sohna Road 1</v>
          </cell>
          <cell r="F104" t="str">
            <v>Friday</v>
          </cell>
          <cell r="G104" t="str">
            <v>9 AM - 12 PM</v>
          </cell>
          <cell r="H104">
            <v>999</v>
          </cell>
          <cell r="I104">
            <v>249.75</v>
          </cell>
          <cell r="J104" t="str">
            <v>Delight</v>
          </cell>
          <cell r="K104" t="str">
            <v>Skip tom (09/04)</v>
          </cell>
          <cell r="N104" t="str">
            <v>1  del of this cycle   -  0-cycles pmnt   Completed - Collect 0</v>
          </cell>
          <cell r="O104" t="str">
            <v>O Asiatic ( 16 inch) 2     Grass</v>
          </cell>
          <cell r="P104" t="str">
            <v>Mix Alstroemeria ( 14 inch ) 9     FF Sachet + Grass</v>
          </cell>
          <cell r="Q104" t="str">
            <v>Sunflower ( 15 inch ) 2     Grass</v>
          </cell>
          <cell r="R104" t="str">
            <v>R n W Car ( 14 Inch ) 9     FF Sachet + Grass</v>
          </cell>
          <cell r="S104" t="str">
            <v>P Spray Daisy ( 14 Inch ) 3     FF Sachet + Grass</v>
          </cell>
          <cell r="T104" t="str">
            <v>P n W Glad ( 14 Inch ) 9     Grass</v>
          </cell>
        </row>
        <row r="105">
          <cell r="A105">
            <v>2435</v>
          </cell>
          <cell r="B105" t="str">
            <v>Manisha Aswani</v>
          </cell>
          <cell r="C105">
            <v>7426027603</v>
          </cell>
          <cell r="D105" t="str">
            <v>4-I/302, Orris Aster Court. Sec 85</v>
          </cell>
          <cell r="E105" t="str">
            <v>Manesar</v>
          </cell>
          <cell r="F105" t="str">
            <v>Friday</v>
          </cell>
          <cell r="G105" t="str">
            <v>After 5:30 PM</v>
          </cell>
          <cell r="H105">
            <v>1450</v>
          </cell>
          <cell r="I105">
            <v>362.5</v>
          </cell>
          <cell r="J105" t="str">
            <v>Bliss</v>
          </cell>
          <cell r="K105" t="str">
            <v>Insta // Sent replacement today (05/04) Sent Replacement today (19/04) Do Not Count last Del (06/05) Hold she will confirm (14/05) Payment confussion(29/06) Skip 1 week (22/04) Today Hold and skip (15/05) HDTNP (29/05)</v>
          </cell>
          <cell r="M105" t="str">
            <v>Premium Flowers Extra next (16/08)</v>
          </cell>
          <cell r="N105" t="str">
            <v>4  del of this cycle   -  0-cycles pmnt   Completed - Collect 0</v>
          </cell>
          <cell r="O105" t="str">
            <v>R n W Car 16     FF Sachet + Grass</v>
          </cell>
          <cell r="P105" t="str">
            <v>P n W Spray Daisy ( 15 inch ) 5     FF Sachet + Grass</v>
          </cell>
          <cell r="Q105" t="e">
            <v>#N/A</v>
          </cell>
          <cell r="R105" t="str">
            <v xml:space="preserve">Collect 725 Carry Receipt Book Collect 725 with Change Carry Receipt Book Collect 725 with Change Carry Receipt Book </v>
          </cell>
          <cell r="S105" t="str">
            <v>O Asiatic ( 14 Inch ) 3     Grass</v>
          </cell>
          <cell r="T105" t="str">
            <v>P n W Glad ( 14 Inch ) 16     Grass</v>
          </cell>
        </row>
        <row r="106">
          <cell r="A106">
            <v>3081</v>
          </cell>
          <cell r="B106" t="str">
            <v xml:space="preserve">Nikhat </v>
          </cell>
          <cell r="C106" t="str">
            <v>90044 52898‬</v>
          </cell>
          <cell r="D106" t="str">
            <v>Tower B, flat 074, DLF regal gardens , sector 90</v>
          </cell>
          <cell r="E106" t="str">
            <v>Manesar</v>
          </cell>
          <cell r="F106" t="str">
            <v>Friday</v>
          </cell>
          <cell r="G106" t="str">
            <v>4 PM to 7 PM</v>
          </cell>
          <cell r="H106">
            <v>1450</v>
          </cell>
          <cell r="I106">
            <v>362.5</v>
          </cell>
          <cell r="J106" t="str">
            <v>Bliss</v>
          </cell>
          <cell r="K106" t="str">
            <v>Paytm From Puneet Pundora (06/03) Hold today (20/03)</v>
          </cell>
          <cell r="N106" t="str">
            <v>2  del of this cycle   -  0-cycles pmnt   Completed - Collect 0</v>
          </cell>
          <cell r="O106" t="str">
            <v>Y Spray Daisy ( 16 inch)  3 Alstomeria 7   FF Sachet + Grass</v>
          </cell>
          <cell r="P106" t="str">
            <v>Sunflower ( 15 inch ) 2 P n W Glad ( 14 inch ) 7   Grass</v>
          </cell>
          <cell r="Q106" t="str">
            <v>P Asiatic ( 15 inch ) 2 P n W Car ( 14 inch ) 7   Grass</v>
          </cell>
          <cell r="R106" t="str">
            <v>Sunflower ( 14 Inch ) 2 Mix Alstroemeria ( 12 Inch )  7   FF Sachet + Grass</v>
          </cell>
          <cell r="S106" t="str">
            <v>Pur Eustom ( 14 Inch ) 2 P n W Glad ( 14 Inch ) 7   FF Sachet + Grass</v>
          </cell>
          <cell r="T106" t="str">
            <v>W Asiatic ( 14 inch ) 2 Pur n P Car ( 14 Inch ) 7   Grass</v>
          </cell>
        </row>
        <row r="107">
          <cell r="A107" t="str">
            <v>CP00001</v>
          </cell>
          <cell r="B107" t="str">
            <v>Nidhi Sharma Malhotra -- BPTP -- Centra 1</v>
          </cell>
          <cell r="C107">
            <v>9999016333</v>
          </cell>
          <cell r="D107" t="str">
            <v>BPTP, Sec 61</v>
          </cell>
          <cell r="E107" t="str">
            <v>Ghata</v>
          </cell>
          <cell r="F107" t="str">
            <v>Friday</v>
          </cell>
          <cell r="G107" t="str">
            <v>By 8 AM</v>
          </cell>
          <cell r="H107">
            <v>24600</v>
          </cell>
          <cell r="I107">
            <v>24600</v>
          </cell>
          <cell r="J107" t="str">
            <v>Corporate</v>
          </cell>
          <cell r="T107" t="str">
            <v xml:space="preserve">      </v>
          </cell>
        </row>
        <row r="108">
          <cell r="A108">
            <v>3099</v>
          </cell>
          <cell r="B108" t="str">
            <v>Manisha Mishra</v>
          </cell>
          <cell r="C108">
            <v>9910993142</v>
          </cell>
          <cell r="D108" t="str">
            <v>E-1202, maceo appartmnet, sector 91</v>
          </cell>
          <cell r="E108" t="str">
            <v>Dwarka Expressway</v>
          </cell>
          <cell r="F108" t="str">
            <v>Friday</v>
          </cell>
          <cell r="G108" t="str">
            <v>4 PM to 7 PM</v>
          </cell>
          <cell r="H108">
            <v>1950</v>
          </cell>
          <cell r="I108">
            <v>487.5</v>
          </cell>
          <cell r="J108" t="str">
            <v>Joy</v>
          </cell>
          <cell r="K108" t="str">
            <v>Paytm from Rohit Ahuja</v>
          </cell>
          <cell r="N108" t="str">
            <v>2  del of this cycle   -  0-cycles pmnt   Completed - Collect 0</v>
          </cell>
          <cell r="O108" t="str">
            <v>P Eustoma ( 14 inch ) 2 P n W Gerbera ( 14 inch ) 11   FF Sachet + Grass</v>
          </cell>
          <cell r="P108" t="str">
            <v>Sunflower ( 15 inch ) 3 Mix Alstroemeria ( 14 inch ) 10 Ensure Collection Ensure Collection Grass</v>
          </cell>
          <cell r="Q108" t="str">
            <v>P Asiatic ( 15 inch ) 2 R n W Car( 14 inch ) 11   Grass</v>
          </cell>
          <cell r="R108" t="str">
            <v>Sunflower ( 14 Inch ) 3  Spray Carnation  10   FF Sachet + Grass</v>
          </cell>
          <cell r="S108" t="str">
            <v>Pur Eustom ( 14 Inch ) 2 P n W Glad ( 14 Inch ) 11   FF Sachet + Grass</v>
          </cell>
          <cell r="T108" t="str">
            <v>P n Y Spray Daisy ( 14 Inch ) 4 Mix Alstroemeria ( 12 Inch ) 11   FF Sachet + Grass</v>
          </cell>
        </row>
        <row r="109">
          <cell r="A109" t="str">
            <v>B56134</v>
          </cell>
          <cell r="B109" t="str">
            <v>Jitendra</v>
          </cell>
          <cell r="C109">
            <v>8800156951</v>
          </cell>
          <cell r="D109" t="str">
            <v>Trehan Luxury Floors</v>
          </cell>
          <cell r="E109" t="str">
            <v>Badshahpur</v>
          </cell>
          <cell r="F109" t="str">
            <v>Thursday</v>
          </cell>
          <cell r="G109" t="str">
            <v>By 10 AM</v>
          </cell>
          <cell r="H109">
            <v>1196</v>
          </cell>
          <cell r="I109">
            <v>1196</v>
          </cell>
          <cell r="J109" t="str">
            <v>Bouquet</v>
          </cell>
          <cell r="N109" t="str">
            <v>1  del of this cycle   -  0-cycles pmnt   In Process - Collect 0</v>
          </cell>
          <cell r="O109" t="e">
            <v>#N/A</v>
          </cell>
          <cell r="P109" t="e">
            <v>#N/A</v>
          </cell>
          <cell r="Q109" t="e">
            <v>#N/A</v>
          </cell>
          <cell r="R109" t="e">
            <v>#N/A</v>
          </cell>
          <cell r="S109" t="e">
            <v>#N/A</v>
          </cell>
          <cell r="T109" t="str">
            <v xml:space="preserve">Trehan Set 1     </v>
          </cell>
        </row>
        <row r="110">
          <cell r="B110" t="str">
            <v xml:space="preserve">Swarnim Saxena </v>
          </cell>
          <cell r="C110" t="str">
            <v xml:space="preserve"> 95360 92727</v>
          </cell>
          <cell r="D110" t="str">
            <v xml:space="preserve"> 808, tower 5, Pyramid Urban Homes, sector 70</v>
          </cell>
          <cell r="H110">
            <v>1390</v>
          </cell>
          <cell r="J110" t="str">
            <v>Bouquet</v>
          </cell>
          <cell r="K110" t="str">
            <v>Send today to Swarnim Saxena 
pyramid address  808, tower 5, Pyramid Urban Homes, sector 70
- 16 pink roses in single brown wrap 
Message: 
For Biwi
- ⁠10 yellow spray daisies in single brown wrap 
Message:
For Maa 
brown wrap kharab nahi hona chahiye ekdum bhi- pls ensure</v>
          </cell>
          <cell r="T110" t="str">
            <v xml:space="preserve">pink roses 16 single brown wrap+Massage yellow spray daisies 10 single brown wrap+Massage </v>
          </cell>
        </row>
        <row r="111">
          <cell r="B111" t="str">
            <v xml:space="preserve">Puja </v>
          </cell>
          <cell r="C111">
            <v>9711533000</v>
          </cell>
          <cell r="D111" t="str">
            <v>175GF Espace, Nirvana Country</v>
          </cell>
          <cell r="G111" t="str">
            <v xml:space="preserve">Before 11 Pm </v>
          </cell>
          <cell r="H111">
            <v>5450</v>
          </cell>
          <cell r="J111" t="str">
            <v>Bouquet</v>
          </cell>
          <cell r="T111" t="str">
            <v xml:space="preserve">Mix Flower Bunch  1 Massage    </v>
          </cell>
        </row>
        <row r="112">
          <cell r="B112" t="str">
            <v>Akhil</v>
          </cell>
          <cell r="C112" t="str">
            <v>98184 64073</v>
          </cell>
          <cell r="D112" t="str">
            <v>R 8B
Windsor Court
DLF Phase 4</v>
          </cell>
          <cell r="G112" t="str">
            <v>immediately</v>
          </cell>
          <cell r="H112">
            <v>750</v>
          </cell>
          <cell r="J112" t="str">
            <v>Bouquet</v>
          </cell>
          <cell r="K112" t="str">
            <v>Akhil
+91 98184 64073
R8B
Windsor Court
DLF Phase 4
Pls send 6 orchids in front walkin tissue wrap today immediately, if delivery team is not free then send via uber and we shall pay delivery charges..</v>
          </cell>
          <cell r="T112" t="str">
            <v xml:space="preserve">Orchids 6 front walkin tissue wrap    </v>
          </cell>
        </row>
        <row r="113">
          <cell r="A113">
            <v>1477</v>
          </cell>
          <cell r="B113" t="str">
            <v>Priyanka Agarwal</v>
          </cell>
          <cell r="C113">
            <v>9810745341</v>
          </cell>
          <cell r="D113" t="str">
            <v>624-A, Fairway East, Sector 65</v>
          </cell>
          <cell r="E113" t="str">
            <v>Badshahpur</v>
          </cell>
          <cell r="F113" t="str">
            <v>Friday</v>
          </cell>
          <cell r="G113" t="str">
            <v>9 AM to 2 PM</v>
          </cell>
          <cell r="H113">
            <v>1600</v>
          </cell>
          <cell r="I113">
            <v>200</v>
          </cell>
          <cell r="J113" t="str">
            <v>Bloom</v>
          </cell>
          <cell r="K113" t="str">
            <v>Monday and Friday//Tuesday and Saturday//Change to 950 pack and sned in evebing slot of Saturday and Tuesday(09/09) NO GERBERA(15/11) Need to check foe the payment(11/12) Sent replacement today(10/04) No Del between 22nd to 29th Apr(13/04) Star after 29th Apr(22/04) Hold after this cycxle(02/08) Today Flowesr returned (24/04) Now send after 18th (13/05) Hold n start from July (22/05) No Flowers till 16th Nov (13/11) Hold today and 10 Days (19/02) Skop monday Del (22/03) Pls skip coming del (05/06) Return today send next week (23/05) Today Returned (15/08) Tiday Returned agains (18/08) Hold due to non payment (06/10) Hold due to non payment (10/10) Hold due to non payment (09/02) HDTNP (13/03) HDTNP (22/05) HDTNP (25/05)</v>
          </cell>
          <cell r="N113" t="str">
            <v>2  del of this cycle   -  1-cycles pmnt   Pending - Collect 1600</v>
          </cell>
          <cell r="O113" t="str">
            <v>Sunflower ( 15 inch) 2     Grass</v>
          </cell>
          <cell r="P113" t="str">
            <v>P n W Glad ( 14 inch ) 7   Ensure Collection Ensure Collection Grass</v>
          </cell>
          <cell r="Q113" t="e">
            <v>#N/A</v>
          </cell>
          <cell r="R113" t="str">
            <v xml:space="preserve">Collect 1400 Carry Receipt Book Collect 1400 Carry Receipt Book Collect 1400 Carry Receipt Book </v>
          </cell>
          <cell r="S113" t="str">
            <v>Mix Alstroemeria ( 12 Inch ) 7     FF Sachet + Grass</v>
          </cell>
          <cell r="T113" t="str">
            <v>Pur n P Car ( 14 Inch ) 7     FF Sachet + Grass</v>
          </cell>
        </row>
        <row r="114">
          <cell r="B114" t="str">
            <v>Maneesha Chaturvedi</v>
          </cell>
          <cell r="C114">
            <v>9971153076</v>
          </cell>
          <cell r="D114" t="str">
            <v>C-614, Sushant Lok I, Gurgaon 122009    Sushant Lok 1 Gurgaon  122009</v>
          </cell>
          <cell r="H114">
            <v>2475</v>
          </cell>
          <cell r="J114" t="str">
            <v>Bouquet</v>
          </cell>
          <cell r="K114" t="str">
            <v>Maneesha chaturvedi
+91 99711 53076
Pls send 4 pink and 2 white oriental
10 mix spray carnations
5 pink n white spray daisy with areca palm n greens today before 1pm</v>
          </cell>
          <cell r="T114" t="str">
            <v xml:space="preserve">Pink and  white oriental+ P spray carnations+pink n Yellow spray daisy 4+2+10+5 with areca palm n greens     </v>
          </cell>
        </row>
        <row r="115">
          <cell r="B115" t="str">
            <v>99535 32266</v>
          </cell>
          <cell r="C115" t="str">
            <v>99535 32267</v>
          </cell>
          <cell r="D115" t="str">
            <v>24, Cassia Marg, 3rd Floor
DLF Phase 2</v>
          </cell>
          <cell r="H115">
            <v>750</v>
          </cell>
          <cell r="J115" t="str">
            <v>Bouquet</v>
          </cell>
          <cell r="K115" t="str">
            <v>Send today 
5 pink asiatic lilies to 
‪+91 99535 32266‬
24, Cassia Marg, 3rd Floor
DLF Phase 2
Gurugram Haryana - 122008</v>
          </cell>
          <cell r="N115" t="str">
            <v>Collect 750</v>
          </cell>
          <cell r="T115" t="str">
            <v xml:space="preserve">pink asiatic 5 Greens    </v>
          </cell>
        </row>
      </sheetData>
      <sheetData sheetId="12"/>
      <sheetData sheetId="13"/>
      <sheetData sheetId="14"/>
      <sheetData sheetId="15"/>
      <sheetData sheetId="16"/>
      <sheetData sheetId="17"/>
      <sheetData sheetId="18">
        <row r="2">
          <cell r="A2">
            <v>330</v>
          </cell>
          <cell r="B2" t="str">
            <v>Anamika Singh</v>
          </cell>
          <cell r="C2">
            <v>9818455330</v>
          </cell>
          <cell r="D2" t="str">
            <v xml:space="preserve">788 C  Sector 15 part II  Sec 15 Gurgaon  122001 </v>
          </cell>
          <cell r="E2" t="str">
            <v>Old Gurgaon</v>
          </cell>
          <cell r="F2" t="str">
            <v>Friday</v>
          </cell>
          <cell r="G2" t="str">
            <v>4 PM to 7PM</v>
          </cell>
          <cell r="H2">
            <v>1450</v>
          </cell>
          <cell r="I2">
            <v>362.5</v>
          </cell>
          <cell r="J2" t="str">
            <v>Bliss</v>
          </cell>
          <cell r="K2" t="str">
            <v>Day changed to Saturday(15/09)Hold again send tomorrow(09/12) Upgrade to 650 Plan and ASIATIC n ORCHID ALTERNATIVELY(02/05) send on friday- this week only , send lilies this week(07/08/19) Car next(28/09) Send Lilies/Orchids/Chrysanthemum/Rose(13/12)Upgrade to Bliss and Day changed to Thursday evening// DONT ASK FOR PAYMENT SHE WILL ALWAYS PAYTM(13/12) Paytm from Parveen Gupta(16/01)  Holy Change(16/03) Received 1000 via paytm-- Parveen Gupta(28/05) Pls send tom (06/02) HDTNP (13/03) HDTNP (12/06)</v>
          </cell>
          <cell r="N2" t="str">
            <v>3  del of this cycle   -  1-cycles pmnt   Pending - Collect 1450</v>
          </cell>
          <cell r="O2" t="str">
            <v>P n W Glad ( 14 inch ) 16     Grass</v>
          </cell>
          <cell r="P2" t="str">
            <v>Y Asiatic ( 15 inch ) 3     Grass</v>
          </cell>
          <cell r="Q2" t="str">
            <v>R n W Car ( 14 Inch ) 16     FF Sachet + Grass</v>
          </cell>
          <cell r="R2" t="str">
            <v>Mix Alstroemeria ( 12 Inch ) 16     FF Sachet + Grass</v>
          </cell>
          <cell r="S2" t="e">
            <v>#N/A</v>
          </cell>
          <cell r="T2" t="str">
            <v xml:space="preserve">Mix Car 16    Grass </v>
          </cell>
        </row>
        <row r="3">
          <cell r="A3">
            <v>3009</v>
          </cell>
          <cell r="B3" t="str">
            <v>Supriya Mangal Lakshya</v>
          </cell>
          <cell r="C3">
            <v>8527224296</v>
          </cell>
          <cell r="D3" t="str">
            <v>Lakshya Mangal House, 12-A, Sector 14</v>
          </cell>
          <cell r="E3" t="str">
            <v>Old Gurgaon</v>
          </cell>
          <cell r="F3" t="str">
            <v>Friday</v>
          </cell>
          <cell r="G3" t="str">
            <v>4 PM to 7 Pm</v>
          </cell>
          <cell r="H3">
            <v>1950</v>
          </cell>
          <cell r="I3">
            <v>487.5</v>
          </cell>
          <cell r="J3" t="str">
            <v>Collection Only</v>
          </cell>
          <cell r="K3" t="str">
            <v>Day Changed to Friday Evening (11/09) Ski[p 1 week (27/11) 14th Nov Del was on hold (06/12) Hold due to non payment (09/1) Skip 1 week (22/01) Skip this Friday n send on Monday (28/01) Send tom (06/02) Send on Monday (06/02) Today Hold (20/02) Skip 2 weeks (11/03) HDTNP (01/05) HDTNP (29/05) HDTNP (12/06)</v>
          </cell>
          <cell r="N3" t="str">
            <v>3  del of this cycle   -  1-cycles pmnt   Pending - Collect 2200</v>
          </cell>
          <cell r="O3" t="str">
            <v>Sunflower ( 15 inch ) 3 Mix Alstroemeria ( 14 inch ) 11   Grass</v>
          </cell>
          <cell r="P3" t="str">
            <v>P Asiatic ( 15 inch ) 2 P n W Glad ( 14 inch ) 11   Grass</v>
          </cell>
          <cell r="Q3" t="e">
            <v>#N/A</v>
          </cell>
          <cell r="R3" t="e">
            <v>#N/A</v>
          </cell>
          <cell r="S3" t="e">
            <v>#N/A</v>
          </cell>
          <cell r="T3" t="str">
            <v xml:space="preserve">Collect 737 Pls Carry Change and Receipt Book Pls Carry Change and Receipt Book    </v>
          </cell>
        </row>
        <row r="4">
          <cell r="A4">
            <v>148</v>
          </cell>
          <cell r="B4" t="str">
            <v>Ruchi Kathpalia</v>
          </cell>
          <cell r="C4">
            <v>9899052574</v>
          </cell>
          <cell r="D4" t="str">
            <v>227, Lane 6B,Sector17,Gurgaon</v>
          </cell>
          <cell r="E4" t="str">
            <v>Old Gurgaon</v>
          </cell>
          <cell r="F4" t="str">
            <v>Friday</v>
          </cell>
          <cell r="G4" t="str">
            <v>4 PM to 7PM</v>
          </cell>
          <cell r="H4">
            <v>999</v>
          </cell>
          <cell r="I4">
            <v>249.75</v>
          </cell>
          <cell r="J4" t="str">
            <v>Delight</v>
          </cell>
          <cell r="K4" t="str">
            <v>Pls send some Extra flowers(22/08)Send glad on Friday this week only(27/09) Gifted 1 subscription of 450 to her mother(16/12) NO ROSE(21/12) Upgrade to 650 Plan n NO ORCHID(02/05) NO ASIATIC n ORCHID(04/05) FF Sold Today(20/07) FF Sold today(24/08) GLAD Next(26/09) paytm recvd of 150 from Aditya Kathpalia(11/01) Glad next(03/09/20) Sending Del tom due to Diwali(11/11) Preferred Flowers-- Glad+Chrysanthemum + Tuberose + Car(30/11) NO ROSE(05/02) Holy Change(16/03) NO ROSE (26/04) Pooja's Account (07/07) Send tom (06/02)</v>
          </cell>
          <cell r="L4" t="str">
            <v>ROSE</v>
          </cell>
          <cell r="N4" t="str">
            <v>3  del of this cycle   -  0-cycles pmnt   Completed - Collect 0</v>
          </cell>
          <cell r="O4" t="str">
            <v>Sunflower ( 15 inch ) 2     Grass</v>
          </cell>
          <cell r="P4" t="str">
            <v>Mix Glad 9     Grass</v>
          </cell>
          <cell r="Q4" t="str">
            <v>Mix Alstroemeria ( 12 Inch ) 9     FF Sachet + Grass</v>
          </cell>
          <cell r="R4" t="str">
            <v>O Asiatic ( 14 Inch ) 2     Grass</v>
          </cell>
          <cell r="S4" t="str">
            <v>Pur n P Car ( 14 Inch ) 9     FF Sachet + Grass</v>
          </cell>
          <cell r="T4" t="str">
            <v xml:space="preserve">Rajni 9    Grass </v>
          </cell>
        </row>
        <row r="5">
          <cell r="A5">
            <v>2394</v>
          </cell>
          <cell r="B5" t="str">
            <v>Sachi Poudiyal</v>
          </cell>
          <cell r="C5">
            <v>8420453178</v>
          </cell>
          <cell r="D5" t="str">
            <v>H. No. 901, Ground Floor, Sec 17 B, Next to St PBN School</v>
          </cell>
          <cell r="E5" t="str">
            <v>Old Gurgaon</v>
          </cell>
          <cell r="F5" t="str">
            <v>Friday</v>
          </cell>
          <cell r="G5" t="str">
            <v>4 PM to 7 PM</v>
          </cell>
          <cell r="H5">
            <v>1450</v>
          </cell>
          <cell r="I5">
            <v>362.5</v>
          </cell>
          <cell r="J5" t="str">
            <v>Bliss</v>
          </cell>
          <cell r="K5" t="str">
            <v>12 Del Payment done today (18/03) Hold n start from Aug(12/06) One Payment Received today (09/11)</v>
          </cell>
          <cell r="N5" t="str">
            <v>2  del of this cycle   -  1-cycles pmnt   Pending - Collect 1450</v>
          </cell>
          <cell r="O5" t="str">
            <v>R n W Car ( 14 inch ) 16     FF Sachet + Grass</v>
          </cell>
          <cell r="P5" t="str">
            <v>Asiatic 3     Grass</v>
          </cell>
          <cell r="Q5" t="str">
            <v>P n Y Spray Daisy ( 15 Inch ) 5     FF Sachet + Grass</v>
          </cell>
          <cell r="R5" t="str">
            <v>P n W Glad ( 14 Inch ) 16     Grass</v>
          </cell>
          <cell r="S5" t="str">
            <v>Sunflower ( 12 Inch ) 4     FF Sachet + Grass</v>
          </cell>
          <cell r="T5" t="str">
            <v xml:space="preserve">Pur Eustom ( 12 Inch ) 3    FF Sachet + Grass </v>
          </cell>
        </row>
        <row r="6">
          <cell r="A6">
            <v>3334</v>
          </cell>
          <cell r="B6" t="str">
            <v>Sachi Poudiyal</v>
          </cell>
          <cell r="C6">
            <v>8420453178</v>
          </cell>
          <cell r="D6" t="str">
            <v>H. No. 901, Ground Floor, Sec 17 B, Next to St PBN School</v>
          </cell>
          <cell r="E6" t="str">
            <v>Old Gurgaon</v>
          </cell>
          <cell r="F6" t="str">
            <v>Friday</v>
          </cell>
          <cell r="G6" t="str">
            <v>4 PM to 7 PM</v>
          </cell>
          <cell r="H6">
            <v>1450</v>
          </cell>
          <cell r="I6">
            <v>362.5</v>
          </cell>
          <cell r="J6" t="str">
            <v>Bliss</v>
          </cell>
          <cell r="N6" t="str">
            <v>1  del of this cycle   -  1-cycles pmnt   Pending - Collect 1450</v>
          </cell>
          <cell r="O6" t="str">
            <v>P n Y Spray Daisy ( 15 inch ) 5     FF Sachet + Grass</v>
          </cell>
          <cell r="P6" t="str">
            <v>Rajni ( 16 inch ) 16     Grass</v>
          </cell>
          <cell r="Q6" t="str">
            <v>P Asiatic ( 15 Inch ) 3     Grass</v>
          </cell>
          <cell r="R6" t="str">
            <v>P n W Glad ( 14 Inch ) 16     Grass</v>
          </cell>
          <cell r="S6" t="str">
            <v>Pur n P Car ( 14 Inch ) 16     FF Sachet + Grass</v>
          </cell>
          <cell r="T6" t="str">
            <v xml:space="preserve">P n W Spray Daisy ( 14 Inch ) 5    FF Sachet + Grass </v>
          </cell>
        </row>
        <row r="7">
          <cell r="A7">
            <v>72</v>
          </cell>
          <cell r="B7" t="str">
            <v>Mrs. Raman-- AFTER 4:30 PM</v>
          </cell>
          <cell r="C7">
            <v>9810235092</v>
          </cell>
          <cell r="D7" t="str">
            <v>1519, Sector-17 C</v>
          </cell>
          <cell r="E7" t="str">
            <v>Old Gurgaon</v>
          </cell>
          <cell r="F7" t="str">
            <v>Friday</v>
          </cell>
          <cell r="G7" t="str">
            <v>4 PM to 7PM</v>
          </cell>
          <cell r="H7">
            <v>999</v>
          </cell>
          <cell r="I7">
            <v>249.75</v>
          </cell>
          <cell r="J7" t="str">
            <v>Delight</v>
          </cell>
          <cell r="K7" t="str">
            <v>No Rajni n Daisy(22/05)Next Del on 12th June(08/06) Send cheque back to get a new one(11/06)Skip tomorrow and send on Friday this week(21/11) 1 Stick extra in next del(06/12) 1 Stick extra in next Del(06/12) 500 added for bouquet sent to Nupur n Karthik(29/12) After 24th skip n send on 14th Feb(10/01) Rses Next(10/01) Next Del on 14th Feb(24/01) Return-send tom(04/04) Send Next Del in Evening slot(01/05) Day Chnaged to Friday(26/06) Change day to sunday(10/07) FF Sold today(21/07) Return-send tom(03/11) PLS SEND 15TH DEL ON 14TH(27/11) Send sat this week before 11:30 AM(12/12) Today hold send on sat(20/08/20) Only Chrysanthemum till they are in good shape(12/11) Skip tom and send on friday(27/01) Skip 1 week(21/03) Shift to Delight and 8 stick every week(15/09) Always 8 sticks(10/12) Send on Sat this week(16/02)  Holy Change(16/03) Send on sat this week(23/03) Send this week on 8th (04/10) Skip tom and send on sunday (05/01) Hold today n send tom (03/03) Dont send on 30th June-- Send on 1st July with Pink n Yellow Gerbera (23/06) Hold today and send on sunday (27/10) Send a vase tom (25/01) Hold today n send tom (09/02) Hold today (07/06) Skip friday and send on sunday (08/08) Skip friday n start from sunday (30/01) Skip 1 week (11/03) Hold today n send on sunday (16/05) Hold till 1th June (25/05) Hold till 8th Feb (18/01)</v>
          </cell>
          <cell r="N7" t="str">
            <v>3  del of this cycle   -  0-cycles pmnt   Completed - Collect 0</v>
          </cell>
          <cell r="O7" t="str">
            <v>P n W Glad ( 14 inch ) 9     Grass</v>
          </cell>
          <cell r="P7" t="str">
            <v>P Spray Daisy ( 15 inch ) 3     FF Sachet + Grass</v>
          </cell>
          <cell r="Q7" t="str">
            <v>R n W Car ( 14 Inch ) 9     FF Sachet + Grass</v>
          </cell>
          <cell r="R7" t="str">
            <v>O Asiatic ( 14 Inch ) 2     FF Sachet + Grass</v>
          </cell>
          <cell r="S7" t="str">
            <v>P n W Glad ( 14 Inch ) 9     Grass</v>
          </cell>
          <cell r="T7" t="str">
            <v xml:space="preserve">Mix Alstroemeria ( 12 Inch ) 9    FF Sacget + Grass </v>
          </cell>
        </row>
        <row r="8">
          <cell r="A8">
            <v>3375</v>
          </cell>
          <cell r="B8" t="str">
            <v>Saniya Anand</v>
          </cell>
          <cell r="C8">
            <v>9810955188</v>
          </cell>
          <cell r="D8" t="str">
            <v>D-1102, Caritriona Ambience Island</v>
          </cell>
          <cell r="E8" t="str">
            <v>M G Road</v>
          </cell>
          <cell r="F8" t="str">
            <v>Friday</v>
          </cell>
          <cell r="G8" t="str">
            <v>4 Pm to 7 PM</v>
          </cell>
          <cell r="H8">
            <v>1950</v>
          </cell>
          <cell r="I8">
            <v>487.5</v>
          </cell>
          <cell r="J8" t="str">
            <v>Joy</v>
          </cell>
          <cell r="N8" t="str">
            <v>3  del of this cycle   -  0-cycles pmnt   Completed - Collect 0</v>
          </cell>
          <cell r="O8" t="e">
            <v>#N/A</v>
          </cell>
          <cell r="P8" t="e">
            <v>#N/A</v>
          </cell>
          <cell r="Q8" t="e">
            <v>#N/A</v>
          </cell>
          <cell r="R8" t="str">
            <v>Shd Pur n P Car ( 14 Inch ) 22     FF Sachet + Grass</v>
          </cell>
          <cell r="S8" t="str">
            <v>P Asiatic ( 14 Inch ) 4     Grass</v>
          </cell>
          <cell r="T8" t="str">
            <v>Rajni 22     Grass</v>
          </cell>
        </row>
        <row r="9">
          <cell r="A9">
            <v>781</v>
          </cell>
          <cell r="B9" t="str">
            <v>Maj. Gen. KN Singh</v>
          </cell>
          <cell r="C9">
            <v>9971391417</v>
          </cell>
          <cell r="D9" t="str">
            <v>GH 4/5C Gurgaon One Apartments- Sectr 22</v>
          </cell>
          <cell r="E9" t="str">
            <v>Old Gurgaon</v>
          </cell>
          <cell r="F9" t="str">
            <v>Friday</v>
          </cell>
          <cell r="G9" t="str">
            <v>4 PM to 7PM</v>
          </cell>
          <cell r="H9">
            <v>1450</v>
          </cell>
          <cell r="I9">
            <v>362.5</v>
          </cell>
          <cell r="J9" t="str">
            <v>Bliss</v>
          </cell>
          <cell r="K9" t="str">
            <v>Tuesday and friday// NO ORCHIDS(02/09) Skip 1 week(04/08) Skip 1 week(22/09) Skip 1 week (15/12) Today hold (13/01) Skip 2 weeks (23/01) Skip 1 week (30/03) Skip 1 week (13/04) Shift to Bliss (27/04) Send replacement tom (13/05) Skip 1 week (24/05) Skip 1 week (25/07) Skip 1 week (10/08) Skip 2 week (08/01) Skip 17th and send on 19th (15/05) Skip 2 week (09/01) Skip 1 week (11/03) skip 2 week (04/12) Send tom (06/02) hOLD TODAY (08/05)</v>
          </cell>
          <cell r="N9" t="str">
            <v>3  del of this cycle   -  0-cycles pmnt   Completed - Collect 0</v>
          </cell>
          <cell r="O9" t="str">
            <v>R n W Car ( 14 inch ) 16     FF Sachet + Grass</v>
          </cell>
          <cell r="P9" t="str">
            <v>P n W Glad ( 16 Inch) 16     Grass</v>
          </cell>
          <cell r="Q9" t="str">
            <v>Mix Alstroemeria ( 12 Inch ) 16     FF Sachet + Grass</v>
          </cell>
          <cell r="R9" t="str">
            <v>P Asiatic ( 14 Inch ) 3     Grass</v>
          </cell>
          <cell r="S9" t="str">
            <v>P n Y Spray Daisy ( 14 Inch ) 5     FF Sachet + Grass</v>
          </cell>
          <cell r="T9" t="str">
            <v xml:space="preserve">R n P Car ( 14 Inch ) 16    FF Sachet + Grass </v>
          </cell>
        </row>
        <row r="10">
          <cell r="A10">
            <v>3109</v>
          </cell>
          <cell r="B10" t="str">
            <v>Dr. Apoorva Batra</v>
          </cell>
          <cell r="C10">
            <v>9896166336</v>
          </cell>
          <cell r="D10" t="str">
            <v>T-40/002, Emaar Emerald Floors Premiers, Sec 65</v>
          </cell>
          <cell r="E10" t="str">
            <v>Badshahpur</v>
          </cell>
          <cell r="F10" t="str">
            <v>Friday</v>
          </cell>
          <cell r="G10" t="str">
            <v>4 Pm to 7 PM</v>
          </cell>
          <cell r="H10">
            <v>999</v>
          </cell>
          <cell r="I10">
            <v>249.75</v>
          </cell>
          <cell r="J10" t="str">
            <v>Delight</v>
          </cell>
          <cell r="K10" t="str">
            <v>HDTNP (22/05) Skip 1 week (11/06)</v>
          </cell>
          <cell r="N10" t="str">
            <v>2  del of this cycle   -  0-cycles pmnt   Completed - Collect 0</v>
          </cell>
          <cell r="O10" t="str">
            <v>R n W Car ( 14 inch ) 9   Ensure Collection Ensure Collection FF Sachet + Grass</v>
          </cell>
          <cell r="P10" t="e">
            <v>#N/A</v>
          </cell>
          <cell r="Q10" t="str">
            <v>O Asiatic ( 15 Inch ) 2     Grass</v>
          </cell>
          <cell r="R10" t="str">
            <v>P n W Glad ( 14 Inch ) 9     Grass</v>
          </cell>
          <cell r="S10" t="e">
            <v>#N/A</v>
          </cell>
          <cell r="T10" t="str">
            <v xml:space="preserve">Mix Car 9    FF Sachet + Grass </v>
          </cell>
        </row>
        <row r="11">
          <cell r="A11">
            <v>2066</v>
          </cell>
          <cell r="B11" t="str">
            <v>Shilpi Tibrewal</v>
          </cell>
          <cell r="C11">
            <v>9999103067</v>
          </cell>
          <cell r="D11" t="str">
            <v>Tower-A/3803, Ireo Victory Valley, Sec 67</v>
          </cell>
          <cell r="E11" t="str">
            <v>Badshahpur</v>
          </cell>
          <cell r="F11" t="str">
            <v>Friday</v>
          </cell>
          <cell r="G11" t="str">
            <v>4 Pm to 7 PM</v>
          </cell>
          <cell r="H11">
            <v>1450</v>
          </cell>
          <cell r="I11">
            <v>362.5</v>
          </cell>
          <cell r="J11" t="str">
            <v>Bliss</v>
          </cell>
          <cell r="K11" t="str">
            <v>Either Rose or Car// Normal Flowers (04/05) Sent replacement today (26/08) Return yesterday (17/08) Today returned (25/07)</v>
          </cell>
          <cell r="N11" t="str">
            <v>2  del of this cycle   -  0-cycles pmnt   CompletedNO COLLECTION-we have extra money - Collect -50</v>
          </cell>
          <cell r="O11" t="str">
            <v>P n W Glad ( 14 inch ) 16     Grass</v>
          </cell>
          <cell r="P11" t="str">
            <v>P Asiatic ( 15 inch ) 3     Grass</v>
          </cell>
          <cell r="Q11" t="str">
            <v>R n W Car ( 14 Inch ) 16     FF Sachet + Grass</v>
          </cell>
          <cell r="R11" t="str">
            <v>Pur Eustom ( 14 Inch ) 3     FF Sachet + Grass</v>
          </cell>
          <cell r="S11" t="str">
            <v>P n Y Spray Daisy ( 14 Inch ) 5     FF Sachet + Grass</v>
          </cell>
          <cell r="T11" t="str">
            <v xml:space="preserve">P n W Glad ( 14 Inch ) 16    Grass </v>
          </cell>
        </row>
        <row r="12">
          <cell r="A12">
            <v>3013</v>
          </cell>
          <cell r="B12" t="str">
            <v>Surabhi Sukriti</v>
          </cell>
          <cell r="C12">
            <v>8652750573</v>
          </cell>
          <cell r="D12" t="str">
            <v>D-804, Bestech Park Viw Spa Next, Sec 67</v>
          </cell>
          <cell r="E12" t="str">
            <v>Badshahpur</v>
          </cell>
          <cell r="F12" t="str">
            <v>Friday</v>
          </cell>
          <cell r="G12" t="str">
            <v>4 PM to 7 PM</v>
          </cell>
          <cell r="H12">
            <v>1450</v>
          </cell>
          <cell r="I12">
            <v>362.5</v>
          </cell>
          <cell r="J12" t="str">
            <v>Bliss</v>
          </cell>
          <cell r="K12" t="str">
            <v>Skip 1 week (01/10) Add changed (05/04)</v>
          </cell>
          <cell r="N12" t="str">
            <v>4  del of this cycle   -  0-cycles pmnt   Completed - Collect 0</v>
          </cell>
          <cell r="O12" t="str">
            <v>Eustoma 2 P n W Glad ( 14 inch ) 7   Grass</v>
          </cell>
          <cell r="P12" t="str">
            <v>Sunflower ( 15 inch ) 2 P n W Car ( 14 inch ) 7   FF Sachet + Grass</v>
          </cell>
          <cell r="Q12" t="str">
            <v>O Asiatic ( 15 Inch ) 2 Mix Alstroemeria ( 12 Inch )  7   Grass</v>
          </cell>
          <cell r="R12" t="str">
            <v>P Spray Daisy ( 14 Inch ) 3 P n W Glad ( 14 Inch ) 7   FF Sachet + Grass</v>
          </cell>
          <cell r="S12" t="str">
            <v>Pur Eustoma ( 12 Inch ) 2 Pur n P Car ( 14 Inch ) 7   FF Sachet + Grass</v>
          </cell>
          <cell r="T12" t="str">
            <v xml:space="preserve">Sunflower ( 12 Inch ) 2 Mix Alstroemeria (  12 Inch ) 7  FF Sachet + Grass </v>
          </cell>
        </row>
        <row r="13">
          <cell r="A13">
            <v>3119</v>
          </cell>
          <cell r="B13" t="str">
            <v>Rachna Prasad</v>
          </cell>
          <cell r="C13">
            <v>9811106435</v>
          </cell>
          <cell r="D13" t="str">
            <v>N-3/202, Paras Irene Appartments, Sec 70 A</v>
          </cell>
          <cell r="E13" t="str">
            <v>Badshahpur</v>
          </cell>
          <cell r="F13" t="str">
            <v>Friday</v>
          </cell>
          <cell r="G13" t="str">
            <v>4 Pm to 7 PM</v>
          </cell>
          <cell r="H13">
            <v>1450</v>
          </cell>
          <cell r="I13">
            <v>362.5</v>
          </cell>
          <cell r="J13" t="str">
            <v>Bliss</v>
          </cell>
          <cell r="K13" t="str">
            <v>1000 cash and 450 via paytm (01/11) This week send on Sunday (09/02) Paytm From Outside Edge (28/02) Replacement tom (09/03)</v>
          </cell>
          <cell r="M13" t="str">
            <v>No Flowers on 13th -send on 15th Feb (09/02)</v>
          </cell>
          <cell r="N13" t="str">
            <v>2  del of this cycle   -  1-cycles pmnt   Pending - Collect 1450</v>
          </cell>
          <cell r="O13" t="str">
            <v>Sunflower ( 15 inch ) 2 P n W Glad ( 14 inch ) 7   Grass</v>
          </cell>
          <cell r="P13" t="str">
            <v>P Eustoma ( 14 Inch ) 2 P n W Car ( 14 inch ) 7   FF Sachet + Grass</v>
          </cell>
          <cell r="Q13" t="str">
            <v>O Asiatic ( 15 Inch ) 2 Mix Alstroemeria ( 12 Inch )  7   Grass</v>
          </cell>
          <cell r="R13" t="str">
            <v>Y Spray Daisy ( 14 Inch ) 3 P n W Glad ( 14 Inch ) 7   FF Sachet + Grass</v>
          </cell>
          <cell r="S13" t="str">
            <v>Sunflower ( 12 Inch ) 2 Pur n P Car ( 14 Inch ) 7   FF Sachet + Grass</v>
          </cell>
          <cell r="T13" t="str">
            <v xml:space="preserve">Pur Eustom ( 12 Inch ) 2 Mix Alstroemeria (  12 Inch ) 7  FF Sachet + Grass </v>
          </cell>
        </row>
        <row r="14">
          <cell r="A14">
            <v>3357</v>
          </cell>
          <cell r="B14" t="str">
            <v>Yamini Sharma</v>
          </cell>
          <cell r="C14">
            <v>9958582708</v>
          </cell>
          <cell r="D14" t="str">
            <v>Solace 253, AIPL Peaceful Homes, Sec 70 A</v>
          </cell>
          <cell r="E14" t="str">
            <v>Manesar</v>
          </cell>
          <cell r="F14" t="str">
            <v>Friday</v>
          </cell>
          <cell r="G14" t="str">
            <v>4 Pm to 7 PM</v>
          </cell>
          <cell r="H14">
            <v>1450</v>
          </cell>
          <cell r="I14">
            <v>362.5</v>
          </cell>
          <cell r="J14" t="str">
            <v>Bliss</v>
          </cell>
          <cell r="K14" t="str">
            <v>Skip 1 week (28/05)</v>
          </cell>
          <cell r="N14" t="str">
            <v>2  del of this cycle   -  1-cycles pmnt   Pending - Collect 1450</v>
          </cell>
          <cell r="O14" t="str">
            <v>P n Y Spray Daisy ( 15 inch ) 5   Ensure Collection Ensure Collection FF Sachet + Grass</v>
          </cell>
          <cell r="P14" t="str">
            <v>P n W Glad ( 16 Inch) 16     Grass</v>
          </cell>
          <cell r="Q14" t="e">
            <v>#N/A</v>
          </cell>
          <cell r="R14" t="str">
            <v>O Asiatic ( 14 Inch ) 3     Grass</v>
          </cell>
          <cell r="S14" t="str">
            <v>Mix Alstroemeria ( 12 Inch ) 16     FF Sachet + Grass</v>
          </cell>
          <cell r="T14" t="str">
            <v xml:space="preserve">P Eustoma ( 12 Inch ) 3    FF Sachet + Grass </v>
          </cell>
        </row>
        <row r="15">
          <cell r="A15">
            <v>2858</v>
          </cell>
          <cell r="B15" t="str">
            <v>Devika Tandon</v>
          </cell>
          <cell r="C15">
            <v>8527991304</v>
          </cell>
          <cell r="D15" t="str">
            <v>A-293, AIPL The Peaceful Homes</v>
          </cell>
          <cell r="E15" t="str">
            <v>Badshahpur</v>
          </cell>
          <cell r="F15" t="str">
            <v>Friday</v>
          </cell>
          <cell r="G15" t="str">
            <v>4 PM to 7PM</v>
          </cell>
          <cell r="H15">
            <v>1450</v>
          </cell>
          <cell r="I15">
            <v>362.5</v>
          </cell>
          <cell r="J15" t="str">
            <v>Bliss</v>
          </cell>
          <cell r="N15" t="str">
            <v>1  del of this cycle   -  1-cycles pmnt   Pending - Collect 1450</v>
          </cell>
          <cell r="O15" t="e">
            <v>#N/A</v>
          </cell>
          <cell r="P15" t="str">
            <v>R n W Car ( 14 inch ) 16     FF Sachet + Grass</v>
          </cell>
          <cell r="Q15" t="str">
            <v>O Asiatic ( 15 Inch ) 3     Grass</v>
          </cell>
          <cell r="R15" t="str">
            <v>P n W Glad ( 14 Inch ) 16     Grass</v>
          </cell>
          <cell r="S15" t="str">
            <v>P n Y Spray Daisy ( 14 Inch ) 5     FF Sachet + Grass</v>
          </cell>
          <cell r="T15" t="str">
            <v xml:space="preserve">P Eustoma ( 12 Inch ) 3    FF Sachet + Grass </v>
          </cell>
        </row>
        <row r="16">
          <cell r="A16">
            <v>1630</v>
          </cell>
          <cell r="B16" t="str">
            <v>Nikhil Ranganathan-- Evening Only</v>
          </cell>
          <cell r="C16">
            <v>9910184448</v>
          </cell>
          <cell r="D16" t="str">
            <v>24/7, Primrose Vatika</v>
          </cell>
          <cell r="E16" t="str">
            <v>Sohna Road 1</v>
          </cell>
          <cell r="F16" t="str">
            <v>Friday</v>
          </cell>
          <cell r="G16" t="str">
            <v>4 Pm to 7 PM</v>
          </cell>
          <cell r="H16">
            <v>1450</v>
          </cell>
          <cell r="I16">
            <v>362.5</v>
          </cell>
          <cell r="J16" t="str">
            <v>Bliss</v>
          </cell>
          <cell r="K16" t="str">
            <v>Friday n Monday// Holy Change(16/03) Orchids this week(05/06) Do Not Count last Delivery(13/08) Skip 1 week (16/10) Skip 1 week (22/12) Received one more payment of 2900 today (07/01) Hold n start from 31st Mar (12/03) Monday n Friday // Send Flower food next (24/06) Skip tom Del (12/10) Skip Friday Delivery (17/10) Change to Bliss (13/12) Skip 2 week (09/01) Skip 1 week (22/02) Skip 8th Del (01/03) In Pooja's Account (01/07) Skip 1 week (09/7) Skip 1 week (14/08) Skip 1 week (27.10) Skip 2 weeks (04/06) Skip 1 week (22/01) Skip 1 week (25/03) Send vase tom (27/04)</v>
          </cell>
          <cell r="N16" t="str">
            <v>1  del of this cycle   -  1-cycles pmnt   Pending - Collect 1450</v>
          </cell>
          <cell r="O16" t="str">
            <v>Spray Daisy 5     Grass</v>
          </cell>
          <cell r="P16" t="str">
            <v>Sunflower ( 15 inch ) 4     Grass</v>
          </cell>
          <cell r="Q16" t="str">
            <v>O Asiatic ( 15 Inch ) 3     Grass</v>
          </cell>
          <cell r="R16" t="str">
            <v>P n W Glad ( 14 Inch ) 16     Grass</v>
          </cell>
          <cell r="S16" t="str">
            <v>P n Y Spray Daisy ( 14 Inch ) 5     FF Sachet + Grass</v>
          </cell>
          <cell r="T16" t="str">
            <v xml:space="preserve">R n P Car ( 14 Inch ) 16    FF Sachet + Grass </v>
          </cell>
        </row>
        <row r="17">
          <cell r="A17">
            <v>207</v>
          </cell>
          <cell r="B17" t="str">
            <v>Ms. Monaliza</v>
          </cell>
          <cell r="C17">
            <v>9958305888</v>
          </cell>
          <cell r="D17" t="str">
            <v>C-4/703, Sovereign, Vatika City</v>
          </cell>
          <cell r="E17" t="str">
            <v>Sohna Road 1</v>
          </cell>
          <cell r="F17" t="str">
            <v>Friday</v>
          </cell>
          <cell r="G17" t="str">
            <v>4 Pm to 7 PM</v>
          </cell>
          <cell r="H17">
            <v>1450</v>
          </cell>
          <cell r="I17">
            <v>362.5</v>
          </cell>
          <cell r="J17" t="str">
            <v>Bliss</v>
          </cell>
          <cell r="K17" t="str">
            <v>Never send Rajni, Gerbera and Daisy(17/06)Rtrnd today send tomorrow(22/07)Day chenged to Monday(23/07)Don’t send between 22nd to 30th(07/10) Returnde-send next week(25/02) Preferred Flowers-- Rose + Orchid+Oriental + Heliconia(30/11) Sent 1 del today(15/10) Sent replacement today and never colorefull roses(15/02)  Holy Change(16/03) Skip 2 weeks (26/09) Skip 1 week (24/11) Send 1  Del tom (26/11) Senty replacement today (22/05) Return-send next week (30/06) No Sunflowers (03/03) Skip 1 week (21/03) Hold she is changing house (06/05) Hold today due to non payment (02/10) Hold due to non payment (09/10) Hold due to non payment (26/12) Hold due to non payment (23/01) Hold due to non payment (30/01) From Rohit Ramani (17/02) Skip tom (28/05)</v>
          </cell>
          <cell r="L17" t="str">
            <v>Sunflower</v>
          </cell>
          <cell r="N17" t="str">
            <v>4  del of this cycle   -  0-cycles pmnt   Completed - Collect 0</v>
          </cell>
          <cell r="O17" t="str">
            <v>Mix Alstroemeria ( 14 inch ) 16     FF Sachet + Grass</v>
          </cell>
          <cell r="P17" t="str">
            <v>Mix Spray Daisy 5     FF Sachet + Grass</v>
          </cell>
          <cell r="Q17" t="e">
            <v>#N/A</v>
          </cell>
          <cell r="R17" t="str">
            <v>P Asiatic ( 14 Inch ) 3     Grass</v>
          </cell>
          <cell r="S17" t="str">
            <v>P n W Glad ( 14 Inch ) 16     Grass</v>
          </cell>
          <cell r="T17" t="str">
            <v xml:space="preserve">R n P Car ( 14 Inch ) 16    FF Sachet + Grass </v>
          </cell>
        </row>
        <row r="18">
          <cell r="A18">
            <v>467</v>
          </cell>
          <cell r="B18" t="str">
            <v>Mamta Wassan -- From Dilip Puri</v>
          </cell>
          <cell r="C18">
            <v>9867722349</v>
          </cell>
          <cell r="D18" t="str">
            <v>1/9, Hamelia Street, Vatika City</v>
          </cell>
          <cell r="E18" t="str">
            <v>Sohna Road 1</v>
          </cell>
          <cell r="F18" t="str">
            <v>Friday</v>
          </cell>
          <cell r="G18" t="str">
            <v>4 Pm to 7 PM</v>
          </cell>
          <cell r="H18">
            <v>1450</v>
          </cell>
          <cell r="I18">
            <v>362.5</v>
          </cell>
          <cell r="J18" t="str">
            <v>Bliss</v>
          </cell>
          <cell r="K18" t="str">
            <v>Changed to Friday//Next P Asiatic(26/10)Skip 1 week(22/11) Skip 1 week(22/12) Hold n skip this week(11/01) NO RED ROSE(18/01) Skip 1 week(14/03) Return-send again tomorrow(29/03) NO MIXED FLOWERS (06/04) Send Replacement and NO ORCHIDS TILL IT GET HEALTHY(28/04) AVOID CAR(09/05) Hold again-start after 15th and inform before sending(05/07) SEND ONLY ASIATIC TILL OTHER FOWERS ARE IN BEST SHAPE OTHRE THAN ROSE/ORCHID N CAR(15/10) Skip next 2 weeks(18/11) Skip 1 week(05/12)  Hold n start from 1st week of Apr// Inform before sending(20/03) Skip 1 week(24/12) Skip 1 week(29/01) Skip 1 week(08/02) Skip 1 week(12/02) Skip 1 week(27/03) Skip 2 weeks(23/04) Skip 1 week(12/09) Holy Change(16/03) Skip 2 weeks and check before sending(03/07) Skip 1 week (05/01) Sent replacement today (30/04) Skip 1 week (28/05) Skip 1 week (29/11) Skip 3 weeks (13/05) Skip 1 week (12/07) skip 2 week (16/11) Skip 1 week (01/12) Skip 1 week (8/01) Skip 1 week (23/02) Skip 1 week (24/03) Skip 1 week n semd on Monday (13/08) Skip 1 week (04/09) Skip 1 week (04/10) Skip 1 wek (15/10) From Dilip Puri -- send only 2 weeks (12/11) Send on sunday this week and skip 24th Feb (18/03) Start from 1st June (19/05) Send tom evebing (29/05) Skip 1 week (09/06)</v>
          </cell>
          <cell r="N18" t="str">
            <v>3  del of this cycle   -  0-cycles pmnt   Completed - Collect 0</v>
          </cell>
          <cell r="O18" t="e">
            <v>#N/A</v>
          </cell>
          <cell r="P18" t="e">
            <v>#N/A</v>
          </cell>
          <cell r="Q18" t="e">
            <v>#N/A</v>
          </cell>
          <cell r="R18" t="str">
            <v>Mix Alstroemeria ( 12 Inch ) 16     FF Sachet + Grass</v>
          </cell>
          <cell r="S18" t="e">
            <v>#N/A</v>
          </cell>
          <cell r="T18" t="str">
            <v xml:space="preserve">O Asiatic ( 14 Inch ) 3    Grass </v>
          </cell>
        </row>
        <row r="19">
          <cell r="A19">
            <v>1389</v>
          </cell>
          <cell r="B19" t="str">
            <v>Revathi-- After 5 PM</v>
          </cell>
          <cell r="C19">
            <v>9811998878</v>
          </cell>
          <cell r="D19" t="str">
            <v>A-1201, The Emaar Palm Drive</v>
          </cell>
          <cell r="E19" t="str">
            <v>Badshahpur</v>
          </cell>
          <cell r="F19" t="str">
            <v>Friday</v>
          </cell>
          <cell r="G19" t="str">
            <v>4 PM to 7PM</v>
          </cell>
          <cell r="H19">
            <v>3850</v>
          </cell>
          <cell r="I19">
            <v>481.25</v>
          </cell>
          <cell r="J19" t="str">
            <v>Grace</v>
          </cell>
          <cell r="K19" t="str">
            <v>Friday and Tuesday// NO RAJNIGANDHA NOW ONLY LILIES//CAR AND GLAD(26/07)  NO WONLY LILIES, HELICONIA AND CAR IN YELLOW OR ORANGE ONLY(11/09)  ONLY  LILIES/GLADIOLI AND HELICONIA ONLY IN YELL AND ORANGE COLOR-- NOCARNATION(01/10) Rajni or Bop next(18/10) Send 1 FF Next(29/06) LILY n GLAD ARE PREFERRED(29/06) Now From Rose//Car//Glad//Guldawari//Asiatic//Oriental(03/08) Skip this friday(09/08) No Upgrade (17/10) Skip 1 week (114/11) Skip 1 week after tom Delivery (09/03) No Del on Froday-- sned on Tuesda (29/03) Glad Next (01/05) Hold n start after 8th June (12/05) Bop n Heliconia Next (10/02) Skip tom Del (28/03) Flower food next (14/05) Hold till 8th (29/05) No Gerbera and Orchid (28/07) One Payment received today (01/10) Skip Friday Del (27/11) Skip friday (25/12) Return not at home (20/06) Today Returned (20/06) Received one payment of 3250 today (21/07)</v>
          </cell>
          <cell r="L19" t="str">
            <v>Gerbera n ORCHID</v>
          </cell>
          <cell r="N19" t="str">
            <v>6  del of this cycle   -  0-cycles pmnt   Completed - Collect 0</v>
          </cell>
          <cell r="O19" t="str">
            <v>P n W Car ( 14 inch ) 20     FF Sachet + Grass</v>
          </cell>
          <cell r="P19" t="str">
            <v>P n W Glad ( 16 Inch) 20     Grass</v>
          </cell>
          <cell r="Q19" t="str">
            <v>Sunflower ( 14 Inch ) 5     Grass</v>
          </cell>
          <cell r="R19" t="str">
            <v>Pur n P Eustoma ( 14 Inch ) 4     FF Sachet + Grass</v>
          </cell>
          <cell r="S19" t="str">
            <v>Rajni ( 14 Inch ) 20     Grass</v>
          </cell>
          <cell r="T19" t="str">
            <v>P Asiatic ( 14 Inch ) 4     Grass</v>
          </cell>
        </row>
        <row r="20">
          <cell r="A20">
            <v>3062</v>
          </cell>
          <cell r="B20" t="str">
            <v>Shilpa Ravikumar</v>
          </cell>
          <cell r="C20">
            <v>9400305164</v>
          </cell>
          <cell r="D20" t="str">
            <v>A-902, Palm Premier, Emaar Palm Hills, OPP Hyatt Regency, Sec 77</v>
          </cell>
          <cell r="E20" t="str">
            <v>Manesar</v>
          </cell>
          <cell r="F20" t="str">
            <v>Friday</v>
          </cell>
          <cell r="G20" t="str">
            <v>4 Pm to 7 PM</v>
          </cell>
          <cell r="H20">
            <v>1450</v>
          </cell>
          <cell r="I20">
            <v>362.5</v>
          </cell>
          <cell r="J20" t="str">
            <v>Bliss</v>
          </cell>
          <cell r="K20" t="str">
            <v>Hold till 7th Jan (25/01) Hold till 17th June (01/06)</v>
          </cell>
          <cell r="N20" t="str">
            <v>2  del of this cycle   -  0-cycles pmnt   Completed - Collect 0</v>
          </cell>
          <cell r="O20" t="str">
            <v>P Spray Daisy ( 15 inch ) 3     FF Sachet + Grass</v>
          </cell>
          <cell r="P20" t="str">
            <v>R n W Car ( 14 inch ) 9     FF Sachet + Grass</v>
          </cell>
          <cell r="Q20" t="str">
            <v>P Asiatic ( 15 Inch ) 2     Grass</v>
          </cell>
          <cell r="R20" t="e">
            <v>#N/A</v>
          </cell>
          <cell r="S20" t="str">
            <v>Mix Carnation  16     FF Sachet + Grass</v>
          </cell>
          <cell r="T20" t="str">
            <v xml:space="preserve">Pur Eustom ( 12 Inch ) 3    FF Sachet + Grass </v>
          </cell>
        </row>
        <row r="21">
          <cell r="A21">
            <v>2803</v>
          </cell>
          <cell r="B21" t="str">
            <v>Priyanka Dey</v>
          </cell>
          <cell r="C21">
            <v>9007706833</v>
          </cell>
          <cell r="D21" t="str">
            <v>D/1003, 10th Floor, Emaar Palm Heights, Sec 77</v>
          </cell>
          <cell r="E21" t="str">
            <v>Badshahpur</v>
          </cell>
          <cell r="F21" t="str">
            <v>Friday</v>
          </cell>
          <cell r="G21" t="str">
            <v>After 5 PM</v>
          </cell>
          <cell r="H21">
            <v>1450</v>
          </cell>
          <cell r="I21">
            <v>362.5</v>
          </cell>
          <cell r="J21" t="str">
            <v>Delight</v>
          </cell>
          <cell r="K21" t="str">
            <v>Lily Next (28/07) Returned and hold (15/08) Four plus 1 Pack // Today returned (16/05)</v>
          </cell>
          <cell r="N21" t="str">
            <v>4  del of this cycle   -  0-cycles pmnt   Completed - Collect 0</v>
          </cell>
          <cell r="O21" t="str">
            <v>P Asiatic ( 15 inch ) 3     Grass</v>
          </cell>
          <cell r="P21" t="str">
            <v>R n W Car ( 14 inch ) 16     FF Sachet + Grass</v>
          </cell>
          <cell r="Q21" t="str">
            <v>Mix Alstroemeria ( 12 Inch ) 16     FF Sachet + Grass</v>
          </cell>
          <cell r="R21" t="str">
            <v>P n W Glad ( 14 Inch ) 16     Grass</v>
          </cell>
          <cell r="S21" t="str">
            <v>Y Asiatic ( 14 Inch ) 3     Grass</v>
          </cell>
          <cell r="T21" t="str">
            <v xml:space="preserve">Pur Eustom ( 12 Inch ) 3    FF Sachet + Grass </v>
          </cell>
        </row>
        <row r="22">
          <cell r="A22">
            <v>2976</v>
          </cell>
          <cell r="B22" t="str">
            <v>Monika Dubey</v>
          </cell>
          <cell r="C22">
            <v>6350565083</v>
          </cell>
          <cell r="D22" t="str">
            <v>H-1101, Tower-H, Mapsko Mountville, Sec 79</v>
          </cell>
          <cell r="E22" t="str">
            <v>Badshahpur</v>
          </cell>
          <cell r="F22" t="str">
            <v>Friday</v>
          </cell>
          <cell r="G22" t="str">
            <v>4 Pm to 7 PM</v>
          </cell>
          <cell r="H22">
            <v>1450</v>
          </cell>
          <cell r="I22">
            <v>362.5</v>
          </cell>
          <cell r="J22" t="str">
            <v>Bliss</v>
          </cell>
          <cell r="K22" t="str">
            <v>2 Premium and 2 Seasonal // Yesterday returned (11/10)</v>
          </cell>
          <cell r="N22" t="str">
            <v>3  del of this cycle   -  0-cycles pmnt   Completed - Collect 0</v>
          </cell>
          <cell r="O22" t="e">
            <v>#N/A</v>
          </cell>
          <cell r="P22" t="e">
            <v>#N/A</v>
          </cell>
          <cell r="Q22" t="e">
            <v>#N/A</v>
          </cell>
          <cell r="R22" t="str">
            <v>P n W Car ( 14 Inch ) 16     FF Sachet + Grass</v>
          </cell>
          <cell r="S22" t="str">
            <v>Y Asiatic ( 14 Inch ) 3     Grass</v>
          </cell>
          <cell r="T22" t="str">
            <v xml:space="preserve">P n W Glad ( 14 Inch ) 16    Grass </v>
          </cell>
        </row>
        <row r="23">
          <cell r="A23">
            <v>2775</v>
          </cell>
          <cell r="B23" t="str">
            <v>Sreeparna Ghosh</v>
          </cell>
          <cell r="C23">
            <v>9711590494</v>
          </cell>
          <cell r="D23" t="str">
            <v>H-701, Mapsko Mountville, Sec 79</v>
          </cell>
          <cell r="E23" t="str">
            <v>Badshahpur</v>
          </cell>
          <cell r="F23" t="str">
            <v>Friday</v>
          </cell>
          <cell r="G23" t="str">
            <v>4 PM to 7PM</v>
          </cell>
          <cell r="H23">
            <v>1950</v>
          </cell>
          <cell r="I23">
            <v>487.5</v>
          </cell>
          <cell r="J23" t="str">
            <v>Joy</v>
          </cell>
          <cell r="K23" t="str">
            <v>Send 1 W Asiatic as replacement (30/08) Skip 1 week (06/09) Returned-send next week (03/10) Send replacement of Gerbera tom (02/12) Skip 1 week (20/12) Upgarde to Joy from next cycle and mixed (20/02) Upgrade to Joy and skip 1 week (05/03)</v>
          </cell>
          <cell r="M23" t="str">
            <v>Upgarde to Joy from next cycle and mixed (20/02)</v>
          </cell>
          <cell r="N23" t="str">
            <v>3  del of this cycle   -  0-cycles pmnt   Completed - Collect 0</v>
          </cell>
          <cell r="O23" t="str">
            <v>Sunflower ( 15 inch ) 3 Mix Alstroemeria ( 14 inch ) 10 Ensure Collection Ensure Collection Grass</v>
          </cell>
          <cell r="P23" t="str">
            <v>P n W Spray Daisy 4 P n W Car ( 14 inch ) 11   FF Sachet + Grass</v>
          </cell>
          <cell r="Q23" t="str">
            <v>O Asiatic ( 15 Inch ) 2 Spray Carnation 10   Grass</v>
          </cell>
          <cell r="R23" t="str">
            <v>Pur Eustom ( 14 Inch ) 2 P n W Glad ( 14 Inch ) 11   FF Sachet + Grass</v>
          </cell>
          <cell r="S23" t="str">
            <v>Sunflower ( 12 Inch ) 3 Mix Alstroemeria ( 12 Inch ) 11   FF Sachet + Grass</v>
          </cell>
          <cell r="T23" t="str">
            <v>P Asiatic ( 14 Inch ) 4     Grass</v>
          </cell>
        </row>
        <row r="24">
          <cell r="A24">
            <v>2832</v>
          </cell>
          <cell r="B24" t="str">
            <v>Anshu Mittal Roy</v>
          </cell>
          <cell r="C24" t="str">
            <v xml:space="preserve"> 97172 00986</v>
          </cell>
          <cell r="D24" t="str">
            <v xml:space="preserve"> B203 Godrej 101, Sector 79
</v>
          </cell>
          <cell r="E24" t="str">
            <v>Badshahpur</v>
          </cell>
          <cell r="F24" t="str">
            <v>Friday</v>
          </cell>
          <cell r="G24" t="str">
            <v>4 Pm to 7 PM</v>
          </cell>
          <cell r="H24">
            <v>1450</v>
          </cell>
          <cell r="I24">
            <v>362.5</v>
          </cell>
          <cell r="J24" t="str">
            <v>Bliss</v>
          </cell>
          <cell r="K24" t="str">
            <v>15 % Discount (26/07) 3 Month with 10% discount (24/08) Skip 1 week (19/12) Skip 1 week (19/02) Skip 2 week (16/05) Today Returned (12/06)</v>
          </cell>
          <cell r="N24" t="str">
            <v>3  del of this cycle   -  0-cycles pmnt   Completed - Collect 0</v>
          </cell>
          <cell r="O24" t="str">
            <v>P Asiatic ( 15 inch ) 2 Mix Alstroemeria ( 14 inch ) 7   Grass</v>
          </cell>
          <cell r="P24" t="e">
            <v>#N/A</v>
          </cell>
          <cell r="Q24" t="e">
            <v>#N/A</v>
          </cell>
          <cell r="R24" t="str">
            <v>Y Spray Daisy ( 14 Inch ) 3 P n W Car ( 14 Inch ) 7   FF Sachet + Grass</v>
          </cell>
          <cell r="S24" t="str">
            <v>Pur Eustoma ( 12 Inch ) 2 P n W Glad ( 14 Inch ) 7   FF Sachet + Grass</v>
          </cell>
          <cell r="T24" t="str">
            <v xml:space="preserve">O Asiatic ( 14 Inch ) 2 Mix Alstroemeria (  12 Inch ) 7  Grass </v>
          </cell>
        </row>
        <row r="25">
          <cell r="A25">
            <v>2798</v>
          </cell>
          <cell r="B25" t="str">
            <v>Priya Chaturvedi</v>
          </cell>
          <cell r="C25">
            <v>9999283603</v>
          </cell>
          <cell r="D25" t="str">
            <v>D-2003, Bestech Alturea, Sec 79</v>
          </cell>
          <cell r="E25" t="str">
            <v>Manesar</v>
          </cell>
          <cell r="F25" t="str">
            <v>Friday</v>
          </cell>
          <cell r="G25" t="str">
            <v>4 Pm to 7 PM</v>
          </cell>
          <cell r="H25">
            <v>1450</v>
          </cell>
          <cell r="I25">
            <v>362.5</v>
          </cell>
          <cell r="J25" t="str">
            <v>Bliss</v>
          </cell>
          <cell r="K25" t="str">
            <v>Today Returned (08/08) {ayment From Chinmananda Devgoswami (25/10) Four Plus 1 Pack (15/04) Skip 1 week (07/05)</v>
          </cell>
          <cell r="N25" t="str">
            <v>4  del of this cycle   -  0-cycles pmnt   Completed - Collect 0</v>
          </cell>
          <cell r="O25" t="str">
            <v>P n Y Spray Daisy ( 15 inch ) 5     FF Sachet + Grass</v>
          </cell>
          <cell r="P25" t="str">
            <v>R n W Car ( 14 inch ) 16     FF Sachet + Grass</v>
          </cell>
          <cell r="Q25" t="e">
            <v>#N/A</v>
          </cell>
          <cell r="R25" t="str">
            <v>O Asiatic ( 14 Inch ) 3     Grass</v>
          </cell>
          <cell r="S25" t="str">
            <v>P n W Glad ( 14 Inch ) 16     Grass</v>
          </cell>
          <cell r="T25" t="str">
            <v xml:space="preserve">Pur Eustom ( 12 Inch ) 3    FF Sachet + Grass </v>
          </cell>
        </row>
        <row r="26">
          <cell r="A26">
            <v>3077</v>
          </cell>
          <cell r="B26" t="str">
            <v>Shweta Katiyar</v>
          </cell>
          <cell r="C26">
            <v>9999435065</v>
          </cell>
          <cell r="D26" t="str">
            <v>G-122, DLF Primus, Sec 82 A</v>
          </cell>
          <cell r="E26" t="str">
            <v>Manesar</v>
          </cell>
          <cell r="F26" t="str">
            <v>Friday</v>
          </cell>
          <cell r="G26" t="str">
            <v>4 PM to 7 PM</v>
          </cell>
          <cell r="H26">
            <v>1950</v>
          </cell>
          <cell r="I26">
            <v>487.5</v>
          </cell>
          <cell r="J26" t="str">
            <v>Joy</v>
          </cell>
          <cell r="K26" t="str">
            <v>No Eustoma// Skip tom (31/12/25) Replacement of guldawari tom (16/01)</v>
          </cell>
          <cell r="L26" t="str">
            <v>Eustoma</v>
          </cell>
          <cell r="N26" t="str">
            <v>4  del of this cycle   -  0-cycles pmnt   Completed - Collect 0</v>
          </cell>
          <cell r="O26" t="str">
            <v>P n W Spray Daisy ( 15 inch ) 4 Mix Alstroemeria ( 14 inch ) 10   FF Sachet + Grass</v>
          </cell>
          <cell r="P26" t="str">
            <v>Sunflower ( 15 inch ) 3 P n W Glad ( 14 inch ) 11   Grass</v>
          </cell>
          <cell r="Q26" t="str">
            <v>P Asiatic ( 15 Inch ) 2 P n W Car ( 14 Inch ) 11   Grass</v>
          </cell>
          <cell r="R26" t="str">
            <v>Pur Eustom ( 14 Inch ) 2 Mix Alstroemeria ( 12 Inch ) 11   FF Sachet + Grass</v>
          </cell>
          <cell r="S26" t="str">
            <v>P n Y Spray Daisy ( 14 Inch ) 4 P n W Glad ( 14 Inch ) 11   FF Sachet + Grass</v>
          </cell>
          <cell r="T26" t="str">
            <v>Eustoma  2 Pur n P Car ( 14 Inch ) 11   FF sachet + Grass</v>
          </cell>
        </row>
        <row r="27">
          <cell r="A27">
            <v>2652</v>
          </cell>
          <cell r="B27" t="str">
            <v>Shilpi Samantray</v>
          </cell>
          <cell r="C27">
            <v>8527486150</v>
          </cell>
          <cell r="D27" t="str">
            <v>Q-294, DLF Ultima</v>
          </cell>
          <cell r="E27" t="str">
            <v>Manesar</v>
          </cell>
          <cell r="F27" t="str">
            <v>Friday</v>
          </cell>
          <cell r="G27" t="str">
            <v>4 Pm to 7 PM</v>
          </cell>
          <cell r="H27">
            <v>1450</v>
          </cell>
          <cell r="I27">
            <v>362.5</v>
          </cell>
          <cell r="J27" t="str">
            <v>Bliss</v>
          </cell>
          <cell r="K27" t="str">
            <v>Flower Food next (21/05) Do not count todays delivery (30/05) Skip 1 week (26/06) Skip 1 week (09/07) No asiatic Lilies (07/08) No glad now (25/09) Replacement tom (24/10) Skip 1 week (08/11) Skip 2 week (12/12) Skip 1 week (21/01) HDTNP (27/02) Skip 1 week (09/04) HDTNP (15/05) Next del on 5th JUne (18/05)</v>
          </cell>
          <cell r="L27" t="str">
            <v>lilies n Glad</v>
          </cell>
          <cell r="M27" t="str">
            <v>More Eustoams</v>
          </cell>
          <cell r="N27" t="str">
            <v>4  del of this cycle   -  0-cycles pmnt   Completed - Collect 0</v>
          </cell>
          <cell r="O27" t="e">
            <v>#N/A</v>
          </cell>
          <cell r="P27" t="e">
            <v>#N/A</v>
          </cell>
          <cell r="Q27" t="e">
            <v>#N/A</v>
          </cell>
          <cell r="R27" t="str">
            <v>O Asiatic ( 14 Inch ) 2 P n W Glad ( 14 Inch ) 7   Grass</v>
          </cell>
          <cell r="S27" t="str">
            <v>Pur Eustoma ( 12 Inch ) 2 Mix Alstroemeria ( 12 Inch ) 7   FF Sachet + Grass</v>
          </cell>
          <cell r="T27" t="str">
            <v xml:space="preserve">P Spray Daisy ( 14 Inch ) 3 Pur n P Car ( 14 Inch ) 7  FF Sachet + Grass </v>
          </cell>
        </row>
        <row r="28">
          <cell r="A28">
            <v>2190</v>
          </cell>
          <cell r="B28" t="str">
            <v>Vismit Sharma</v>
          </cell>
          <cell r="C28">
            <v>9205393464</v>
          </cell>
          <cell r="D28" t="str">
            <v>R-164, DLF Ultima, Sec 81</v>
          </cell>
          <cell r="E28" t="str">
            <v>Manesar</v>
          </cell>
          <cell r="F28" t="str">
            <v>Friday</v>
          </cell>
          <cell r="G28" t="str">
            <v>4 Pm to 7 PM</v>
          </cell>
          <cell r="H28">
            <v>1950</v>
          </cell>
          <cell r="I28">
            <v>487.5</v>
          </cell>
          <cell r="J28" t="str">
            <v>Joy</v>
          </cell>
          <cell r="K28" t="str">
            <v>Skip 2 week (22/02) Skip 1 week (12/03) Skip 1 week (10/03) Skip 1 week (24/07) Skip 1 week (04/09) Skip 2 week (25/09) Hold n start from Jan (12/12)</v>
          </cell>
          <cell r="N28" t="str">
            <v>2  del of this cycle   -  0-cycles pmnt   Completed - Collect 0</v>
          </cell>
          <cell r="O28" t="str">
            <v>Mix Alstroemeria ( 14 inch ) 22     FF Sachet + Grass</v>
          </cell>
          <cell r="P28" t="str">
            <v>P n W Glad ( 14 inch ) 22     FF Sachet + Grass</v>
          </cell>
          <cell r="Q28" t="str">
            <v>Y Orchid  7     FF Sachet + Grass</v>
          </cell>
          <cell r="R28" t="str">
            <v>P n Y Spray Daisy ( 14 Inch ) 7     FF Sachet + Grass</v>
          </cell>
          <cell r="S28" t="str">
            <v>Pur n P Car ( 14 Inch ) 22     FF Sachet + Grass</v>
          </cell>
          <cell r="T28" t="str">
            <v>P Asiatic ( 14 Inch ) 4     Grass</v>
          </cell>
        </row>
        <row r="29">
          <cell r="A29">
            <v>2688</v>
          </cell>
          <cell r="B29" t="str">
            <v>Shabnam Chaudhari</v>
          </cell>
          <cell r="C29">
            <v>9810042409</v>
          </cell>
          <cell r="D29" t="str">
            <v>B-1902, Bestech Parkview Grandspa, Sec 81</v>
          </cell>
          <cell r="E29" t="str">
            <v>Manesar</v>
          </cell>
          <cell r="F29" t="str">
            <v>Friday</v>
          </cell>
          <cell r="G29" t="str">
            <v>4 PM to 7 PM</v>
          </cell>
          <cell r="H29">
            <v>999</v>
          </cell>
          <cell r="I29">
            <v>249.75</v>
          </cell>
          <cell r="J29" t="str">
            <v>Delight</v>
          </cell>
          <cell r="K29" t="str">
            <v>Only Seasonals (23/05) No Glad (06/06) No Yellow n white (15/06) 1 Stem extra (07/11) No Gerbera and do not count todays delivery (30/01) Next 2 time premium (07/03) Do not count todays delivery (27/03) 2 Stem extra next (01/05) No Gerbera and do not count last delivery (09/05) Only gerbera restricted (10/05)</v>
          </cell>
          <cell r="L29" t="str">
            <v>Gerbera</v>
          </cell>
          <cell r="M29" t="str">
            <v>Seasonal Only // 2 stem extra next (01/05)</v>
          </cell>
          <cell r="N29" t="str">
            <v>4  del of this cycle   -  0-cycles pmnt   Completed - Collect 0</v>
          </cell>
          <cell r="O29" t="str">
            <v>P n W Glad ( 14 inch ) 9     Grass</v>
          </cell>
          <cell r="P29" t="str">
            <v>P n W Car ( 14 inch ) 9     FF Sachet + Grass</v>
          </cell>
          <cell r="Q29" t="e">
            <v>#N/A</v>
          </cell>
          <cell r="R29" t="str">
            <v>Mix Alstroemeria ( 12 Inch ) 9     FF Sachet + Grass</v>
          </cell>
          <cell r="S29" t="str">
            <v>Rajni ( 14 Inch ) 9     Grass</v>
          </cell>
          <cell r="T29" t="str">
            <v xml:space="preserve">P n W Glad ( 14 Inch ) 9    Grass </v>
          </cell>
        </row>
        <row r="30">
          <cell r="A30">
            <v>2678</v>
          </cell>
          <cell r="B30" t="str">
            <v>Saachi Satyaarth</v>
          </cell>
          <cell r="C30">
            <v>9643712005</v>
          </cell>
          <cell r="D30" t="str">
            <v>H-1504, Microtek Greenburg, Sec 86</v>
          </cell>
          <cell r="E30" t="str">
            <v>Manesar</v>
          </cell>
          <cell r="F30" t="str">
            <v>Friday</v>
          </cell>
          <cell r="G30" t="str">
            <v>4 PM to 7 PM</v>
          </cell>
          <cell r="H30">
            <v>1450</v>
          </cell>
          <cell r="I30">
            <v>362.5</v>
          </cell>
          <cell r="J30" t="str">
            <v>Bliss</v>
          </cell>
          <cell r="K30" t="str">
            <v>Skip 1 week (04/06) Do not count last Del (28/03) 1 Sunflower Extra next (03/04)</v>
          </cell>
          <cell r="M30" t="str">
            <v>1 Sunflower Extra Next (03/04)</v>
          </cell>
          <cell r="N30" t="str">
            <v>3  del of this cycle   -  0-cycles pmnt   Completed - Collect 0</v>
          </cell>
          <cell r="O30" t="str">
            <v>Y Spray Daisy ( 15 inch ) 3 Mix Alstroemeria ( 14 inch ) 7   FF Sachet + Grass</v>
          </cell>
          <cell r="P30" t="str">
            <v>Sunflower ( 15 inch ) 2 P n W Glad ( 14 inch ) 7   Grass</v>
          </cell>
          <cell r="Q30" t="str">
            <v>O Asiatic ( 15 Inch ) 2 R n W Car ( 14 Inch ) 7   Grass</v>
          </cell>
          <cell r="R30" t="str">
            <v>P Eustoma ( 14 Inch ) 2 Mix Alstroemeria ( 12 Inch ) 7   FF Sachet + Grass</v>
          </cell>
          <cell r="S30" t="str">
            <v>P Spray Daisy ( 14 Inch ) 3 P n W Glad ( 14 Inch ) 7   FF Sachet + Grass</v>
          </cell>
          <cell r="T30" t="str">
            <v xml:space="preserve">Sunflower ( 12 Inch ) 2 Pur n P Car ( 14 Inch ) 7  FF Sachet + Grass </v>
          </cell>
        </row>
        <row r="31">
          <cell r="A31">
            <v>2435</v>
          </cell>
          <cell r="B31" t="str">
            <v>Manisha Aswani</v>
          </cell>
          <cell r="C31">
            <v>7426027603</v>
          </cell>
          <cell r="D31" t="str">
            <v>4-I/302, Orris Aster Court. Sec 85</v>
          </cell>
          <cell r="E31" t="str">
            <v>Manesar</v>
          </cell>
          <cell r="F31" t="str">
            <v>Friday</v>
          </cell>
          <cell r="G31" t="str">
            <v>After 5:30 PM</v>
          </cell>
          <cell r="H31">
            <v>1450</v>
          </cell>
          <cell r="I31">
            <v>362.5</v>
          </cell>
          <cell r="J31" t="str">
            <v>Bliss</v>
          </cell>
          <cell r="K31" t="str">
            <v>Insta // Sent replacement today (05/04) Sent Replacement today (19/04) Do Not Count last Del (06/05) Hold she will confirm (14/05) Payment confussion(29/06) Skip 1 week (22/04) Today Hold and skip (15/05) HDTNP (29/05)</v>
          </cell>
          <cell r="M31" t="str">
            <v>Premium Flowers Extra next (16/08)</v>
          </cell>
          <cell r="N31" t="str">
            <v>1  del of this cycle   -  1-cycles pmnt   Pending - Collect 1450</v>
          </cell>
          <cell r="O31" t="str">
            <v>P n W Spray Daisy ( 15 inch ) 5     FF Sachet + Grass</v>
          </cell>
          <cell r="P31" t="e">
            <v>#N/A</v>
          </cell>
          <cell r="Q31" t="str">
            <v xml:space="preserve">Collect 725 Carry Receipt Book Collect 725 with Change Carry Receipt Book Collect 725 with Change Carry Receipt Book </v>
          </cell>
          <cell r="R31" t="str">
            <v>O Asiatic ( 14 Inch ) 3     Grass</v>
          </cell>
          <cell r="S31" t="str">
            <v>P n W Glad ( 14 Inch ) 16     Grass</v>
          </cell>
          <cell r="T31" t="str">
            <v xml:space="preserve">P Eustoma ( 12 Inch ) 3    FF Sachet + Grass </v>
          </cell>
        </row>
        <row r="32">
          <cell r="A32">
            <v>2448</v>
          </cell>
          <cell r="B32" t="str">
            <v>Sonali Srivastava -- 1450 Pack</v>
          </cell>
          <cell r="C32">
            <v>8510051543</v>
          </cell>
          <cell r="D32" t="str">
            <v>T2/25A, SS, The Leaf, Sec 85</v>
          </cell>
          <cell r="E32" t="str">
            <v>Manesar</v>
          </cell>
          <cell r="F32" t="str">
            <v>Friday</v>
          </cell>
          <cell r="G32" t="str">
            <v>9:30 Am to 2 PM</v>
          </cell>
          <cell r="H32">
            <v>999</v>
          </cell>
          <cell r="I32">
            <v>249.75</v>
          </cell>
          <cell r="J32" t="str">
            <v>Delight</v>
          </cell>
          <cell r="K32" t="str">
            <v>Insta // 1st Del on Monday and then Friday morning (17/07) Skip tom n send on Monday (24/08) Hold due to non payment (16/01) HDTNP(20/02) HDTNP (24/04) Skip 2 week (13/05)</v>
          </cell>
          <cell r="N32" t="str">
            <v>3  del of this cycle   -  0-cycles pmnt   Completed - Collect 0</v>
          </cell>
          <cell r="O32" t="e">
            <v>#N/A</v>
          </cell>
          <cell r="P32" t="e">
            <v>#N/A</v>
          </cell>
          <cell r="Q32" t="e">
            <v>#N/A</v>
          </cell>
          <cell r="R32" t="e">
            <v>#N/A</v>
          </cell>
          <cell r="S32" t="e">
            <v>#N/A</v>
          </cell>
          <cell r="T32" t="str">
            <v xml:space="preserve">P n W Glad ( 14 Inch ) 9    Grass </v>
          </cell>
        </row>
        <row r="33">
          <cell r="A33">
            <v>3081</v>
          </cell>
          <cell r="B33" t="str">
            <v xml:space="preserve">Nikhat </v>
          </cell>
          <cell r="C33" t="str">
            <v>90044 52898‬</v>
          </cell>
          <cell r="D33" t="str">
            <v>Tower B, flat 074, DLF regal gardens , sector 90</v>
          </cell>
          <cell r="E33" t="str">
            <v>Manesar</v>
          </cell>
          <cell r="F33" t="str">
            <v>Friday</v>
          </cell>
          <cell r="G33" t="str">
            <v>4 PM to 7 PM</v>
          </cell>
          <cell r="H33">
            <v>1450</v>
          </cell>
          <cell r="I33">
            <v>362.5</v>
          </cell>
          <cell r="J33" t="str">
            <v>Bliss</v>
          </cell>
          <cell r="K33" t="str">
            <v>Paytm From Puneet Pundora (06/03) Hold today (20/03)</v>
          </cell>
          <cell r="N33" t="str">
            <v>3  del of this cycle   -  0-cycles pmnt   Completed - Collect 0</v>
          </cell>
          <cell r="O33" t="str">
            <v>Sunflower ( 15 inch ) 2 P n W Glad ( 14 inch ) 7   Grass</v>
          </cell>
          <cell r="P33" t="str">
            <v>P Asiatic ( 15 inch ) 2 P n W Car ( 14 inch ) 7   Grass</v>
          </cell>
          <cell r="Q33" t="str">
            <v>Sunflower ( 14 Inch ) 2 Mix Alstroemeria ( 12 Inch )  7   FF Sachet + Grass</v>
          </cell>
          <cell r="R33" t="str">
            <v>Pur Eustom ( 14 Inch ) 2 P n W Glad ( 14 Inch ) 7   FF Sachet + Grass</v>
          </cell>
          <cell r="S33" t="str">
            <v>W Asiatic ( 14 inch ) 2 Pur n P Car ( 14 Inch ) 7   Grass</v>
          </cell>
          <cell r="T33" t="str">
            <v xml:space="preserve">P Spray Daisy ( 14 Inch ) 3 Mix Alstroemeria (  12 Inch ) 7  FF Sachet + Grass </v>
          </cell>
        </row>
        <row r="34">
          <cell r="A34">
            <v>3099</v>
          </cell>
          <cell r="B34" t="str">
            <v>Manisha Mishra</v>
          </cell>
          <cell r="C34">
            <v>9910993142</v>
          </cell>
          <cell r="D34" t="str">
            <v>E-1202, maceo appartmnet, sector 91</v>
          </cell>
          <cell r="E34" t="str">
            <v>Dwarka Expressway</v>
          </cell>
          <cell r="F34" t="str">
            <v>Friday</v>
          </cell>
          <cell r="G34" t="str">
            <v>4 PM to 7 PM</v>
          </cell>
          <cell r="H34">
            <v>1950</v>
          </cell>
          <cell r="I34">
            <v>487.5</v>
          </cell>
          <cell r="J34" t="str">
            <v>Joy</v>
          </cell>
          <cell r="K34" t="str">
            <v>Paytm from Rohit Ahuja</v>
          </cell>
          <cell r="N34" t="str">
            <v>3  del of this cycle   -  0-cycles pmnt   Completed - Collect 0</v>
          </cell>
          <cell r="O34" t="str">
            <v>Sunflower ( 15 inch ) 3 Mix Alstroemeria ( 14 inch ) 10 Ensure Collection Ensure Collection Grass</v>
          </cell>
          <cell r="P34" t="str">
            <v>P Asiatic ( 15 inch ) 2 R n W Car( 14 inch ) 11   Grass</v>
          </cell>
          <cell r="Q34" t="str">
            <v>Sunflower ( 14 Inch ) 3  Spray Carnation  10   FF Sachet + Grass</v>
          </cell>
          <cell r="R34" t="str">
            <v>Pur Eustom ( 14 Inch ) 2 P n W Glad ( 14 Inch ) 11   FF Sachet + Grass</v>
          </cell>
          <cell r="S34" t="str">
            <v>P n Y Spray Daisy ( 14 Inch ) 4 Mix Alstroemeria ( 12 Inch ) 11   FF Sachet + Grass</v>
          </cell>
          <cell r="T34" t="str">
            <v>O Asiatic ( 14 Inch ) 2 Pur n P Car ( 14 Inch ) 11   Grass</v>
          </cell>
        </row>
        <row r="35">
          <cell r="A35">
            <v>3381</v>
          </cell>
          <cell r="B35" t="str">
            <v>Swati Gaur</v>
          </cell>
          <cell r="C35">
            <v>9769021701</v>
          </cell>
          <cell r="D35" t="str">
            <v>T-5/2617, Center court by County, Sec 88 A</v>
          </cell>
          <cell r="E35" t="str">
            <v>Manesar</v>
          </cell>
          <cell r="F35" t="str">
            <v>Friday</v>
          </cell>
          <cell r="G35" t="str">
            <v>4 Pm to 7 PM</v>
          </cell>
          <cell r="H35">
            <v>2750</v>
          </cell>
          <cell r="I35">
            <v>687.5</v>
          </cell>
          <cell r="J35" t="str">
            <v>Elation</v>
          </cell>
          <cell r="N35" t="str">
            <v>1  del of this cycle   -  0-cycles pmnt   Completed - Collect 0</v>
          </cell>
          <cell r="O35" t="e">
            <v>#N/A</v>
          </cell>
          <cell r="P35" t="e">
            <v>#N/A</v>
          </cell>
          <cell r="Q35" t="e">
            <v>#N/A</v>
          </cell>
          <cell r="R35" t="e">
            <v>#N/A</v>
          </cell>
          <cell r="S35" t="e">
            <v>#N/A</v>
          </cell>
          <cell r="T35" t="str">
            <v>R n P Car ( 14 Inch ) 32     FF sachet + Grass</v>
          </cell>
        </row>
        <row r="36">
          <cell r="A36">
            <v>2713</v>
          </cell>
          <cell r="B36" t="str">
            <v>Priyanka Dahiya</v>
          </cell>
          <cell r="C36">
            <v>9818543931</v>
          </cell>
          <cell r="D36" t="str">
            <v>D-804, Ambience Creacions, Rao Gajraj Singh Marg, Sec 22</v>
          </cell>
          <cell r="E36" t="str">
            <v>Old Gurgaon</v>
          </cell>
          <cell r="F36" t="str">
            <v>Friday</v>
          </cell>
          <cell r="G36" t="str">
            <v>4 Pm to 7 PM</v>
          </cell>
          <cell r="H36">
            <v>1450</v>
          </cell>
          <cell r="I36">
            <v>362.5</v>
          </cell>
          <cell r="J36" t="str">
            <v>Bliss</v>
          </cell>
          <cell r="K36" t="str">
            <v>Today Hold and next week too (06/06) Only seasonals (18/07) Paytm From Rahul Chandra (01/11) Pls Send tom (06/02) Skip 2 week (31/05)</v>
          </cell>
          <cell r="M36" t="str">
            <v>Seasonals Only</v>
          </cell>
          <cell r="N36" t="str">
            <v>1  del of this cycle   -  1-cycles pmnt   Pending - Collect 1450</v>
          </cell>
          <cell r="O36" t="str">
            <v>P n W Glad ( 14 inch ) 9   Ensure Collection Ensure Collection Grass</v>
          </cell>
          <cell r="P36" t="str">
            <v>Mix Glad 9     Grass</v>
          </cell>
          <cell r="Q36" t="str">
            <v>R n W Car ( 14 Inch ) 9     FF Sachet + Grass</v>
          </cell>
          <cell r="R36" t="e">
            <v>#N/A</v>
          </cell>
          <cell r="S36" t="e">
            <v>#N/A</v>
          </cell>
          <cell r="T36" t="str">
            <v xml:space="preserve">P Asiatic ( 14 Inch ) 3  ensure collection  Pese Na  Mile To Call Karna  Grass </v>
          </cell>
        </row>
        <row r="37">
          <cell r="A37">
            <v>2260</v>
          </cell>
          <cell r="B37" t="str">
            <v>Madhu Chopra</v>
          </cell>
          <cell r="C37">
            <v>9810270218</v>
          </cell>
          <cell r="D37" t="str">
            <v>Anand Farm, Sri Krishna Chowk, Sec 22, Dundahera</v>
          </cell>
          <cell r="E37" t="str">
            <v>Old Gurgaon</v>
          </cell>
          <cell r="F37" t="str">
            <v>Friday</v>
          </cell>
          <cell r="G37" t="str">
            <v>4 Pm to 7 PM</v>
          </cell>
          <cell r="H37">
            <v>4750</v>
          </cell>
          <cell r="I37">
            <v>1187.5</v>
          </cell>
          <cell r="J37" t="str">
            <v>Enchantment</v>
          </cell>
          <cell r="K37" t="str">
            <v>NO ROSE// From Albi Wife// Send replacement of Glad n Sunflower tom (20/04)  This week on Thursday (23/10) Anthurium/Lily and bop this week (23/10) Send 1 del tom n hld (11/06) Send on wednsday -- send 5 Oriental + Rajni for 2 Vase + Orchid for 1 Vase + 10 Stem 1 ft Bamboo in Vase with Ribbon (26/10) Hold till 7th Jan (19/12) Pls Send tom (06/02) Sent one del tiday instead of tim (26/02)</v>
          </cell>
          <cell r="L37" t="str">
            <v>ROSE</v>
          </cell>
          <cell r="N37" t="str">
            <v>3  del of this cycle   -  0-cycles pmnt   In Process - Collect 0</v>
          </cell>
          <cell r="O37" t="str">
            <v>P Oriental ( 18 inch ) + BOP ( 15 Inch ) 3 + 3 P n W Glad ( 14 inch ) + B Daisy 12 + 10 Orchid 4 5 Areca palm + 3 Gypsola + 3 Limonium</v>
          </cell>
          <cell r="P37" t="str">
            <v>W Oriental + G n Y Spray Daisy  3 + 5 P n W Car + Rajni 12 + 12 Eustoma 4 5 Areca Palm + 3 Gypsola + 3 Limonium</v>
          </cell>
          <cell r="Q37" t="str">
            <v>P oriental + BOP 3 + 3 R n W Car ( 14 Inch ) + Mix Alstroemeria ( 12 Inch ) 12 + 12 Y Orchid 5 5 Areca Palm + 3 Gypsola + 3 Limonium</v>
          </cell>
          <cell r="R37" t="str">
            <v>W Oriental + Mix Anthurium 3 + 4 P n W Glad + P n W Car 12 + 12 G Orchid 5 5 Areca palm + 3 Gypsola + 3 Limonium</v>
          </cell>
          <cell r="S37" t="str">
            <v>P Oriental + Mix Eustoma 3 + 4 Mix Alstroemeria + Rajni 12 + 12 BOP 4 5 Areca Palm + 3 Gypaols + 3 Limonium</v>
          </cell>
          <cell r="T37" t="str">
            <v>W oriental + Pur n P Eustoma 3 + 4 Pur n P Car + Rajni  12 + 12 Mix Anthurium  4 5 Areca palm + 3 Gypsola + 3 Limonium</v>
          </cell>
        </row>
        <row r="38">
          <cell r="A38">
            <v>1433</v>
          </cell>
          <cell r="B38" t="str">
            <v>Navritu Kaushal Rai-- After 5:30 PM</v>
          </cell>
          <cell r="C38">
            <v>9818603355</v>
          </cell>
          <cell r="D38" t="str">
            <v>H. No. 3403, 1st Floor, Sec 23</v>
          </cell>
          <cell r="E38" t="str">
            <v>Old Gurgaon</v>
          </cell>
          <cell r="F38" t="str">
            <v>Friday</v>
          </cell>
          <cell r="G38" t="str">
            <v>4 PM to 7PM</v>
          </cell>
          <cell r="H38">
            <v>999</v>
          </cell>
          <cell r="I38">
            <v>249.75</v>
          </cell>
          <cell r="J38" t="str">
            <v>Delight</v>
          </cell>
          <cell r="K38" t="str">
            <v>Friday and Monday//Monday and Thursday// NO WHITE FLOWERS OTHER THAN RAJNI(10/04) BOP//Glad ( No White)// Orchid//Spray Daisy//Carnations//Rajni-- No white flower other than Rajni(26/07) This cycle-- BOP/Spray Daisy/Car/Glad/Rose(29/08) Hold today (28/10) NO ROSE-- NO WHITE COLOR(03/12) NO ROSE n GERBERA ---- And send 3 stems extra in next delivery (30/12) Now Delight (15/02) Do Not count last Del (17/04) Send tom ()6/02) Send Replacement tom (18/04)</v>
          </cell>
          <cell r="L38" t="str">
            <v>Lily</v>
          </cell>
          <cell r="M38" t="str">
            <v>No White</v>
          </cell>
          <cell r="N38" t="str">
            <v>3  del of this cycle   -  0-cycles pmnt   Completed - Collect 0</v>
          </cell>
          <cell r="O38" t="str">
            <v>R n W Car ( 14 inch ) 9     FF Sachet + Grass</v>
          </cell>
          <cell r="P38" t="str">
            <v>Sunflower ( 15 inch ) 2     Grass</v>
          </cell>
          <cell r="Q38" t="str">
            <v>P n W Glad ( 14 Inch ) 9     Grass</v>
          </cell>
          <cell r="R38" t="str">
            <v>P Spray Daisy ( 14 Inch ) 3     FF Sachet + Grass</v>
          </cell>
          <cell r="S38" t="str">
            <v>Pur n P Car ( 14 Inch ) 9     FF Sachet + Grass</v>
          </cell>
          <cell r="T38" t="str">
            <v xml:space="preserve">Mix Alstroemeria ( 12 Inch ) 9    FF Sachet + Grass </v>
          </cell>
        </row>
        <row r="39">
          <cell r="A39">
            <v>87</v>
          </cell>
          <cell r="B39" t="str">
            <v>Deepak Kohli</v>
          </cell>
          <cell r="C39">
            <v>9716199110</v>
          </cell>
          <cell r="D39" t="str">
            <v>539/C, 4th Floor, H Block, Palam Vihar</v>
          </cell>
          <cell r="E39" t="str">
            <v>Old Gurgaon</v>
          </cell>
          <cell r="F39" t="str">
            <v>Friday</v>
          </cell>
          <cell r="G39" t="str">
            <v>4 PM to 7PM</v>
          </cell>
          <cell r="H39">
            <v>1450</v>
          </cell>
          <cell r="I39">
            <v>362.5</v>
          </cell>
          <cell r="J39" t="str">
            <v>Bliss</v>
          </cell>
          <cell r="K39" t="str">
            <v>Send 1 bunch Nargis From Amit n Pooja// Wish you a//Sending on 20th instaed of 21st,bcoz of Holi(18/03) Send 1 pack of FF(14/08) Time slot changed to Evening(18/09( Holy Change(16/03) Send tom (06/02)</v>
          </cell>
          <cell r="N39" t="str">
            <v>3  del of this cycle   -  0-cycles pmnt   In Process - Collect 0</v>
          </cell>
          <cell r="O39" t="str">
            <v>P n W Glad ( 14 inch ) 16     Grass</v>
          </cell>
          <cell r="P39" t="str">
            <v>R n W Car ( 14 inch ) 16     FF Sachet + Grass</v>
          </cell>
          <cell r="Q39" t="str">
            <v>O Asiatic ( 15 Inch ) 3     Grass</v>
          </cell>
          <cell r="R39" t="str">
            <v>Pur n P Eustoma ( 14 Inch ) 3     FF Sachet + Grass</v>
          </cell>
          <cell r="S39" t="str">
            <v>P n Y Spray Daisy ( 14 Inch ) 5     FF Sachet + Grass</v>
          </cell>
          <cell r="T39" t="str">
            <v xml:space="preserve">Mix Car 16    Grass </v>
          </cell>
        </row>
        <row r="40">
          <cell r="A40">
            <v>3047</v>
          </cell>
          <cell r="B40" t="str">
            <v>Meenal</v>
          </cell>
          <cell r="C40">
            <v>9811222881</v>
          </cell>
          <cell r="D40" t="str">
            <v>168, Deerwood</v>
          </cell>
          <cell r="E40" t="str">
            <v>Badshahpur</v>
          </cell>
          <cell r="F40" t="str">
            <v>Friday</v>
          </cell>
          <cell r="G40" t="str">
            <v>4 PM to 7PM</v>
          </cell>
          <cell r="H40">
            <v>999</v>
          </cell>
          <cell r="I40">
            <v>249.75</v>
          </cell>
          <cell r="J40" t="str">
            <v>Delight</v>
          </cell>
          <cell r="K40" t="str">
            <v>Skip Friday and sned on Monday (07/01) HDTNP (24/04) Skip 2 week (27/05)</v>
          </cell>
          <cell r="N40" t="str">
            <v>4  del of this cycle   -  0-cycles pmnt   Completed - Collect 0</v>
          </cell>
          <cell r="O40" t="str">
            <v>P n W Glad ( 14 inch ) 9     Grass</v>
          </cell>
          <cell r="P40" t="str">
            <v>Sunflower ( 15 inch ) 2     Grass</v>
          </cell>
          <cell r="Q40" t="e">
            <v>#N/A</v>
          </cell>
          <cell r="R40" t="e">
            <v>#N/A</v>
          </cell>
          <cell r="S40" t="str">
            <v>P Asiatic ( 14 Inch ) 2     Grass</v>
          </cell>
          <cell r="T40" t="str">
            <v xml:space="preserve">Pur n P Car ( 14 Inch ) 9    FF Sachet + Grass </v>
          </cell>
        </row>
        <row r="41">
          <cell r="A41">
            <v>3301</v>
          </cell>
          <cell r="B41" t="str">
            <v>Akanksha -- Orchid Petal</v>
          </cell>
          <cell r="C41">
            <v>9953302209</v>
          </cell>
          <cell r="D41" t="str">
            <v>T-15/401, Orchid Petals</v>
          </cell>
          <cell r="E41" t="str">
            <v>Sohna Road 1</v>
          </cell>
          <cell r="F41" t="str">
            <v>Friday</v>
          </cell>
          <cell r="G41" t="str">
            <v>4 PM to 7 PM</v>
          </cell>
          <cell r="H41">
            <v>1950</v>
          </cell>
          <cell r="I41">
            <v>487.5</v>
          </cell>
          <cell r="J41" t="str">
            <v>Joy</v>
          </cell>
          <cell r="K41" t="str">
            <v>Paytm From Akanksha Jain// Skip 1 week (17/05) HDTNP (12/06)</v>
          </cell>
          <cell r="N41" t="str">
            <v>2  del of this cycle   -  0-cycles pmnt   Completed - Collect 0</v>
          </cell>
          <cell r="O41" t="str">
            <v>Mix Alstroemeria ( 14 inch ) 22     FF Sachet + Grass</v>
          </cell>
          <cell r="P41" t="e">
            <v>#N/A</v>
          </cell>
          <cell r="Q41" t="str">
            <v>O Asiatic ( 15 Inch ) 4     Grass</v>
          </cell>
          <cell r="R41" t="str">
            <v>P n W Spray Daisy ( 14 Inch ) 7     FF Sachet + Grass</v>
          </cell>
          <cell r="S41" t="e">
            <v>#N/A</v>
          </cell>
          <cell r="T41" t="str">
            <v>P n W Glad ( 14 Inch ) 22     Grass</v>
          </cell>
        </row>
        <row r="42">
          <cell r="A42">
            <v>3383</v>
          </cell>
          <cell r="B42" t="str">
            <v>Jaya Todi</v>
          </cell>
          <cell r="C42">
            <v>8084159730</v>
          </cell>
          <cell r="D42" t="str">
            <v>T-6/1001, M3M Heights, Sec 65</v>
          </cell>
          <cell r="E42" t="str">
            <v>Badshahpur</v>
          </cell>
          <cell r="F42" t="str">
            <v>Saturday</v>
          </cell>
          <cell r="G42" t="str">
            <v>10 AM to 2:30 PM</v>
          </cell>
          <cell r="H42">
            <v>1450</v>
          </cell>
          <cell r="I42">
            <v>362.5</v>
          </cell>
          <cell r="J42" t="str">
            <v>Bliss</v>
          </cell>
          <cell r="N42" t="str">
            <v>1  del of this cycle   -  0-cycles pmnt   Completed - Collect 0</v>
          </cell>
          <cell r="O42" t="e">
            <v>#N/A</v>
          </cell>
          <cell r="P42" t="e">
            <v>#N/A</v>
          </cell>
          <cell r="Q42" t="e">
            <v>#N/A</v>
          </cell>
          <cell r="R42" t="e">
            <v>#N/A</v>
          </cell>
          <cell r="S42" t="e">
            <v>#N/A</v>
          </cell>
          <cell r="T42" t="str">
            <v xml:space="preserve">R n P Car ( 14 Inch ) 16    FF Sachet + Grass </v>
          </cell>
        </row>
        <row r="43">
          <cell r="A43">
            <v>1147</v>
          </cell>
          <cell r="B43" t="str">
            <v xml:space="preserve">Reena </v>
          </cell>
          <cell r="C43">
            <v>9811157690</v>
          </cell>
          <cell r="D43" t="str">
            <v>31/1, Ixia, Vatika City</v>
          </cell>
          <cell r="E43" t="str">
            <v>Sohna Road 1</v>
          </cell>
          <cell r="F43" t="str">
            <v>Tuesday</v>
          </cell>
          <cell r="G43" t="str">
            <v>9 AM to 2 PM</v>
          </cell>
          <cell r="H43">
            <v>1600</v>
          </cell>
          <cell r="I43">
            <v>200</v>
          </cell>
          <cell r="J43" t="str">
            <v>Bloom</v>
          </cell>
          <cell r="K43" t="str">
            <v>Tuesday and Friday//NO Rose/Rajni and ORCHID(30/10) Pink car Next(08/11) No Rose/No Rajni/No Orchids(30/11  NO RAJNI n HELICONIA (30/12) Star From Sunday (24/08) Skip coming Friday (07/12) Skip 1 week (18/01) Shift tom del to Sunday (20/06) Skip Friday Del (15/08) Today Returned(03/09) Skip 27th Del (22/12) Skip tom (30/01) Today Returned-send again (04/04) Hold n start from 15th (07/04) Skip friday (26/06) Skip 1 week (07/08) Skip tom del (11/09) Skip 1 week (01/11) Skip tom (30/04)</v>
          </cell>
          <cell r="L43" t="str">
            <v>RAJNI n HELICONIA</v>
          </cell>
          <cell r="N43" t="str">
            <v>4  del of this cycle   -  0-cycles pmnt   Completed - Collect 0</v>
          </cell>
          <cell r="O43" t="str">
            <v>P Spray Daisy ( 15 inch ) 2     FF Sachet + Grass</v>
          </cell>
          <cell r="P43" t="str">
            <v>P n W Car ( 14 inch ) 7     FF Sachet + Grass</v>
          </cell>
          <cell r="Q43" t="str">
            <v>Mix Alstroemeria ( 12 Inch ) 7     FF Sachet + Grass</v>
          </cell>
          <cell r="R43" t="str">
            <v>W Spray Daisy ( 14 Inch ) 2     FF Sachet + Grass</v>
          </cell>
          <cell r="S43" t="str">
            <v>Pink White Car ( 12 Inch ) 7     Grass</v>
          </cell>
          <cell r="T43" t="str">
            <v>Rajni ( 14 Inch ) 7     Grass</v>
          </cell>
        </row>
        <row r="44">
          <cell r="A44">
            <v>2389</v>
          </cell>
          <cell r="B44" t="str">
            <v>Sreyoshi  Maitra</v>
          </cell>
          <cell r="C44">
            <v>9711760109</v>
          </cell>
          <cell r="D44" t="str">
            <v>T-1/1706, M3M Heights, Sec 65</v>
          </cell>
          <cell r="E44" t="str">
            <v>Badshahpur</v>
          </cell>
          <cell r="F44" t="str">
            <v>Friday</v>
          </cell>
          <cell r="G44" t="str">
            <v>9 AM - 12 PM</v>
          </cell>
          <cell r="H44">
            <v>1950</v>
          </cell>
          <cell r="I44">
            <v>487.5</v>
          </cell>
          <cell r="J44" t="str">
            <v>Joy</v>
          </cell>
          <cell r="K44" t="str">
            <v>No Spray Daisy and Rajni // Payment from Mrittika Maitra (12/03) Send replacement of orchds tom (11/05) Today Returned (04/07) No eustoma (17/08) Hold today (24/10) Pls Send sunflowers on 9th Jan (12/12) HDTNP (13/03) Sent one del today (16/03) No Orchids (30/04) Today Returned (29/05)</v>
          </cell>
          <cell r="L44" t="str">
            <v>Orchids n Rajnigandha</v>
          </cell>
          <cell r="M44" t="str">
            <v>Sunflower on 9th Jan (12/12)</v>
          </cell>
          <cell r="N44" t="str">
            <v>3  del of this cycle   -  0-cycles pmnt   Completed - Collect 0</v>
          </cell>
          <cell r="O44" t="str">
            <v>P n W Glad ( 14 inch ) 22     Grass</v>
          </cell>
          <cell r="P44" t="str">
            <v>P Asiatic ( 15 inch ) 4     Grass</v>
          </cell>
          <cell r="Q44" t="str">
            <v>R n W Car ( 14 Inch ) 22     FF Sachet + Grass</v>
          </cell>
          <cell r="R44" t="str">
            <v>Pur n P Eustoma ( 14 Inch ) 4     FF Sachet + Grass</v>
          </cell>
          <cell r="S44" t="str">
            <v>P n Y Spray Daisy ( 14 Inch ) 7     FF Sachet + Grass</v>
          </cell>
          <cell r="T44" t="str">
            <v>P n W Glad ( 14 Inch ) 22     Grass</v>
          </cell>
        </row>
        <row r="45">
          <cell r="A45">
            <v>1238</v>
          </cell>
          <cell r="B45" t="str">
            <v>Meenakshi Dua-- Evening Only</v>
          </cell>
          <cell r="C45">
            <v>9560900277</v>
          </cell>
          <cell r="D45" t="str">
            <v>T-9/803, Orchid Petals</v>
          </cell>
          <cell r="E45" t="str">
            <v>Sohna Road 1</v>
          </cell>
          <cell r="F45" t="str">
            <v>Friday</v>
          </cell>
          <cell r="G45" t="str">
            <v>4 PM to 7PM</v>
          </cell>
          <cell r="H45">
            <v>1950</v>
          </cell>
          <cell r="I45">
            <v>487.5</v>
          </cell>
          <cell r="J45" t="str">
            <v>Joy</v>
          </cell>
          <cell r="K45" t="str">
            <v>Friday and Tuesday// Rajni Next (14/11) Upgrade to Elations and No Heliconia and BOP // Send Rajni and Guldawari next (26/12)(26/12) No Charm (25/02) Sprya Daisy or Guldawari Tom (03/04) Send any from Guldawari/Rajnior Lily (06/04) No Flowers till 28th (17/11) Send from Orienta/ Daisy or Rajni tom (21/12) Send Replacement tom (01/03). skip tomorrow (25/04)</v>
          </cell>
          <cell r="L45" t="str">
            <v xml:space="preserve">HELICONIA n BOP n GERBERA </v>
          </cell>
          <cell r="M45" t="str">
            <v>No Yel/Wht/Red in Glad and Guldawari</v>
          </cell>
          <cell r="N45" t="str">
            <v>1  del of this cycle   -  1-cycles pmnt   Pending - Collect 1950</v>
          </cell>
          <cell r="O45" t="str">
            <v>P n W Glad ( 14 inch ) 22     Grass</v>
          </cell>
          <cell r="P45" t="str">
            <v>P Asiatic ( 15 inch ) 4     Grass</v>
          </cell>
          <cell r="Q45" t="str">
            <v>R n W Car ( 14 Inch ) 22     FF Sachet + Grass</v>
          </cell>
          <cell r="R45" t="str">
            <v>Pur n P Eustoma ( 14 Inch ) 4     FF Sachet + Grass</v>
          </cell>
          <cell r="S45" t="str">
            <v>P n Y Spray Daisy ( 14 Inch ) 7     FF Sachet + Grass</v>
          </cell>
          <cell r="T45" t="str">
            <v>Mix Car 22     FF sachet + Grass</v>
          </cell>
        </row>
        <row r="46">
          <cell r="A46">
            <v>2427</v>
          </cell>
          <cell r="B46" t="str">
            <v>Amrita Jain</v>
          </cell>
          <cell r="C46">
            <v>9560706242</v>
          </cell>
          <cell r="D46" t="str">
            <v>Flat 72, Emilia C2, Gardenia Street</v>
          </cell>
          <cell r="E46" t="str">
            <v>Sohna Road 1</v>
          </cell>
          <cell r="F46" t="str">
            <v>Friday</v>
          </cell>
          <cell r="G46" t="str">
            <v>9 AM - 12 PM</v>
          </cell>
          <cell r="H46">
            <v>1450</v>
          </cell>
          <cell r="I46">
            <v>362.5</v>
          </cell>
          <cell r="J46" t="str">
            <v>Bliss</v>
          </cell>
          <cell r="K46" t="str">
            <v>Referred By Mohar Ray Dahiya // Replacement tom (23/03) No Rose n Orchid (14/04) Send replacement tom of Car (29/07) Payment from Amrita  Das Gupta (20/09) Today Returned (24/10) Do not count last fdel (29/10) Hold due to non payment (26/12) Skip due to non payment (01/01/26) Send one del tom (04/01) HDTNP (27/02)</v>
          </cell>
          <cell r="L46" t="str">
            <v>Rose n Orchid</v>
          </cell>
          <cell r="N46" t="str">
            <v>1  del of this cycle   -  1-cycles pmnt   Pending - Collect 1450</v>
          </cell>
          <cell r="O46" t="str">
            <v>Y Asiatic ( 15 inch ) 2 P n W Glad ( 14 inch ) 7   Grass</v>
          </cell>
          <cell r="P46" t="str">
            <v>Sunflower ( 15 inch ) 2 B Daisy ( 12 inch ) 7   Grass</v>
          </cell>
          <cell r="Q46" t="str">
            <v>Pur Eustoma 2 P n W Car ( 14 Inch ) 7   FF Sachet + Grass</v>
          </cell>
          <cell r="R46" t="str">
            <v>Y Spray Daisy ( 14 Inch ) 3 P n W Glad ( 14 Inch ) 7   FF Sachet + Grass</v>
          </cell>
          <cell r="S46" t="str">
            <v>P Asiatic ( 14 Inch ) 2 Mix Alstroemeria ( 12 Inch ) 7   Grass</v>
          </cell>
          <cell r="T46" t="str">
            <v xml:space="preserve">Sunflower ( 12 Inch ) 2 Pur n P Car ( 14 Inch ) 7  FF Sachet + Grass </v>
          </cell>
        </row>
        <row r="47">
          <cell r="A47">
            <v>1994</v>
          </cell>
          <cell r="B47" t="str">
            <v>M P Bezbaruah</v>
          </cell>
          <cell r="C47">
            <v>9810623627</v>
          </cell>
          <cell r="D47" t="str">
            <v>323, Deerwood Chase, Sector 50</v>
          </cell>
          <cell r="E47" t="str">
            <v>Nirvana Country</v>
          </cell>
          <cell r="F47" t="str">
            <v>Friday</v>
          </cell>
          <cell r="G47" t="str">
            <v>9 AM - 12 PM</v>
          </cell>
          <cell r="H47">
            <v>999</v>
          </cell>
          <cell r="I47">
            <v>249.75</v>
          </cell>
          <cell r="J47" t="str">
            <v>Delight</v>
          </cell>
          <cell r="K47" t="str">
            <v>Send car on Thursday (05/06) Skip 2 week (18/04) No Rajni till Sep (10/07)</v>
          </cell>
          <cell r="M47" t="str">
            <v>No Rajni till sep(10/07)</v>
          </cell>
          <cell r="N47" t="str">
            <v>3  del of this cycle   -  0-cycles pmnt   Completed - Collect 0</v>
          </cell>
          <cell r="O47" t="str">
            <v>Mix Alstroemeria ( 14 inch ) 9     FF Sachet + Grass</v>
          </cell>
          <cell r="P47" t="str">
            <v>P n W Glad ( 16 Inch) 9     Grass</v>
          </cell>
          <cell r="Q47" t="str">
            <v>P Asiatic ( 15 Inch ) 2     Grass</v>
          </cell>
          <cell r="R47" t="str">
            <v>P n W Car ( 14 Inch ) 9     Grass</v>
          </cell>
          <cell r="S47" t="str">
            <v>Sunflower ( 12 Inch ) 2     FF Sachet + Grass</v>
          </cell>
          <cell r="T47" t="str">
            <v xml:space="preserve">P Spray Daisy ( 14 Inch ) 3    FF Sachet + Grass </v>
          </cell>
        </row>
        <row r="48">
          <cell r="A48">
            <v>1996</v>
          </cell>
          <cell r="B48" t="str">
            <v>Ankita Sethi</v>
          </cell>
          <cell r="C48">
            <v>9899660037</v>
          </cell>
          <cell r="D48" t="str">
            <v>C1/202, Vatika City, Sec 49</v>
          </cell>
          <cell r="E48" t="str">
            <v>Sohna Road 1</v>
          </cell>
          <cell r="F48" t="str">
            <v>Friday</v>
          </cell>
          <cell r="G48" t="str">
            <v>9 AM - 12 PM</v>
          </cell>
          <cell r="H48">
            <v>1450</v>
          </cell>
          <cell r="I48">
            <v>362.5</v>
          </cell>
          <cell r="J48" t="str">
            <v>Bliss</v>
          </cell>
          <cell r="K48" t="str">
            <v>NO GLAD (22/12) Upgrade to Joy (19/01) NO HELICONIA ALSO (20/01) Hold today-send tom (03/02) Skip today (31/03) Send replacement tom (09/04) Sent replacement today and sent 1 replacement today (04/06) Skip today (09/06) Sent replacement today (26/-06) Skip 1 week (29/06) Skip 1 week (11/08) 1 Flower food next (04/11) Flower food next (24/11) Skip 1 week (22/12) Skip 1 week (04/01) Skip 1 week (09/05) Skip Tom (16/05) Add changed (24/05) Return today (31/05) Skip 1 week (16/01) Skip tom (06/02)  Hold today (18/04) Skip 1 week (02/07) Skip 1 week (11/09) Today returned as guldwari sent which was not restricted (21/11) Hold due to non payment (26/12) HDTNP ((24/04) Send one del Tom (26/04)</v>
          </cell>
          <cell r="L48" t="str">
            <v>GLAD n HELICONIA</v>
          </cell>
          <cell r="N48" t="str">
            <v>3  del of this cycle   -  0-cycles pmnt   Completed - Collect 0</v>
          </cell>
          <cell r="O48" t="str">
            <v>R n W Car ( 14 inch ) 16     FF Sachet + Grass</v>
          </cell>
          <cell r="P48" t="str">
            <v>Glad 16     FF Sachet + Grass</v>
          </cell>
          <cell r="Q48" t="str">
            <v>P Asiatic ( 15 Inch ) 3     Grass</v>
          </cell>
          <cell r="R48" t="str">
            <v>P n Y Spray Daisy ( 14 Inch ) 5     FF Sachet + Grass</v>
          </cell>
          <cell r="S48" t="str">
            <v>Sunflower ( 12 Inch ) 4     FF Sachet + Grass</v>
          </cell>
          <cell r="T48" t="str">
            <v xml:space="preserve">Pur Eustom ( 12 Inch ) 3    FF Sachet + Grass </v>
          </cell>
        </row>
        <row r="49">
          <cell r="A49">
            <v>1618</v>
          </cell>
          <cell r="B49" t="str">
            <v>Nidhi Sharma Malhotra</v>
          </cell>
          <cell r="C49" t="str">
            <v>8130207722//9999016333</v>
          </cell>
          <cell r="D49" t="str">
            <v>Topaz-36, First Floor, Emaar Emerald Hills, Sec 65</v>
          </cell>
          <cell r="E49" t="str">
            <v>Badshahpur</v>
          </cell>
          <cell r="F49" t="str">
            <v>Friday</v>
          </cell>
          <cell r="G49" t="str">
            <v>9 AM to 2 PM</v>
          </cell>
          <cell r="H49">
            <v>3000</v>
          </cell>
          <cell r="I49">
            <v>375</v>
          </cell>
          <cell r="J49" t="str">
            <v>Charm</v>
          </cell>
          <cell r="K49" t="str">
            <v>Friday n Monday//NO Glad(11/03)  Holy Change(16/03) Send next delivery on Monday (26/04) Heliconia Next (03/05) Now felicity (25/05) Today Returned (15/07) Paytm From sante (16/04) Date was updated from 13th july to 04th Aug -- deliveries missed-- now updated from Jule -- Still deliveries missed(05/07</v>
          </cell>
          <cell r="L49" t="str">
            <v>GLAD</v>
          </cell>
          <cell r="N49" t="str">
            <v>7  del of this cycle   -  0-cycles pmnt   Complimentary - Collect 0</v>
          </cell>
          <cell r="O49" t="str">
            <v>Bop 3     FF Sachet + Grass</v>
          </cell>
          <cell r="P49" t="str">
            <v>P n W Car ( 14 inch ) 15     FF Sachet + Grass</v>
          </cell>
          <cell r="Q49" t="str">
            <v>Mix Spray Daisy 4     FF Sachet + Grass</v>
          </cell>
          <cell r="R49" t="str">
            <v>Pur Eustom ( 14 Inch ) 3     FF Sachet + Grass</v>
          </cell>
          <cell r="S49" t="str">
            <v>BOP ( 14 Inch ) 3     FF Sachet + Grass</v>
          </cell>
          <cell r="T49" t="str">
            <v>P Asiatic ( 14 Inch ) 3     Grass</v>
          </cell>
        </row>
        <row r="50">
          <cell r="A50">
            <v>296</v>
          </cell>
          <cell r="B50" t="str">
            <v>Madhu Thapliyal</v>
          </cell>
          <cell r="C50">
            <v>9999364696</v>
          </cell>
          <cell r="D50" t="str">
            <v>2/201, Sovereign, Vatika City</v>
          </cell>
          <cell r="E50" t="str">
            <v>Sohna Road 1</v>
          </cell>
          <cell r="F50" t="str">
            <v>Friday</v>
          </cell>
          <cell r="G50" t="str">
            <v>9 AM - 12 PM</v>
          </cell>
          <cell r="H50">
            <v>1450</v>
          </cell>
          <cell r="I50">
            <v>362.5</v>
          </cell>
          <cell r="J50" t="str">
            <v>Bliss</v>
          </cell>
          <cell r="K50" t="str">
            <v xml:space="preserve">  Orchids tom(11/10) Pls sned on thursday with Lilies(27/10) Orchids next(22/11) Orchids Next(06/12) Skip n send Chrysanthemum on Momday(17/01) Skip 1 week and  Orchids Next(24/01) Lilies Next(31/01) Orchids nxt(07/02) Paytm from Chandresh(08/02) P n W Chrysanthemum Tom(14/02) NO R Orchids next(21/02)  NO RAJNI N GLAD(25/02)  No Red Daisy (13/10) Skip 1 week (20/10) 1 Spray Daisy Next (30/10) Skip 1 week (07/11) NO GLAD (02/12) Skip 1 week (08/12) Upgrade to Joy (16/12) NO GLAD  AND NO HELICONIA(22/12) Skip 1 week (05/01) P n W Gerbera Next (09/01) SEnt repolacement today (16/01) Skip 1 week (25/01) Spray Daisy Next (16/02) Spray Daisy next (06/04) Sent replacement (09/04) skip 1 wek (13/04) Skip 1 week (20/04) Change to Bliss and send flower food -- No BOP n Glad (18/05) Skip 1 week (31/05) Return today and skip 2 week (09/06) Skip 1 week (14/06) Sent replacement today (26/06) Skip 1 week (29/06) Skip 1 week (08/11) Skip 1 week (18/12) Skip 1 week (25/01) Skip 1 week (08/02) Skip 2 week (21/03) Hold tom (16/05) Skip 2 week (10/096) Sent replacement today (15/07) Skip 1 week (22/07) Spray Daisy next (15/08) Hold today (25/10) Skip this week (25/10) Return today n hold next week also (03/01) Skip 1 week (23/01) Hold today (28/03) Skip 1 week (10/04) Skip tom (19/06) Skip 1 week (02/07) Skip 1 week (24/07) Skip 1 week (01/08) Skip 1 week (15/10) Skip 1 week (19/11) Skip 1 week (05/01) Skip 1 week (17/01) Skip 1 week (29/01) Skip 1 week (22/03) Statice next (19/04)</v>
          </cell>
          <cell r="L50" t="str">
            <v>GLAD n BOP</v>
          </cell>
          <cell r="M50" t="str">
            <v>Statice next (19/04)</v>
          </cell>
          <cell r="N50" t="str">
            <v>2  del of this cycle   -  0-cycles pmnt   Completed - Collect 0</v>
          </cell>
          <cell r="O50" t="str">
            <v>P Asiatic ( 15 inch ) 3     Grass</v>
          </cell>
          <cell r="P50" t="str">
            <v>Sunflower ( 15 inch ) 4     Grass</v>
          </cell>
          <cell r="Q50" t="str">
            <v>Mix Alstroemeria ( 12 Inch ) 16     FF Sachet + Grass</v>
          </cell>
          <cell r="R50" t="str">
            <v>P n W Spray Daisy ( 14 Inch ) 5     FF Sachet + Grass</v>
          </cell>
          <cell r="S50" t="str">
            <v>Pur n P Car ( 14 Inch ) 16     FF Sachet + Grass</v>
          </cell>
          <cell r="T50" t="str">
            <v xml:space="preserve">O Asiatic ( 14 Inch ) 3    Grass </v>
          </cell>
        </row>
        <row r="51">
          <cell r="A51" t="str">
            <v>G-00011</v>
          </cell>
          <cell r="B51" t="str">
            <v>Nainsee Garg</v>
          </cell>
          <cell r="C51">
            <v>9810561802</v>
          </cell>
          <cell r="D51" t="str">
            <v>A67 Rosewood City Sector 49 Gurgaon 122001</v>
          </cell>
          <cell r="E51" t="str">
            <v>Nirvana Country</v>
          </cell>
          <cell r="F51" t="str">
            <v>Friday</v>
          </cell>
          <cell r="G51" t="str">
            <v>9 AM to 2 PM</v>
          </cell>
          <cell r="H51">
            <v>2350</v>
          </cell>
          <cell r="I51">
            <v>293.75</v>
          </cell>
          <cell r="J51" t="str">
            <v>Felicity</v>
          </cell>
          <cell r="K51" t="str">
            <v>No Glad (15/-5) Skip tom n sned next del on Sunday (29/05) Skip 1 week (03/07) Skip 1 week (12/11) Send tom (01/04) Sent one del today (09/04) Skip 1 week (11/05) Skip this cdel n send on Sunday (12/06)</v>
          </cell>
          <cell r="L51" t="str">
            <v>Glad</v>
          </cell>
          <cell r="N51" t="str">
            <v>5  del of this cycle   -  0-cycles pmnt   Completed - Collect 0</v>
          </cell>
          <cell r="O51" t="e">
            <v>#N/A</v>
          </cell>
          <cell r="P51" t="str">
            <v>P n Y Spray Daisy ( 15 inch ) 4 Glad 11   FF Sachet + Grass</v>
          </cell>
          <cell r="Q51" t="str">
            <v>P Asiatic ( 15 Inch ) 2 Mix Alstroemeria ( 12 Inch )  20   Grass</v>
          </cell>
          <cell r="R51" t="str">
            <v>R n W Car ( 14 Inch ) 11     FF Sachet + Grass</v>
          </cell>
          <cell r="S51" t="e">
            <v>#N/A</v>
          </cell>
          <cell r="T51" t="str">
            <v>P Asiatic ( 14 Inch ) 2     Grass</v>
          </cell>
        </row>
        <row r="52">
          <cell r="A52">
            <v>2899</v>
          </cell>
          <cell r="B52" t="str">
            <v>Mitali</v>
          </cell>
          <cell r="C52">
            <v>8805097625</v>
          </cell>
          <cell r="D52" t="str">
            <v>A-3o4, Emaar Emerald Estate, Sec 65</v>
          </cell>
          <cell r="E52" t="str">
            <v>Badshahpur</v>
          </cell>
          <cell r="F52" t="str">
            <v>Friday</v>
          </cell>
          <cell r="G52" t="str">
            <v>9 AM - 12 PM</v>
          </cell>
          <cell r="H52">
            <v>999</v>
          </cell>
          <cell r="I52">
            <v>249.75</v>
          </cell>
          <cell r="J52" t="str">
            <v>Delight</v>
          </cell>
          <cell r="K52" t="str">
            <v>Skip tom (16/10) Paytm from Mitali Bansal // Returned today (13/03) Send 1 Del tom (15/03)</v>
          </cell>
          <cell r="N52" t="str">
            <v>4  del of this cycle   -  0-cycles pmnt   Completed - Collect 0</v>
          </cell>
          <cell r="O52" t="str">
            <v>P Spray Daisy ( 15 inch ) 3     FF Sachet + Grass</v>
          </cell>
          <cell r="P52" t="str">
            <v>Sunflower ( 15 inch ) 2     Grass</v>
          </cell>
          <cell r="Q52" t="str">
            <v>Mix Alstroemeria ( 12 Inch ) 9     FF Sachet + Grass</v>
          </cell>
          <cell r="R52" t="str">
            <v>O Asiatic ( 14 Inch ) 2     Grass</v>
          </cell>
          <cell r="S52" t="str">
            <v>Pur n P Car ( 14 Inch ) 9     FF Sachet + Grass</v>
          </cell>
          <cell r="T52" t="str">
            <v xml:space="preserve">P n W Glad ( 14 Inch ) 9    Grass </v>
          </cell>
        </row>
        <row r="53">
          <cell r="A53">
            <v>3139</v>
          </cell>
          <cell r="B53" t="str">
            <v>Ishita Chopra</v>
          </cell>
          <cell r="C53">
            <v>9810247803</v>
          </cell>
          <cell r="D53" t="str">
            <v>B-69, Ground Floor, Soutthend Floor, Sec 49</v>
          </cell>
          <cell r="E53" t="str">
            <v>Sohna Road 1</v>
          </cell>
          <cell r="F53" t="str">
            <v>Friday</v>
          </cell>
          <cell r="G53" t="str">
            <v>4 Pm to 7 PM</v>
          </cell>
          <cell r="H53">
            <v>1450</v>
          </cell>
          <cell r="I53">
            <v>362.5</v>
          </cell>
          <cell r="J53" t="str">
            <v>Bliss</v>
          </cell>
          <cell r="K53" t="str">
            <v>No Red Rose // Today returned due to timing missunderstaning (21/11) No Roses (06/01)</v>
          </cell>
          <cell r="L53" t="str">
            <v>Roses</v>
          </cell>
          <cell r="N53" t="str">
            <v>4  del of this cycle   -  0-cycles pmnt   Completed - Collect 0</v>
          </cell>
          <cell r="O53" t="e">
            <v>#N/A</v>
          </cell>
          <cell r="P53" t="e">
            <v>#N/A</v>
          </cell>
          <cell r="Q53" t="str">
            <v>P n W Car 16     FF Sachet + Grass</v>
          </cell>
          <cell r="R53" t="str">
            <v>O Asiatic ( 14 Inch ) 3     Grass</v>
          </cell>
          <cell r="S53" t="str">
            <v>P n W Glad ( 14 Inch ) 16     Grass</v>
          </cell>
          <cell r="T53" t="str">
            <v xml:space="preserve">Pur Eustom ( 12 Inch ) 3    FF Sachet + Grass </v>
          </cell>
        </row>
        <row r="54">
          <cell r="A54">
            <v>2385</v>
          </cell>
          <cell r="B54" t="str">
            <v>Vasanta Poddar</v>
          </cell>
          <cell r="C54">
            <v>9899170709</v>
          </cell>
          <cell r="D54" t="str">
            <v>S-64, 2nd Floor, Uppal Southend</v>
          </cell>
          <cell r="E54" t="str">
            <v>Sohna Road 1</v>
          </cell>
          <cell r="F54" t="str">
            <v>Friday</v>
          </cell>
          <cell r="G54" t="str">
            <v>9 AM - 12 PM</v>
          </cell>
          <cell r="H54">
            <v>1950</v>
          </cell>
          <cell r="I54">
            <v>487.5</v>
          </cell>
          <cell r="J54" t="str">
            <v>Joy</v>
          </cell>
          <cell r="K54" t="str">
            <v xml:space="preserve"> Skip 1 week (11/03) Skip 2 week (29/05) Sent 1 Del today (21/08) Send tom (06/02) Skip 1 week (19/02)</v>
          </cell>
          <cell r="L54" t="str">
            <v>ORCHID</v>
          </cell>
          <cell r="N54" t="str">
            <v>1  del of this cycle   -  1-cycles pmnt   Pending - Collect 1950</v>
          </cell>
          <cell r="O54" t="str">
            <v>P n Y Spray Daisy ( 15 inch ) 7     FF Sachet + Grass</v>
          </cell>
          <cell r="P54" t="str">
            <v>Sunflower ( 15 inch ) 5     Grass</v>
          </cell>
          <cell r="Q54" t="str">
            <v>P n W Glad ( 14 Inch ) 22     Grass</v>
          </cell>
          <cell r="R54" t="str">
            <v>W Asiatic ( 14 Inch ) 4     Grass</v>
          </cell>
          <cell r="S54" t="str">
            <v>P Asiatic ( 14 Inch ) 4     Grass</v>
          </cell>
          <cell r="T54" t="str">
            <v>R n P Car ( 14 Inch ) 22     FF sachet + Grass</v>
          </cell>
        </row>
        <row r="55">
          <cell r="A55">
            <v>2582</v>
          </cell>
          <cell r="B55" t="str">
            <v>Nidhi -- Emaar Palm</v>
          </cell>
          <cell r="C55">
            <v>9873404809</v>
          </cell>
          <cell r="D55" t="str">
            <v>T-57/101, Emaar emerakd Premier Floors, Sec 65</v>
          </cell>
          <cell r="E55" t="str">
            <v>Badshahpur</v>
          </cell>
          <cell r="F55" t="str">
            <v>Friday</v>
          </cell>
          <cell r="G55" t="str">
            <v>9:30 Am to 2 PM</v>
          </cell>
          <cell r="H55">
            <v>1450</v>
          </cell>
          <cell r="I55">
            <v>362.5</v>
          </cell>
          <cell r="J55" t="str">
            <v>Bliss</v>
          </cell>
          <cell r="K55" t="str">
            <v>From Nidhi Srivastava // No Del till 4th Oct (24/09) Hold due to non payment (26/12) Hold due to non payment (23/01) Skip 1 week (09/06)</v>
          </cell>
          <cell r="N55" t="str">
            <v>1  del of this cycle   -  1-cycles pmnt   Pending - Collect 999</v>
          </cell>
          <cell r="O55" t="str">
            <v>R n W Car ( 14 inch ) 9     FF Sachet + Grass</v>
          </cell>
          <cell r="P55" t="str">
            <v>Glad 9     Grass</v>
          </cell>
          <cell r="Q55" t="str">
            <v xml:space="preserve">Collect 500 Carry Receipt Book Collect 500 Carry Receipt Book Collect 500 Carry Receipt Book </v>
          </cell>
          <cell r="R55" t="str">
            <v>Y Spray Daisy ( 14 Inch ) 3     FF Sachet + Grass</v>
          </cell>
          <cell r="S55" t="e">
            <v>#N/A</v>
          </cell>
          <cell r="T55" t="str">
            <v xml:space="preserve">R n P Car ( 14 Inch ) 16    FF Sachet + Grass </v>
          </cell>
        </row>
        <row r="56">
          <cell r="A56">
            <v>2985</v>
          </cell>
          <cell r="B56" t="str">
            <v>Leena -- Orchid Petals</v>
          </cell>
          <cell r="C56">
            <v>9810768350</v>
          </cell>
          <cell r="D56" t="str">
            <v>T-24/1103, Orchid Petals</v>
          </cell>
          <cell r="E56" t="str">
            <v>Sohna Road 1</v>
          </cell>
          <cell r="F56" t="str">
            <v>Friday</v>
          </cell>
          <cell r="G56" t="str">
            <v>9 AM - 12 PM</v>
          </cell>
          <cell r="H56">
            <v>1450</v>
          </cell>
          <cell r="I56">
            <v>362.5</v>
          </cell>
          <cell r="J56" t="str">
            <v>Bliss</v>
          </cell>
          <cell r="K56" t="str">
            <v>1st del tom and then every Friday // Upgrade to Bliss (08/01) Hold today (06/02) Skip Friday and send on Sunday this week (20/05)</v>
          </cell>
          <cell r="N56" t="str">
            <v>3  del of this cycle   -  0-cycles pmnt   Completed - Collect 0</v>
          </cell>
          <cell r="O56" t="str">
            <v>P n W Spray Daisy ( 15 inch ) 5     FF Sachet + Grass</v>
          </cell>
          <cell r="P56" t="e">
            <v>#N/A</v>
          </cell>
          <cell r="Q56" t="str">
            <v>R n W Car ( 14 Inch ) 16     FF Sachet + Grass</v>
          </cell>
          <cell r="R56" t="str">
            <v>O Asiatic ( 14 Inch ) 3     Grass</v>
          </cell>
          <cell r="S56" t="str">
            <v>P n W Glad ( 14 Inch ) 16     Grass</v>
          </cell>
          <cell r="T56" t="str">
            <v xml:space="preserve">Pur Eustom ( 12 Inch ) 3    FF Sachet + Grass </v>
          </cell>
        </row>
        <row r="57">
          <cell r="A57">
            <v>3011</v>
          </cell>
          <cell r="B57" t="str">
            <v>Nandita Sharma</v>
          </cell>
          <cell r="C57">
            <v>9702930000</v>
          </cell>
          <cell r="D57" t="str">
            <v>Sovereign-2/102, Vatila City</v>
          </cell>
          <cell r="E57" t="str">
            <v>Sohna Road 1</v>
          </cell>
          <cell r="F57" t="str">
            <v>Friday</v>
          </cell>
          <cell r="G57" t="str">
            <v>9 AM to 2 PM</v>
          </cell>
          <cell r="H57">
            <v>1450</v>
          </cell>
          <cell r="I57">
            <v>362.5</v>
          </cell>
          <cell r="J57" t="str">
            <v>Bliss</v>
          </cell>
          <cell r="K57" t="str">
            <v>Hld till 8th Mar (22/02)</v>
          </cell>
          <cell r="N57" t="str">
            <v>2  del of this cycle   -  0-cycles pmnt   Completed - Collect 0</v>
          </cell>
          <cell r="O57" t="str">
            <v>Bop 2 P n W Glad ( 14 inch ) 7   FF Sachet + Grass</v>
          </cell>
          <cell r="P57" t="str">
            <v>Sunflower ( 15 inch ) 2 P n W Car ( 14 inch ) 7   FF Sachet + Grass</v>
          </cell>
          <cell r="Q57" t="str">
            <v>O Asiatic ( 15 Inch ) 2 Mix Alstroemeria ( 12 Inch )  7   Grass</v>
          </cell>
          <cell r="R57" t="str">
            <v>P Spray Daisy ( 14 Inch ) 3 P n W Glad ( 14 Inch ) 7   FF Sachet + Grass</v>
          </cell>
          <cell r="S57" t="str">
            <v>Pur Eustoma ( 12 Inch ) 2 Pur n P Car ( 14 Inch ) 7   FF Sachet + Grass</v>
          </cell>
          <cell r="T57" t="str">
            <v xml:space="preserve">Sunflower ( 12 Inch ) 2 Mix Alstroemeria (  12 Inch ) 7  FF Sachet + Grass </v>
          </cell>
        </row>
        <row r="58">
          <cell r="A58">
            <v>1571</v>
          </cell>
          <cell r="B58" t="str">
            <v>Mohar Ray Dahiya</v>
          </cell>
          <cell r="C58">
            <v>9910019898</v>
          </cell>
          <cell r="D58" t="str">
            <v>Sovereign-3/201, Vatika City</v>
          </cell>
          <cell r="E58" t="str">
            <v>Sohna Road 1</v>
          </cell>
          <cell r="F58" t="str">
            <v>Friday</v>
          </cell>
          <cell r="G58" t="str">
            <v>9 AM to 2 PM</v>
          </cell>
          <cell r="H58">
            <v>1600</v>
          </cell>
          <cell r="I58">
            <v>200</v>
          </cell>
          <cell r="J58" t="str">
            <v>Bloom</v>
          </cell>
          <cell r="K58" t="str">
            <v>Friday and Monday(29/06)Chamged to Friday//NO Tape Usage(10/12) Rajni and Car next -- No Red Car(14/01)  Glad and Rose-- Pref both Red(11/02) Spray Daisy and Guldawari this week(24/02) Send Mix of BOP and anthurium(28/02) Mix of Orchid and Lily next(10/03)   NO BOP AND ANTHURIUM(18/04)NO BOP/ANTHURIUM/HELICONIA AND ORIENTAL(01/06) Spray Daisy Next(10/07) Mix Glad Next(30/08) Lilies if they are good else  any other flower in Red/Orange or Yellow (19/10) Yellow Glad Next (27/11) No Joy Package and sned Rose and Guldawari Tom (15/12) Send mix of Red n W Car anmd Guldawari tom (22/12) Pls send on sunday this week instead of friday (08/01) Guldawari and Orchids Next (16/01) NO RAJNI til they become better(04/08) Send replacement today(23/09) Aster in Subscription (19/10) Glad Next (08/11) No Delivery between (5th Jan to 16th Jan (28/12) NO BOP n GERBERA (23/02) Hold till 23rd Jan (30/12) Rs. 725 added against referal credit of Amrita Jain Subscription (08/03) Do not count last del (19/04) Friday missed (16/06) Skip this friday (25/06) Hold from 5th to 12th (04/01)</v>
          </cell>
          <cell r="L58" t="str">
            <v>BOP n GERBERA</v>
          </cell>
          <cell r="N58" t="str">
            <v>7  del of this cycle   -  0-cycles pmnt   Completed - Collect 0</v>
          </cell>
          <cell r="O58" t="str">
            <v>P n W Car ( 14 inch ) 7     FF Sachet + Grass</v>
          </cell>
          <cell r="P58" t="str">
            <v>Rajni ( 16 inch ) 7     Grass</v>
          </cell>
          <cell r="Q58" t="str">
            <v>P n W Glad ( 14 Inch ) 7     Grass</v>
          </cell>
          <cell r="R58" t="str">
            <v>R n W Car ( 14 Inch ) 7     FF Sachet + Grass</v>
          </cell>
          <cell r="S58" t="str">
            <v>Rajni ( 14 Inch ) 7     Grass</v>
          </cell>
          <cell r="T58" t="str">
            <v>P n W Glad ( 14 Inch ) 7     Grass</v>
          </cell>
        </row>
        <row r="59">
          <cell r="A59">
            <v>36</v>
          </cell>
          <cell r="B59" t="str">
            <v>Ms. Anubha T Agarwal</v>
          </cell>
          <cell r="C59">
            <v>9818690761</v>
          </cell>
          <cell r="D59" t="str">
            <v>D-902, Park View City-1, Sohna Road</v>
          </cell>
          <cell r="E59" t="str">
            <v>Sohna Road 2</v>
          </cell>
          <cell r="F59" t="str">
            <v>Friday</v>
          </cell>
          <cell r="G59" t="str">
            <v>4 Pm to 7 PM</v>
          </cell>
          <cell r="H59">
            <v>999</v>
          </cell>
          <cell r="I59">
            <v>249.75</v>
          </cell>
          <cell r="J59" t="str">
            <v>Delight</v>
          </cell>
          <cell r="K59" t="str">
            <v>No Rajni (22/05)Skip coming week del(13/08)Pls skip this week n send next week(03/09)Pls shift time slot to evevning(18/09)Pls shift to morning(10/10) Paytm from manoj Agarwal(13/02) Skip 1 week(03/04) Send 1 stick extra in next Del(19/06) Say Change to Monday(21/08) Upgrade to 650 (01/12) Skiped 1 week due to HOLI(29/03) Flower Food Next(16/04) Upgrade to Bliss and send remaining flowers in 2nd Del(14/09) Skip 1 wek(14/10) skip 1 week(01/01)  Holy Change(16/03) Skip this week n send on sunday(10/08) Send Replacement tom (19/11) Send on monday this week (10/08)  Hold today (26/01) Today Returned (05/04) Today returned (16/08) Send replacement tom (15/09) Yesterday Returned (15/02) Return today (25/04) Skip 1 week (29/05) Skip 1 week (28/07) Skip tom n send on sunday (18/09) Skip 1 week (04/12)</v>
          </cell>
          <cell r="N59" t="str">
            <v>3  del of this cycle   -  0-cycles pmnt   Completed - Collect 0</v>
          </cell>
          <cell r="O59" t="str">
            <v>P n W Glad ( 14 inch ) 9     Grass</v>
          </cell>
          <cell r="P59" t="str">
            <v>R n W Car( 14 inch ) 9     FF Sachet + Grass</v>
          </cell>
          <cell r="Q59" t="str">
            <v>O Asiatic ( 15 Inch ) 2     Grass</v>
          </cell>
          <cell r="R59" t="str">
            <v>Sunflower ( 12 Inch ) 2     FF Sachet + Grass</v>
          </cell>
          <cell r="S59" t="str">
            <v>P n W Glad ( 14 Inch ) 9     Grass</v>
          </cell>
          <cell r="T59" t="str">
            <v xml:space="preserve">Mix Alstroemeria ( 12 Inch ) 9    FF Sachet + Grass </v>
          </cell>
        </row>
        <row r="60">
          <cell r="A60">
            <v>3076</v>
          </cell>
          <cell r="B60" t="str">
            <v>Aishwarya -- Acacia</v>
          </cell>
          <cell r="C60">
            <v>8454952029</v>
          </cell>
          <cell r="D60" t="str">
            <v>11/2, Acacia, Vatika City</v>
          </cell>
          <cell r="E60" t="str">
            <v>Sohna Road 1</v>
          </cell>
          <cell r="F60" t="str">
            <v>Friday</v>
          </cell>
          <cell r="G60" t="str">
            <v>9 AM - 12 PM</v>
          </cell>
          <cell r="H60">
            <v>2750</v>
          </cell>
          <cell r="I60">
            <v>687.5</v>
          </cell>
          <cell r="J60" t="str">
            <v>Elation</v>
          </cell>
          <cell r="K60" t="str">
            <v>Upgrade to elation (06/11) Hold due to non payment (18/12) hold due to non payment (16/01)</v>
          </cell>
          <cell r="N60" t="str">
            <v>3  del of this cycle   -  0-cycles pmnt   Completed - Collect 0</v>
          </cell>
          <cell r="O60" t="str">
            <v>P Asiatic ( 15 inch ) 3 Mix Alstroemeria ( 14 inch ) 16   2 Limonium</v>
          </cell>
          <cell r="P60" t="str">
            <v>Sunflower ( 15 inch ) 4 P n W Glad ( 14 inch ) 15   2 Gypsola</v>
          </cell>
          <cell r="Q60" t="str">
            <v>P n Y Spray Daisy ( 15 Inch ) 5 P n W Car ( 14 Inch ) 16   2 Limonium + Ff Sachet</v>
          </cell>
          <cell r="R60" t="str">
            <v>Pur Eustom ( 14 Inch ) 3 Mix Alstroemeria ( 12 Inch ) 16   2 Gypsola + FF Sachet</v>
          </cell>
          <cell r="S60" t="str">
            <v>Y Asiatic ( 14 Inch ) 3 P n W Glad ( 14 Inch ) 16   2 Limonium</v>
          </cell>
          <cell r="T60" t="str">
            <v>Sunflower ( 12 Inch ) 4 Pur n P Car ( 14 Inch ) 16   FF sachet + Grass</v>
          </cell>
        </row>
        <row r="61">
          <cell r="A61">
            <v>48</v>
          </cell>
          <cell r="B61" t="str">
            <v>Ms. Namrata Agarwal</v>
          </cell>
          <cell r="C61">
            <v>9873660272</v>
          </cell>
          <cell r="D61" t="str">
            <v>18/1101,Orchid Petals, Sohna Road</v>
          </cell>
          <cell r="E61" t="str">
            <v>Sohna Road 1</v>
          </cell>
          <cell r="F61" t="str">
            <v>Friday</v>
          </cell>
          <cell r="G61" t="str">
            <v>9 AM - 12 PM</v>
          </cell>
          <cell r="H61">
            <v>1950</v>
          </cell>
          <cell r="I61">
            <v>487.5</v>
          </cell>
          <cell r="J61" t="str">
            <v>Joy</v>
          </cell>
          <cell r="K61" t="str">
            <v>More Lilies n Orchids (20/05), NO ORCHID(12/10)  NO HELICONIA and send vase Next for 200(01/02) Send 1 vase for 200 tom(05/02)NO BOP(13/03) Paytm from Vipul Agarwal (09/06) Skip 3 weeks after current cycle (10/06) Paytm from Vipul Agarwal (14/07) Do not count last del (09/09) Skip 2 week (29/05) Today Returned (20/06) Hold due to non payment (16/01) Hold due to non payment (23/01) HDTNP (27/02) HDTNP (06/03) HDTNP (13/03) Skip 3 week (19/04)</v>
          </cell>
          <cell r="N61" t="str">
            <v>1  del of this cycle   -  1-cycles pmnt   Pending - Collect 1950</v>
          </cell>
          <cell r="O61" t="str">
            <v>P n Y Spray Daisy ( 15 inch ) 7     FF Sachet + Grass</v>
          </cell>
          <cell r="P61" t="str">
            <v>P n W Car ( 14 inch ) 22     FF Sachet + Grass</v>
          </cell>
          <cell r="Q61" t="str">
            <v>O Asiatic ( 15 Inch ) 4     Grass</v>
          </cell>
          <cell r="R61" t="str">
            <v>P n W Glad ( 14 Inch ) 22     Grass</v>
          </cell>
          <cell r="S61" t="str">
            <v>Mix Alstroemeria ( 12 Inch ) 22     FF Sachet + Grass</v>
          </cell>
          <cell r="T61" t="str">
            <v>Sunflower ( 12 Inch ) 5     FF sachet + Grass</v>
          </cell>
        </row>
        <row r="62">
          <cell r="A62">
            <v>152</v>
          </cell>
          <cell r="B62" t="str">
            <v xml:space="preserve">
Manisha Kahai
</v>
          </cell>
          <cell r="C62">
            <v>9810013410</v>
          </cell>
          <cell r="D62" t="str">
            <v xml:space="preserve">Flat number 41, Jasminium 1, Vatika City, Sector 49 (Sohna Road)    Sec 49 Gurgaon  122001 
</v>
          </cell>
          <cell r="E62" t="str">
            <v>Sohna Road 1</v>
          </cell>
          <cell r="F62" t="str">
            <v>Friday</v>
          </cell>
          <cell r="G62" t="str">
            <v>9 AM - 12 PM</v>
          </cell>
          <cell r="H62">
            <v>1450</v>
          </cell>
          <cell r="I62">
            <v>362.5</v>
          </cell>
          <cell r="J62" t="str">
            <v>Bliss</v>
          </cell>
          <cell r="K62" t="str">
            <v>Day changed to Sat (25/02)Return-send tomorrow(03/11)Hold and start from 11th may(06/04) FF Sold today(03/08) FF Sold today n payment recvd(07/09) Holy Change(16/03) FF Next(20/03) Paytm from Manisha Singh (09/06) 250 returned via paytm (03/.11) Today Returned (18/07)</v>
          </cell>
          <cell r="N62" t="str">
            <v>2  del of this cycle   -  0-cycles pmnt   Completed - Collect 0</v>
          </cell>
          <cell r="O62" t="str">
            <v>P n Y Spray Daisy ( 15 inch ) 5     FF Sachet + Grass</v>
          </cell>
          <cell r="P62" t="str">
            <v>P Asiatic ( 15 inch ) 3     Grass</v>
          </cell>
          <cell r="Q62" t="str">
            <v>R n W Car ( 14 Inch ) 16     FF Sachet + Grass</v>
          </cell>
          <cell r="R62" t="str">
            <v>P n W Glad ( 14 Inch ) 16     Grass</v>
          </cell>
          <cell r="S62" t="str">
            <v>Sunflower ( 12 Inch ) 4     FF Sachet + Grass</v>
          </cell>
          <cell r="T62" t="str">
            <v xml:space="preserve">Pur Eustom ( 12 Inch ) 3    FF Sachet + Grass </v>
          </cell>
        </row>
        <row r="63">
          <cell r="A63">
            <v>2372</v>
          </cell>
          <cell r="B63" t="str">
            <v>Sumita Shahi</v>
          </cell>
          <cell r="C63">
            <v>9910955257</v>
          </cell>
          <cell r="D63" t="str">
            <v xml:space="preserve">T-A/501, Spaze I-tech Park, </v>
          </cell>
          <cell r="E63" t="str">
            <v>Sohna Road 1</v>
          </cell>
          <cell r="F63" t="str">
            <v>Friday</v>
          </cell>
          <cell r="G63" t="str">
            <v>9 AM - 12 PM</v>
          </cell>
          <cell r="H63">
            <v>1950</v>
          </cell>
          <cell r="I63">
            <v>487.5</v>
          </cell>
          <cell r="J63" t="str">
            <v>Joy</v>
          </cell>
          <cell r="K63" t="str">
            <v>Skip 1 week (04/01) Skip 1 week (25/06) Send tom (26/06) Tday returned (15/08) Hold tom (05/09) Today hold n skip 1 week (26/09) Skip tom (19/03) Upgrade to Joy and four plus 1 Pack (12/04) Hold today (01/05)</v>
          </cell>
          <cell r="N63" t="str">
            <v>4  del of this cycle   -  0-cycles pmnt   Completed - Collect 0</v>
          </cell>
          <cell r="O63" t="str">
            <v>Mix Alstroemeria ( 14 inch ) 22     FF Sachet + Grass</v>
          </cell>
          <cell r="P63" t="str">
            <v>P n Y Spray Daisy ( 15 inch ) 7     FF Sachet + Grass</v>
          </cell>
          <cell r="Q63" t="str">
            <v>P n W Glad ( 14 Inch ) 22     Grass</v>
          </cell>
          <cell r="R63" t="str">
            <v>Mix Alstroemeria ( 12 Inch ) 22     FF Sachet + Grass</v>
          </cell>
          <cell r="S63" t="str">
            <v>Pur n P Eustoma ( 14 Inch ) 4     FF Sachet + Grass</v>
          </cell>
          <cell r="T63" t="str">
            <v>O Asiatic ( 14 Inch ) 4     Grass</v>
          </cell>
        </row>
        <row r="64">
          <cell r="A64">
            <v>163</v>
          </cell>
          <cell r="B64" t="str">
            <v>Rasmeeta Nayak</v>
          </cell>
          <cell r="C64">
            <v>8800444342</v>
          </cell>
          <cell r="D64" t="str">
            <v>H-504, Park View City - 2, Sohna Road</v>
          </cell>
          <cell r="E64" t="str">
            <v>Sohna Road 1</v>
          </cell>
          <cell r="F64" t="str">
            <v>Friday</v>
          </cell>
          <cell r="G64" t="str">
            <v>9 AM - 12 PM</v>
          </cell>
          <cell r="H64">
            <v>1950</v>
          </cell>
          <cell r="I64">
            <v>487.5</v>
          </cell>
          <cell r="J64" t="str">
            <v>Joy</v>
          </cell>
          <cell r="K64" t="str">
            <v xml:space="preserve"> NO GLAD(12/04)  NO BOP(12/12)  NO HELICONIA(24/12)  Today returned-send tom(20/05) Return today and skip 1 week(09/09) Double Del tom with Lily and Rajnigandha (20/10) Today Returned -- send on 16th (14/07) Hold n start from 22nd Sep (08/08) Skip 2 week (16/03) Send 4th Del on Wednesday not on Friday (23/10) Today Returned (21/02) Skip n send on Monday (11/03) Skip 1 week (27/03) Skip 1 week (02/07) Hold n skip 2 weeks // hold she will confirm (19/12)</v>
          </cell>
          <cell r="N64" t="str">
            <v>2  del of this cycle   -  0-cycles pmnt   Completed - Collect 0</v>
          </cell>
          <cell r="O64" t="str">
            <v>Mix Alstroemeria ( 14 inch ) 22     FF Sachet + Grass</v>
          </cell>
          <cell r="P64" t="str">
            <v>P n W Glad ( 16 Inch) 22     Grass</v>
          </cell>
          <cell r="Q64" t="str">
            <v>Y Orchid  7     FF Sachet + Grass</v>
          </cell>
          <cell r="R64" t="str">
            <v>W Asiatic ( 14 Inch ) 4     Grass</v>
          </cell>
          <cell r="S64" t="str">
            <v>Pur n P Car ( 14 Inch ) 22     FF Sachet + Grass</v>
          </cell>
          <cell r="T64" t="str">
            <v>Sunflower ( 12 Inch ) 5     FF sachet + Grass</v>
          </cell>
        </row>
        <row r="65">
          <cell r="A65">
            <v>3337</v>
          </cell>
          <cell r="B65" t="str">
            <v>Shweta Bajpai</v>
          </cell>
          <cell r="C65">
            <v>9205184535</v>
          </cell>
          <cell r="D65" t="str">
            <v>288, Tatvam Villa</v>
          </cell>
          <cell r="E65" t="str">
            <v>Sohna Road 2</v>
          </cell>
          <cell r="F65" t="str">
            <v>Friday</v>
          </cell>
          <cell r="G65" t="str">
            <v>4 Pm to 7 PM</v>
          </cell>
          <cell r="H65">
            <v>1450</v>
          </cell>
          <cell r="I65">
            <v>1450</v>
          </cell>
          <cell r="J65" t="str">
            <v>Bliss</v>
          </cell>
          <cell r="K65" t="str">
            <v>Hold tOday (12/06)</v>
          </cell>
          <cell r="N65" t="str">
            <v>4  del of this cycle   -  0-cycles pmnt   Completed - Collect 0</v>
          </cell>
          <cell r="O65" t="str">
            <v>P n W Glad ( 14 inch ) 16     Grass</v>
          </cell>
          <cell r="P65" t="str">
            <v>P Asiatic ( 15 inch ) 3     Grass</v>
          </cell>
          <cell r="Q65" t="str">
            <v>R n W Car ( 14 Inch ) 16     FF Sachet + Grass</v>
          </cell>
          <cell r="R65" t="str">
            <v>P n Y Spray Daisy ( 14 Inch ) 5     FF Sachet + Grass</v>
          </cell>
          <cell r="S65" t="str">
            <v>Mix Alstroemeria ( 12 Inch ) 16     FF Sachet + Grass</v>
          </cell>
          <cell r="T65" t="str">
            <v xml:space="preserve">Pur Eustom ( 12 Inch ) 3    FF Sachet + Grass </v>
          </cell>
        </row>
        <row r="66">
          <cell r="A66">
            <v>953</v>
          </cell>
          <cell r="B66" t="str">
            <v>Nidhi Bansal</v>
          </cell>
          <cell r="C66">
            <v>9818647402</v>
          </cell>
          <cell r="D66" t="str">
            <v>03, Tatvam Villa's,Sector 48</v>
          </cell>
          <cell r="E66" t="str">
            <v>Sohna Road 2</v>
          </cell>
          <cell r="F66" t="str">
            <v>Friday</v>
          </cell>
          <cell r="G66" t="str">
            <v>9 AM - 12 PM</v>
          </cell>
          <cell r="H66">
            <v>2750</v>
          </cell>
          <cell r="I66">
            <v>687.5</v>
          </cell>
          <cell r="J66" t="str">
            <v>Elation</v>
          </cell>
          <cell r="K66" t="str">
            <v>Send Mix of Rajni and Spray Daisy next and send on Friday this week(10/02) Send Dahelia and rajni Next(19/02) Asiatic n Rajni next(26/02) Mix of rajni and daisy(19/03) Always send Lily and Some other flower(02/10) Lily and Rose next(12/11) Rajni this week(03/12) Rajni this week(08/12) Rajni next(07/01) Hold n start from April and Check before sending(28/02) Return-Send next week(17/06) Repeat flowers(10/08) Rajni next 15/12) Add changed (07/07) Send Replacement tom (05/07) Long stems (30/10) 2700 CASH AND 50 PAYTM (08/05)</v>
          </cell>
          <cell r="M66" t="str">
            <v>Long Stems (30/10)</v>
          </cell>
          <cell r="N66" t="str">
            <v>4  del of this cycle   -  0-cycles pmnt   Completed - Collect 0</v>
          </cell>
          <cell r="O66" t="str">
            <v>Sunflower ( 15 inch ) 4 Mix Alstroemeria ( 14 inch ) 15   2 Limonium</v>
          </cell>
          <cell r="P66" t="str">
            <v>W Eustoma ( 14 inch ) 4 P n W Car ( 14 inch ) 15   2 Gypsola + FF Sachet</v>
          </cell>
          <cell r="Q66" t="str">
            <v>O Asiatic ( 15 Inch ) 3 P n W Glad ( 14 Inch ) 16   2 Limonium</v>
          </cell>
          <cell r="R66" t="str">
            <v>P n Y Spray Daisy ( 14 Inch ) 5 Mix Alstroemeria ( 12 Inch ) 16   2 Gypsola + FF Sachet</v>
          </cell>
          <cell r="S66" t="str">
            <v>Sunflower ( 12 Inch ) 4 Pur n P Car ( 14 Inch ) 16   2 Limonium + FF sachet</v>
          </cell>
          <cell r="T66" t="str">
            <v>P Eustoma ( 12 Inch ) 4 P n W Glad ( 14 Inch ) 16   FF sachet + Grass</v>
          </cell>
        </row>
        <row r="67">
          <cell r="A67">
            <v>3185</v>
          </cell>
          <cell r="B67" t="str">
            <v>Kamla Anand</v>
          </cell>
          <cell r="C67">
            <v>9711216660</v>
          </cell>
          <cell r="D67" t="str">
            <v>83  Jasminium 1,Vatika city 
Sec 49</v>
          </cell>
          <cell r="E67" t="str">
            <v>Sohna Road 1</v>
          </cell>
          <cell r="F67" t="str">
            <v>Friday</v>
          </cell>
          <cell r="G67" t="str">
            <v>9 AM - 12 PM</v>
          </cell>
          <cell r="H67">
            <v>999</v>
          </cell>
          <cell r="I67">
            <v>249.75</v>
          </cell>
          <cell r="J67" t="str">
            <v>Delight</v>
          </cell>
          <cell r="K67" t="str">
            <v>Skip tom (09/04)</v>
          </cell>
          <cell r="N67" t="str">
            <v>2  del of this cycle   -  0-cycles pmnt   Completed - Collect 0</v>
          </cell>
          <cell r="O67" t="str">
            <v>Mix Alstroemeria ( 14 inch ) 9     FF Sachet + Grass</v>
          </cell>
          <cell r="P67" t="str">
            <v>Sunflower ( 15 inch ) 2     Grass</v>
          </cell>
          <cell r="Q67" t="str">
            <v>R n W Car ( 14 Inch ) 9     FF Sachet + Grass</v>
          </cell>
          <cell r="R67" t="str">
            <v>P Spray Daisy ( 14 Inch ) 3     FF Sachet + Grass</v>
          </cell>
          <cell r="S67" t="str">
            <v>P n W Glad ( 14 Inch ) 9     Grass</v>
          </cell>
          <cell r="T67" t="str">
            <v xml:space="preserve">O Asiatic ( 14 Inch ) 2    Grass </v>
          </cell>
        </row>
        <row r="68">
          <cell r="A68">
            <v>2404</v>
          </cell>
          <cell r="B68" t="str">
            <v>Amitt Nenwani</v>
          </cell>
          <cell r="C68">
            <v>9810444444</v>
          </cell>
          <cell r="D68" t="str">
            <v>Villa 21, Z Block, Tatvam Villas</v>
          </cell>
          <cell r="E68" t="str">
            <v>Sohna Road 2</v>
          </cell>
          <cell r="F68" t="str">
            <v>Friday</v>
          </cell>
          <cell r="G68" t="str">
            <v>9 AM - 12 PM</v>
          </cell>
          <cell r="H68">
            <v>6350</v>
          </cell>
          <cell r="I68">
            <v>793.75</v>
          </cell>
          <cell r="J68" t="str">
            <v>Elegance</v>
          </cell>
          <cell r="K68" t="str">
            <v>Friday n Monday//Mixed // Skip 1 week (17/04) Skip this week (12/11) Skip this week and send on 03rd Jan (29/12) Skip tom (15/03) Skip 1 week (26/03)</v>
          </cell>
          <cell r="M68" t="str">
            <v>Mixed Flowers// Change to enchantement from next cycle (12/1)</v>
          </cell>
          <cell r="N68" t="str">
            <v>8  del of this cycle   -  0-cycles pmnt   In Process - Collect 0</v>
          </cell>
          <cell r="O68" t="str">
            <v>P Asiatic ( 15 inch ) 3 BOP ( 14 inch ) 3 Rajni ( 14 inch ) 10 3 Areca palm + 3 Gypsola</v>
          </cell>
          <cell r="P68" t="str">
            <v>Y Asiatic ( 15 inch ) 3 B Orchid  4 Glad 12 3 Areca palm + 3 Limonium</v>
          </cell>
          <cell r="Q68" t="str">
            <v>P Asiatic ( 15 Inch ) 3 P n Y Spray Daosy ( 15 Inch ) 4 P n W Car ( 14 Inch ) 12 3 Areca Palm + 3 Limonium</v>
          </cell>
          <cell r="R68" t="str">
            <v>W Asiatic ( 14 Inch ) 3 G Orchid  4 Rajni ( 14 Inch ) 12 Grass</v>
          </cell>
          <cell r="S68" t="str">
            <v>Y Asiatic ( 14 Inch ) 4 BOP ( 15 Inch ) 3 Pur n P Car ( 14 Inch ) 12 3 Areca palm + 3 Gypsola</v>
          </cell>
          <cell r="T68" t="str">
            <v>O Asiatic ( 14 Inch ) 3 B Orchid  4 P n W Glad ( 14 Inch ) 12 Grass</v>
          </cell>
        </row>
        <row r="69">
          <cell r="A69">
            <v>3354</v>
          </cell>
          <cell r="B69" t="str">
            <v>Radha Bhatnagar</v>
          </cell>
          <cell r="C69">
            <v>9971944440</v>
          </cell>
          <cell r="D69" t="str">
            <v>D-35, 2nd Floor, Vipul World</v>
          </cell>
          <cell r="E69" t="str">
            <v>Sohna Road 2</v>
          </cell>
          <cell r="F69" t="str">
            <v>Friday</v>
          </cell>
          <cell r="G69" t="str">
            <v>9 AM - 12 PM</v>
          </cell>
          <cell r="H69">
            <v>1450</v>
          </cell>
          <cell r="I69">
            <v>362.5</v>
          </cell>
          <cell r="J69" t="str">
            <v>Bliss</v>
          </cell>
          <cell r="N69" t="str">
            <v>3  del of this cycle   -  0-cycles pmnt   Completed - Collect 0</v>
          </cell>
          <cell r="O69" t="str">
            <v>P n Y Spray Daisy ( 15 inch ) 5     FF Sachet + Grass</v>
          </cell>
          <cell r="P69" t="str">
            <v>P n W Glad ( 16 Inch) 16     Grass</v>
          </cell>
          <cell r="Q69" t="str">
            <v>O Asiatic ( 15 Inch ) 3     Grass</v>
          </cell>
          <cell r="R69" t="str">
            <v>Mix Alstroemeria ( 12 Inch ) 16     FF Sachet + Grass</v>
          </cell>
          <cell r="S69" t="str">
            <v>R n W Car ( 14 Inch ) 16     FF Sachet + Grass</v>
          </cell>
          <cell r="T69" t="str">
            <v xml:space="preserve">Pur Eustom ( 12 Inch ) 3    FF Sachet + Grass </v>
          </cell>
        </row>
        <row r="70">
          <cell r="A70">
            <v>2123</v>
          </cell>
          <cell r="B70" t="str">
            <v>Meenu Singh</v>
          </cell>
          <cell r="C70">
            <v>9999982765</v>
          </cell>
          <cell r="D70" t="str">
            <v xml:space="preserve">FLAT NO 16 A, TOWER 2, FAIRWAY EAST, M3M GOLF ESTATE
</v>
          </cell>
          <cell r="E70" t="str">
            <v>Badshahpur</v>
          </cell>
          <cell r="F70" t="str">
            <v>Friday</v>
          </cell>
          <cell r="G70" t="str">
            <v>9 AM - 12 PM</v>
          </cell>
          <cell r="H70">
            <v>3750</v>
          </cell>
          <cell r="I70">
            <v>937.5</v>
          </cell>
          <cell r="J70" t="str">
            <v>Savor</v>
          </cell>
          <cell r="K70" t="str">
            <v>Mix of 1 Less Flower with more number of flowers (01/07)  NO RAJNI (03/09) Skip 3 Weeks (08/04) Skip 2 week (10/06) Returned today (13/09) Sent Replacement today (07.10) Hold today (20/12) Returned today n hold till 6th Jan (27/12) Hold due to non payment (10/10) Skip 2 weeks (14/10) Skip 1 week (13/11) Hold due to non payment (26/12) Hold due to non payment (09/01) Hold due to non payment (16/01) Hold due to non payment (23/01) Hold due to non payment (06/02) Hold due to non payment (13/02)</v>
          </cell>
          <cell r="M70" t="str">
            <v>Diff Flowers n Combination</v>
          </cell>
          <cell r="N70" t="str">
            <v>1  del of this cycle   -  0-cycles pmnt   Completed - Collect 0</v>
          </cell>
          <cell r="O70" t="str">
            <v>BOP 3 Mix Alstroemeria ( 14 inch ) 21   FF Sachet + Grass</v>
          </cell>
          <cell r="P70" t="str">
            <v>P Asiatic ( 15 inch ) 4 P n W Car ( 14 inch ) 21   FF Sachet + Grass</v>
          </cell>
          <cell r="Q70" t="str">
            <v>P n W Spray Daisy ( 15 Inch ) 5 P n W Glad ( 14 Inch ) 21   2 Gypsola + FF Sachet</v>
          </cell>
          <cell r="R70" t="str">
            <v>Sunflower ( 12 Inch ) 5 Mix Alstroemeria ( 12 Inch ) 20   2 Limonium + FF Sachet</v>
          </cell>
          <cell r="S70" t="str">
            <v>Pur n P Eustoma ( 14 Inch ) 4 Pur n P Car ( 14 Inch ) 16   2 Gypsola + FF Sachet</v>
          </cell>
          <cell r="T70" t="str">
            <v>O Asiatic ( 14 Inch ) 4 P n W Glad ( 14 Inch ) 21   Grass</v>
          </cell>
        </row>
        <row r="71">
          <cell r="A71">
            <v>1477</v>
          </cell>
          <cell r="B71" t="str">
            <v>Priyanka Agarwal</v>
          </cell>
          <cell r="C71">
            <v>9810745341</v>
          </cell>
          <cell r="D71" t="str">
            <v>624-A, Fairway East, Sector 65</v>
          </cell>
          <cell r="E71" t="str">
            <v>Badshahpur</v>
          </cell>
          <cell r="F71" t="str">
            <v>Friday</v>
          </cell>
          <cell r="G71" t="str">
            <v>9 AM to 2 PM</v>
          </cell>
          <cell r="H71">
            <v>1600</v>
          </cell>
          <cell r="I71">
            <v>200</v>
          </cell>
          <cell r="J71" t="str">
            <v>Bloom</v>
          </cell>
          <cell r="K71" t="str">
            <v>Monday and Friday//Tuesday and Saturday//Change to 950 pack and sned in evebing slot of Saturday and Tuesday(09/09) NO GERBERA(15/11) Need to check foe the payment(11/12) Sent replacement today(10/04) No Del between 22nd to 29th Apr(13/04) Star after 29th Apr(22/04) Hold after this cycxle(02/08) Today Flowesr returned (24/04) Now send after 18th (13/05) Hold n start from July (22/05) No Flowers till 16th Nov (13/11) Hold today and 10 Days (19/02) Skop monday Del (22/03) Pls skip coming del (05/06) Return today send next week (23/05) Today Returned (15/08) Tiday Returned agains (18/08) Hold due to non payment (06/10) Hold due to non payment (10/10) Hold due to non payment (09/02) HDTNP (13/03) HDTNP (22/05) HDTNP (25/05)</v>
          </cell>
          <cell r="N71" t="str">
            <v>4  del of this cycle   -  0-cycles pmnt   Completed - Collect 0</v>
          </cell>
          <cell r="O71" t="str">
            <v>P n W Glad ( 14 inch ) 7   Ensure Collection Ensure Collection Grass</v>
          </cell>
          <cell r="P71" t="e">
            <v>#N/A</v>
          </cell>
          <cell r="Q71" t="str">
            <v xml:space="preserve">Collect 1400 Carry Receipt Book Collect 1400 Carry Receipt Book Collect 1400 Carry Receipt Book </v>
          </cell>
          <cell r="R71" t="str">
            <v>Mix Alstroemeria ( 12 Inch ) 7     FF Sachet + Grass</v>
          </cell>
          <cell r="S71" t="str">
            <v>Pur n P Car ( 14 Inch ) 7     FF Sachet + Grass</v>
          </cell>
          <cell r="T71" t="str">
            <v>P Spray Daisy ( 14 Inch ) 2     FF Sachet + Grass</v>
          </cell>
        </row>
        <row r="72">
          <cell r="A72">
            <v>2259</v>
          </cell>
          <cell r="B72" t="str">
            <v>Shivani Kapoor</v>
          </cell>
          <cell r="C72">
            <v>9818659010</v>
          </cell>
          <cell r="D72" t="str">
            <v>94, Tattvam Villa</v>
          </cell>
          <cell r="E72" t="str">
            <v>Sohna Road 2</v>
          </cell>
          <cell r="F72" t="str">
            <v>Monday</v>
          </cell>
          <cell r="G72" t="str">
            <v>9 AM - 12 PM</v>
          </cell>
          <cell r="H72">
            <v>3950</v>
          </cell>
          <cell r="I72">
            <v>493.75</v>
          </cell>
          <cell r="J72" t="str">
            <v>Grace</v>
          </cell>
          <cell r="K72" t="str">
            <v>Monday n Friday// Payment from Sanjeev K (05/05) Skip 1 week (26/07) Skip 1 week (04/11) Skip this Friday (26/12) Skip 1 week (01/01/25) Skip tom (02/02) No delivery on Monday (01/03) Skip 14th n send on 17th (11/03) Now start from 7th July (24/06)</v>
          </cell>
          <cell r="M72" t="str">
            <v>No White</v>
          </cell>
          <cell r="N72" t="str">
            <v>7  del of this cycle   -  0-cycles pmnt   Completed - Collect 0</v>
          </cell>
          <cell r="O72" t="str">
            <v>R n W Car ( 14 inch ) 20     FF Sachet + Grass</v>
          </cell>
          <cell r="P72" t="str">
            <v>P n W Glad ( 16 Inch) 20     Grass</v>
          </cell>
          <cell r="Q72" t="str">
            <v>P Oriental ( 15 Inch ) 3     Grass</v>
          </cell>
          <cell r="R72" t="str">
            <v>Pur n P Eustoma ( 14 Inch ) 4     FF Sachet + Grass</v>
          </cell>
          <cell r="S72" t="str">
            <v>Pur n P Car ( 14 Inch ) 20     FF Sachet + Grass</v>
          </cell>
          <cell r="T72" t="str">
            <v>P n W Glad ( 14 Inch ) 20     Grass</v>
          </cell>
        </row>
        <row r="73">
          <cell r="A73">
            <v>3307</v>
          </cell>
          <cell r="B73" t="str">
            <v>Amit Jindal</v>
          </cell>
          <cell r="C73">
            <v>8860400001</v>
          </cell>
          <cell r="D73" t="str">
            <v>T-5/1401, Vipul Greens</v>
          </cell>
          <cell r="E73" t="str">
            <v>Sohna Road 2</v>
          </cell>
          <cell r="F73" t="str">
            <v>Friday</v>
          </cell>
          <cell r="G73" t="str">
            <v>9:30 AM to 2 PM</v>
          </cell>
          <cell r="H73">
            <v>2626</v>
          </cell>
          <cell r="I73">
            <v>656.5</v>
          </cell>
          <cell r="J73" t="str">
            <v>Customized</v>
          </cell>
          <cell r="K73" t="str">
            <v>3 Oriental every week // Today Hold n returned (12/06)</v>
          </cell>
          <cell r="N73" t="str">
            <v>2  del of this cycle   -  0-cycles pmnt   Completed - Collect 0</v>
          </cell>
          <cell r="O73" t="str">
            <v>P Oriental ( 18 inch ) 3     1 Gypsola</v>
          </cell>
          <cell r="P73" t="str">
            <v>W Oriental ( 16 Inch ) 3     1 Limonium + FF aschet</v>
          </cell>
          <cell r="Q73" t="str">
            <v>P Oriental ( 15 Inch ) 3     1 gypsola</v>
          </cell>
          <cell r="R73" t="str">
            <v>P Oriental ( 16 Inch ) 3     1 Limonium</v>
          </cell>
          <cell r="S73" t="str">
            <v>W Oriental ( 15 Inch ) 3     1 Gypsola</v>
          </cell>
          <cell r="T73" t="str">
            <v>P Oriental ( 15 Inch ) 3     1 Limonium</v>
          </cell>
        </row>
        <row r="74">
          <cell r="A74">
            <v>1974</v>
          </cell>
          <cell r="B74" t="str">
            <v>Suruchi Maitra</v>
          </cell>
          <cell r="C74">
            <v>9810239177</v>
          </cell>
          <cell r="D74" t="str">
            <v>D-98, Vipul World</v>
          </cell>
          <cell r="E74" t="str">
            <v>Sohna Road 2</v>
          </cell>
          <cell r="F74" t="str">
            <v>Friday</v>
          </cell>
          <cell r="G74" t="str">
            <v>9 AM - 12 PM</v>
          </cell>
          <cell r="H74">
            <v>2750</v>
          </cell>
          <cell r="I74">
            <v>687.5</v>
          </cell>
          <cell r="J74" t="str">
            <v>Elation</v>
          </cell>
          <cell r="K74" t="str">
            <v>No Spray Daisy (03/10) Now upgrade to Elation (14/10) Hold n start from 6th Jan (17/12) Hold n strat from 30th June (10/06) Hold n start from 5th Jan (30/12) Skip 1 week (06/06) Skip 1 week (22/06) Hold today and send after 29th (20'/12) Skip 2 week (21/06) Skip 2 week (18/12)</v>
          </cell>
          <cell r="N74" t="str">
            <v>3  del of this cycle   -  0-cycles pmnt   Completed - Collect 0</v>
          </cell>
          <cell r="O74" t="str">
            <v>P n W Glad ( 14 inch ) 22     2 Limonium</v>
          </cell>
          <cell r="P74" t="str">
            <v>P Asiatic ( 15 inch ) 6     2 Gypsola</v>
          </cell>
          <cell r="Q74" t="str">
            <v>P n W Spray Daisy ( 15 Inch ) 10     2 Limonium + Ff Sachet</v>
          </cell>
          <cell r="R74" t="str">
            <v>Pur n P Eustoma ( 14 Inch ) 6     2 Gypsola + FF Sachet</v>
          </cell>
          <cell r="S74" t="str">
            <v>Pur n P Car ( 14 Inch ) 32     2 Limonium + FF sachet</v>
          </cell>
          <cell r="T74" t="str">
            <v>P n Pur Eustoma ( 12 Inch ) 6     FF sachet + Grass</v>
          </cell>
        </row>
        <row r="75">
          <cell r="A75">
            <v>1914</v>
          </cell>
          <cell r="B75" t="str">
            <v>Neelam Ahuja</v>
          </cell>
          <cell r="C75">
            <v>7011107486</v>
          </cell>
          <cell r="D75" t="str">
            <v>4002, M3m Latitude, Sec 65</v>
          </cell>
          <cell r="E75" t="str">
            <v>Badshahpur</v>
          </cell>
          <cell r="F75" t="str">
            <v>Friday</v>
          </cell>
          <cell r="G75" t="str">
            <v>9 AM - 12 PM</v>
          </cell>
          <cell r="H75">
            <v>3000</v>
          </cell>
          <cell r="I75">
            <v>375</v>
          </cell>
          <cell r="J75" t="str">
            <v>Charm</v>
          </cell>
          <cell r="K75" t="str">
            <v>Friday and Monday// Lilies/BOP/Rajni/Spray Daisy(19/04) Paytm from Joe Ahuja// Paytm from Jyoti Gandhi// Skip 1 week(14/08) Not avaible tili 3rd Oct (26/09) Gpay From Joe Ahuja (18/10) Loves BOP (04/11) Heliconia or Anthurium next (22/12) Gpay from Pradeep Chib (03/02) Skip 1 week (02/03) Skip 1 week (23/03) No Spray Daisy (15/05) No gerbera/Sptray Daisy and Car for few Deliveries (26/05) Hold till 11th July (02/07) Being birthday--send some best flowers (31/07) BOP Next (13/09) Asiatic Next (24/10) SEnd anthurium also (13/04) No Statice (21/04) Hold n start from 13th May (02/05) Hold till 6th july (30/06) Skip tom (28/07) Send 1 Del Tom (03/08) Skip Friday Del (03/09) Today Hold (15/11) Skip friday Del (10/12) Skip Monday Del (24/01) Skip this monday (16/02) Skip Friday (26/02) Skip Friday (11/03) Referal credit of Vishal Dhawan added (24/03) Hold today (12/05) Paytm From Jyoti Gandhi (18/06) Skip monday (02/08) Skip 1 week a913/12) Skip 1 week and no del till next friday  (31/12) Skip tom (22/01) Hold today (09/02) Skip 1 week (18/02) Today Returned (06/03) Skip tom (22/03) Skip tom (23/04) Hold Monday (03/05) Skip Monday (10/05)</v>
          </cell>
          <cell r="L75" t="str">
            <v>Spray Daisy n GERBERA n Statice</v>
          </cell>
          <cell r="N75" t="str">
            <v>1  del of this cycle   -  1-cycles pmnt   Pending - Collect 3000</v>
          </cell>
          <cell r="O75" t="str">
            <v>Mix Alstroemeria ( 14 inch ) 15     FF Sachet + Grass</v>
          </cell>
          <cell r="P75" t="str">
            <v>Sunflower ( 15 inch ) 3     Grass</v>
          </cell>
          <cell r="Q75" t="str">
            <v>O Asiatic ( 15 Inch ) 3     Grass</v>
          </cell>
          <cell r="R75" t="str">
            <v>P n W Car ( 14 Inch ) 15     FF Sachet + Grass</v>
          </cell>
          <cell r="S75" t="str">
            <v>Mix Alstroemeria ( 12 Inch ) 15     FF Sachet + Grass</v>
          </cell>
          <cell r="T75" t="str">
            <v>Rajni ( 14 Inch ) 15     Grass</v>
          </cell>
        </row>
        <row r="76">
          <cell r="A76">
            <v>2126</v>
          </cell>
          <cell r="B76" t="str">
            <v>Nidhi Sehgal</v>
          </cell>
          <cell r="C76">
            <v>9620110010</v>
          </cell>
          <cell r="D76" t="str">
            <v>D-23 Flat No 0002 Victory Valley Sec 67</v>
          </cell>
          <cell r="E76" t="str">
            <v>Badshahpur</v>
          </cell>
          <cell r="F76" t="str">
            <v>Friday</v>
          </cell>
          <cell r="G76" t="str">
            <v>9 AM - 12 PM</v>
          </cell>
          <cell r="H76">
            <v>2750</v>
          </cell>
          <cell r="I76">
            <v>687.5</v>
          </cell>
          <cell r="J76" t="str">
            <v>Elation</v>
          </cell>
          <cell r="K76" t="str">
            <v>Mixed Flowers // Always FF (15/05) Hold till 15th June (19/05) FF with all Flowers (12/06)</v>
          </cell>
          <cell r="M76" t="str">
            <v>Mixed Flowers and always FF</v>
          </cell>
          <cell r="N76" t="str">
            <v>3  del of this cycle   -  0-cycles pmnt   Completed - Collect 0</v>
          </cell>
          <cell r="O76" t="str">
            <v>Bop 3 Mix Alstroemeria ( 14 inch ) 16   2 Limonium + FF Sachet</v>
          </cell>
          <cell r="P76" t="e">
            <v>#N/A</v>
          </cell>
          <cell r="Q76" t="e">
            <v>#N/A</v>
          </cell>
          <cell r="R76" t="e">
            <v>#N/A</v>
          </cell>
          <cell r="S76" t="str">
            <v>O Asiatic 3 Pur n P Car ( 14 Inch ) 16   2 Limonium + FF Sachet</v>
          </cell>
          <cell r="T76" t="str">
            <v>P Eustoma ( 12 Inch ) 4 P n W Glad ( 14 Inch ) 16  FF sachet + Grass FF sachet + Grass</v>
          </cell>
        </row>
        <row r="77">
          <cell r="A77">
            <v>2583</v>
          </cell>
          <cell r="B77" t="str">
            <v>Bhumika Gupta</v>
          </cell>
          <cell r="C77">
            <v>9818096329</v>
          </cell>
          <cell r="D77" t="str">
            <v>H-37, 2nd Floor, Aaron Ville, Sec 48</v>
          </cell>
          <cell r="E77" t="str">
            <v>Sohna Road 1</v>
          </cell>
          <cell r="F77" t="str">
            <v>Sunday</v>
          </cell>
          <cell r="G77" t="str">
            <v>9:30 Am to 2 PM</v>
          </cell>
          <cell r="H77">
            <v>1950</v>
          </cell>
          <cell r="I77">
            <v>487.5</v>
          </cell>
          <cell r="J77" t="str">
            <v>Joy</v>
          </cell>
          <cell r="K77" t="str">
            <v>No Rose n Glad n flowers in same color // Long Stems (20/04) Gpay from Tanmay Oberoi (15/06) Skip 3 Sunday (04/08) Skip 3 weeks (4/08) Day Change to Friday (27/09) Skip 1 week (15/01) Skip Friday (26/03) Returned today (01/05)</v>
          </cell>
          <cell r="L77" t="str">
            <v>Rose n Glad</v>
          </cell>
          <cell r="M77" t="str">
            <v>Long Stems</v>
          </cell>
          <cell r="N77" t="str">
            <v>4  del of this cycle   -  0-cycles pmnt   Completed - Collect 0</v>
          </cell>
          <cell r="O77" t="str">
            <v>Sunflower ( 15 inch ) 3 Mix Alstroemeria ( 14 inch ) 11   Grass</v>
          </cell>
          <cell r="P77" t="str">
            <v>P n Y Spray Daisy ( 15 inch ) 4 P n W Car ( 14 inch ) 11   FF Sachet + Grass</v>
          </cell>
          <cell r="Q77" t="str">
            <v>O Asiatic ( 15 Inch ) 2 P n W Glad ( 14 Inch ) 11   Grass</v>
          </cell>
          <cell r="R77" t="str">
            <v>Pur Eustom ( 14 Inch ) 2 Mix Alstroemeria ( 12 Inch ) 11   FF Sachet + Grass</v>
          </cell>
          <cell r="S77" t="str">
            <v>Sunflower ( 12 Inch ) 3 Pur n P Car ( 14 Inch ) 11   FF Sachet + Grass</v>
          </cell>
          <cell r="T77" t="str">
            <v>P Asiatic ( 14 Inch ) 2 P n W Glad ( 14 Inch ) 11   Grass</v>
          </cell>
        </row>
        <row r="78">
          <cell r="A78">
            <v>815</v>
          </cell>
          <cell r="B78" t="str">
            <v>Surath Singh</v>
          </cell>
          <cell r="C78">
            <v>9717166559</v>
          </cell>
          <cell r="D78" t="str">
            <v>B-2205, Ireo Victory Valley,Sec-67</v>
          </cell>
          <cell r="E78" t="str">
            <v>Badshahpur</v>
          </cell>
          <cell r="F78" t="str">
            <v>Friday</v>
          </cell>
          <cell r="G78" t="str">
            <v>9 AM - 12 PM</v>
          </cell>
          <cell r="H78">
            <v>2750</v>
          </cell>
          <cell r="I78">
            <v>687.5</v>
          </cell>
          <cell r="J78" t="str">
            <v>Elation</v>
          </cell>
          <cell r="K78" t="str">
            <v xml:space="preserve"> NO GERBERA n CAR(11/10)  NO GULDAWARI(23/02)  Holy Change(16/03) Return-send next week(24/06) Returnedas payment was not done (28/04) Paytm From Franky Arora // Hold today as paymenht not paid (14/07) Hold due to non payment (21/07) Hold due to non payment (01/12) Today returned (21/06) Hold (20/06) Return today (27/03) Paytm From Collectosh (29/05)</v>
          </cell>
          <cell r="N78" t="str">
            <v>2  del of this cycle   -   0 -cycles pmnt   Completed - Collect 0</v>
          </cell>
          <cell r="O78" t="str">
            <v>Mix Alstroemeria ( 14 inch ) 32     2 Limonium + FF Sachet</v>
          </cell>
          <cell r="P78" t="str">
            <v>R n W Car ( 14 inch ) 32     2 Gypsola + FF Sachet</v>
          </cell>
          <cell r="Q78" t="str">
            <v xml:space="preserve">Mix Spray Daisy 10     2 Luminium +FF </v>
          </cell>
          <cell r="R78" t="str">
            <v xml:space="preserve">P Asiatic ( 14 Inch ) 6     2 Gypsola </v>
          </cell>
          <cell r="S78" t="str">
            <v>P n W Glad ( 14 Inch ) 32     2 Limonium</v>
          </cell>
          <cell r="T78" t="str">
            <v>P n Pur Eustoma ( 12 Inch ) 6     FF sachet + Grass</v>
          </cell>
        </row>
        <row r="79">
          <cell r="A79">
            <v>2454</v>
          </cell>
          <cell r="B79" t="str">
            <v>Vipin</v>
          </cell>
          <cell r="C79" t="str">
            <v>9555977401 // 9654829329</v>
          </cell>
          <cell r="D79" t="str">
            <v>Villa / VB-5, Tata Primanti, Sec 72</v>
          </cell>
          <cell r="E79" t="str">
            <v>Badshahpur</v>
          </cell>
          <cell r="F79" t="str">
            <v>Friday</v>
          </cell>
          <cell r="G79" t="str">
            <v>9 AM - 12 PM</v>
          </cell>
          <cell r="H79">
            <v>1950</v>
          </cell>
          <cell r="I79">
            <v>487.5</v>
          </cell>
          <cell r="J79" t="str">
            <v>Joy</v>
          </cell>
          <cell r="K79" t="str">
            <v>Send in evening slot tom (11/03) Paytm From Hina Kapoor (06/04) Send replacement Tom (17/05) Send replacement of W Eustoma (17/05) Paytm from Tarun Kumar (15/95) Replacement tom (16/05)</v>
          </cell>
          <cell r="N79" t="str">
            <v>4  del of this cycle   -  0-cycles pmnt   Completed - Collect 0</v>
          </cell>
          <cell r="O79" t="str">
            <v>Sunflower ( 15 inch ) 3 Mix Alstroemeria ( 14 inch ) 10 Ensure Collection Ensure Collection Grass</v>
          </cell>
          <cell r="P79" t="str">
            <v>W Eustoma ( 14 inch ) 2 P n W Glad ( 14 inch ) 11   FF Sachet + Grass</v>
          </cell>
          <cell r="Q79" t="str">
            <v>O Asiatic ( 15 Inch ) 2 P n W Car ( 14 Inch ) 11   Grass</v>
          </cell>
          <cell r="R79" t="str">
            <v>P n Y Spray Daisy ( 14 Inch ) 4 Mix Alstroemeria ( 12 Inch ) 11   FF Sachet + Grass</v>
          </cell>
          <cell r="S79" t="str">
            <v>Sunflower ( 12 Inch ) 3 P n W Glad ( 14 Inch ) 11   FF Sachet + Grass</v>
          </cell>
          <cell r="T79" t="str">
            <v>P Eustoma ( 12 Inch ) 2 Pur n P Car ( 14 Inch ) 11   FF sachet + Grass</v>
          </cell>
        </row>
        <row r="80">
          <cell r="A80">
            <v>43</v>
          </cell>
          <cell r="B80" t="str">
            <v>Ms. Arpita Bhargava</v>
          </cell>
          <cell r="C80">
            <v>9953515520</v>
          </cell>
          <cell r="D80" t="str">
            <v>T-4/1701,Tata Primanty,Sector-72</v>
          </cell>
          <cell r="E80" t="str">
            <v>Sohna Road 2</v>
          </cell>
          <cell r="F80" t="str">
            <v>Friday</v>
          </cell>
          <cell r="G80" t="str">
            <v>9 AM - 12 PM</v>
          </cell>
          <cell r="H80">
            <v>999</v>
          </cell>
          <cell r="I80">
            <v>249.75</v>
          </cell>
          <cell r="J80" t="str">
            <v>Delight</v>
          </cell>
          <cell r="K80" t="str">
            <v xml:space="preserve"> NO ROSES(28/12) Prefer Glad and Daisy(11/01)  NO ORCHIDS(31/05)  MORE CHRYSANTHEMUM , GLADIOLI NO ROSE AND ORCHIDS(26/12) Return-send Tom(17/01) NO ORCHIDS OR LILIES, ONLY 15 STICKS(31/07/20)  NO GUldawari now in this season--sent replacement today(12/03)   Holy Change(16/03) Flower F Next(13/05) NO RAJNI N GERBERA(21/07) Skip 1 week (29/10) Send 1 stem extra next (23/12) NO GERBERA n ROSE (14/01) REturn today (10/03) Returnb-send next week (30/06) Today return-send next week (07/07) Skip 2 weeks (27/12) Skip 1 week (26/03) Skip 1 week (25/09) Hold send next week (03/10) Returned today (07/11) Today hold (21/11) Today returned (28/11) Skip 2 week (18/12) Replacement tom (17/04)</v>
          </cell>
          <cell r="L80" t="str">
            <v>GERBERA n ROSE</v>
          </cell>
          <cell r="N80" t="str">
            <v>3  del of this cycle   -  0-cycles pmnt   CompletedNO COLLECTION-we have extra money - Collect -999</v>
          </cell>
          <cell r="O80" t="str">
            <v>P n W Glad ( 14 inch ) 9     Grass</v>
          </cell>
          <cell r="P80" t="str">
            <v>Y Spray Daisy ( 15 inch ) 3 Sunflower ( 15 inch ) 2   FF Sachet + Grass</v>
          </cell>
          <cell r="Q80" t="str">
            <v>P Asiatic ( 15 Inch ) 2     Grass</v>
          </cell>
          <cell r="R80" t="str">
            <v>P n W Car ( 14 Inch ) 9     FF Sachet + Grass</v>
          </cell>
          <cell r="S80" t="str">
            <v>Mix Alstroemeria ( 12 Inch ) 9     FF Sachet + Grass</v>
          </cell>
          <cell r="T80" t="str">
            <v xml:space="preserve">P n W Glad ( 14 Inch ) 9    Grass </v>
          </cell>
        </row>
        <row r="81">
          <cell r="A81">
            <v>359</v>
          </cell>
          <cell r="B81" t="str">
            <v>Sudipta Karnik</v>
          </cell>
          <cell r="C81">
            <v>9810266546</v>
          </cell>
          <cell r="D81" t="str">
            <v>Tower 4, Flat 6A, Bellevue, Central Park,Sector-48    Sec 48 Gurgoan  122001</v>
          </cell>
          <cell r="E81" t="str">
            <v>Sohna Road 2</v>
          </cell>
          <cell r="F81" t="str">
            <v>Friday</v>
          </cell>
          <cell r="G81" t="str">
            <v>9 AM - 12 PM</v>
          </cell>
          <cell r="H81">
            <v>1950</v>
          </cell>
          <cell r="I81">
            <v>487.5</v>
          </cell>
          <cell r="J81" t="str">
            <v>Joy</v>
          </cell>
          <cell r="K81" t="str">
            <v>Pls send diff flowers in both package(24/07)Pls send only white color flowers other that Rajni till Nov-18(19/10)NO ROSE(20/12) FLOWER FOOD(10/04) Rs.80/- received against Special Pack(13/04) Send 1 pack of spaecial pack(18/05)  ONLY ASIATIC TILL NEXT INSTR(07/06) Return-send tom(29/06) Sent 2 del today with 40 Car(16/09) Return-send tom(30/11) Change day to Friday(22/02) Hold today-sent next week(10/07/20) Today hold-send tom(04/09/20) Gerbera Next(23/09/20) Sending del Tom due to Diwali(11/11) Skip 1 week(09/07) Skip 1 week(15/09) NO HELICONIA(24/12) Holy Change(16/03) Send replacement tom (03/06)</v>
          </cell>
          <cell r="N81" t="str">
            <v>3  del of this cycle   -  0-cycles pmnt   Completed - Collect 0</v>
          </cell>
          <cell r="O81" t="str">
            <v>R n W Car ( 14 inch ) 22     FF Sachet + Grass</v>
          </cell>
          <cell r="P81" t="str">
            <v>Glad 22     Grass</v>
          </cell>
          <cell r="Q81" t="str">
            <v>Y Orchid  7     FF Sachet + Grass</v>
          </cell>
          <cell r="R81" t="str">
            <v>O Asiatic ( 14 Inch ) 4     Grass</v>
          </cell>
          <cell r="S81" t="str">
            <v>Sunflower ( 12 Inch ) 5     FF Sachet + Grass</v>
          </cell>
          <cell r="T81" t="str">
            <v>R n P Car ( 14 Inch ) 22     FF sachet + Grass</v>
          </cell>
        </row>
        <row r="82">
          <cell r="A82" t="str">
            <v>M00008</v>
          </cell>
          <cell r="B82" t="str">
            <v>Pooja Tripathi</v>
          </cell>
          <cell r="C82">
            <v>8800700522</v>
          </cell>
          <cell r="D82" t="str">
            <v>21 st Floor One Good Earth Trehan Sec 71</v>
          </cell>
          <cell r="E82" t="str">
            <v>Nirvana Country</v>
          </cell>
          <cell r="F82" t="str">
            <v>Thursday</v>
          </cell>
          <cell r="G82" t="str">
            <v>9 AM - 12 PM</v>
          </cell>
          <cell r="H82">
            <v>3650</v>
          </cell>
          <cell r="I82">
            <v>912.5</v>
          </cell>
          <cell r="J82" t="str">
            <v>Mixed Bunch</v>
          </cell>
          <cell r="K82" t="str">
            <v>6 Lotus and 100 Gm Mogra</v>
          </cell>
          <cell r="N82" t="str">
            <v>3  del of this cycle   -  0-cycles pmnt   In Process - Collect 0</v>
          </cell>
          <cell r="O82" t="str">
            <v>Mix Alstroemeria ( 14 inch ) 15 P n W Glad ( 14 inch ) 15 R n W Car ( 14 inch ) 15 Grass</v>
          </cell>
          <cell r="P82" t="str">
            <v>Sunflower ( 15 inch ) 4 Rajni 15 P n W Car ( 15 inch ) 15 FF Sachet + Grass</v>
          </cell>
          <cell r="Q82" t="str">
            <v>Mix Oriental  4 Mix Alstroemeria ( 12 Inch )  20 Shd Pur n P Car 15 2 Gypsola</v>
          </cell>
          <cell r="R82" t="e">
            <v>#N/A</v>
          </cell>
          <cell r="S82" t="str">
            <v>Mix Oriental + Mix Alstroemeria + Mix Car 4 + 15 + 15     2 Gypsola + FF Sachet</v>
          </cell>
          <cell r="T82" t="str">
            <v>Mix Oriental  4 P n W Glad ( 14 Inch ) 10 Rajni ( 14 Inch ) 10 Grass</v>
          </cell>
        </row>
        <row r="83">
          <cell r="A83">
            <v>2712</v>
          </cell>
          <cell r="B83" t="str">
            <v>Ankita Aeron</v>
          </cell>
          <cell r="C83">
            <v>8860253167</v>
          </cell>
          <cell r="D83" t="str">
            <v>D-701, Shree Vardhman Victoria, Sec 70</v>
          </cell>
          <cell r="E83" t="str">
            <v>Badshahpur</v>
          </cell>
          <cell r="F83" t="str">
            <v>Friday</v>
          </cell>
          <cell r="G83" t="str">
            <v>9:30 Am to 2 PM</v>
          </cell>
          <cell r="H83">
            <v>1450</v>
          </cell>
          <cell r="I83">
            <v>362.5</v>
          </cell>
          <cell r="J83" t="str">
            <v>Bliss</v>
          </cell>
          <cell r="K83" t="str">
            <v>Car Next (27/06) Do not send on 8th and 15th Aug (31/07) Skip 1 week (18/09) Skip 2 week (15/10) Skip 1 week (09/06)</v>
          </cell>
          <cell r="M83" t="str">
            <v>Car Next (27/06)</v>
          </cell>
          <cell r="N83" t="str">
            <v>4  del of this cycle   -  0-cycles pmnt   Completed - Collect 0</v>
          </cell>
          <cell r="O83" t="str">
            <v>P Spray Daisy ( 15 inch ) 3 Mix Alstroemeria ( 14 inch ) 7   FF Sachet + Grass</v>
          </cell>
          <cell r="P83" t="str">
            <v>W Eustoma ( 14 inch ) 2 P n W Car ( 14 inch ) 7   FF Sachet + Grass</v>
          </cell>
          <cell r="Q83" t="str">
            <v>O Asiatic ( 15 Inch ) 2 P n W Glad ( 14 Inch ) 7   Grass</v>
          </cell>
          <cell r="R83" t="str">
            <v>Sunflower ( 12 Inch ) 2 Mix Alstroemeria ( 12 Inch ) 7   FF Sachet + Grass</v>
          </cell>
          <cell r="S83" t="e">
            <v>#N/A</v>
          </cell>
          <cell r="T83" t="str">
            <v xml:space="preserve">P Spray Daisy ( 14 Inch ) 3 Pur n P Car ( 14 Inch ) 7  FF Sachet + Grass </v>
          </cell>
        </row>
        <row r="84">
          <cell r="A84">
            <v>3382</v>
          </cell>
          <cell r="B84" t="str">
            <v>Bhavna Jain</v>
          </cell>
          <cell r="C84">
            <v>8800691541</v>
          </cell>
          <cell r="D84" t="str">
            <v>D-15, Ireo Victory Valley, Sec 67</v>
          </cell>
          <cell r="E84" t="str">
            <v>Badshahpur</v>
          </cell>
          <cell r="F84" t="str">
            <v>Friday</v>
          </cell>
          <cell r="G84" t="str">
            <v>9:30 Am to 2 PM</v>
          </cell>
          <cell r="H84">
            <v>1450</v>
          </cell>
          <cell r="I84">
            <v>362.5</v>
          </cell>
          <cell r="J84" t="str">
            <v>Bliss</v>
          </cell>
          <cell r="N84" t="str">
            <v>1  del of this cycle   -  0-cycles pmnt   Completed - Collect 0</v>
          </cell>
          <cell r="O84" t="e">
            <v>#N/A</v>
          </cell>
          <cell r="P84" t="e">
            <v>#N/A</v>
          </cell>
          <cell r="Q84" t="e">
            <v>#N/A</v>
          </cell>
          <cell r="R84" t="e">
            <v>#N/A</v>
          </cell>
          <cell r="S84" t="e">
            <v>#N/A</v>
          </cell>
          <cell r="T84" t="str">
            <v xml:space="preserve">R n P Car ( 14 Inch ) 16    FF Sachet + Grass </v>
          </cell>
        </row>
        <row r="85">
          <cell r="A85">
            <v>3290</v>
          </cell>
          <cell r="B85" t="str">
            <v>Ambika Anand</v>
          </cell>
          <cell r="C85">
            <v>8789906098</v>
          </cell>
          <cell r="D85" t="str">
            <v>T-A2/401, Tulip Orange, Sec 70</v>
          </cell>
          <cell r="E85" t="str">
            <v>Badshahpur</v>
          </cell>
          <cell r="F85" t="str">
            <v>Friday</v>
          </cell>
          <cell r="G85" t="str">
            <v>9 AM - 12 PM</v>
          </cell>
          <cell r="H85">
            <v>1450</v>
          </cell>
          <cell r="I85">
            <v>362.5</v>
          </cell>
          <cell r="J85" t="str">
            <v>Bliss</v>
          </cell>
          <cell r="N85" t="str">
            <v>2  del of this cycle   -  1-cycles pmnt   Pending - Collect 1450</v>
          </cell>
          <cell r="O85" t="str">
            <v>Asiatic 3     FF Sachet + Grass</v>
          </cell>
          <cell r="P85" t="str">
            <v>Sunflower ( 15 inch ) 4     Grass</v>
          </cell>
          <cell r="Q85" t="str">
            <v>R n W Car ( 14 Inch ) 16     FF Sachet + Grass</v>
          </cell>
          <cell r="R85" t="str">
            <v>P n Y Spray Daisy ( 14 Inch ) 5     FF Sachet + Grass</v>
          </cell>
          <cell r="S85" t="str">
            <v>P n W Glad ( 14 Inch ) 16     Grass</v>
          </cell>
          <cell r="T85" t="str">
            <v xml:space="preserve">O Asiatic ( 14 Inch ) 3    Grass </v>
          </cell>
        </row>
        <row r="86">
          <cell r="A86">
            <v>2311</v>
          </cell>
          <cell r="B86" t="str">
            <v>Ranjeeta Sanghvi</v>
          </cell>
          <cell r="C86">
            <v>9986593206</v>
          </cell>
          <cell r="D86" t="str">
            <v>T-3/TH-B, Bellevue. Central Park 2</v>
          </cell>
          <cell r="E86" t="str">
            <v>Sohna Road 2</v>
          </cell>
          <cell r="F86" t="str">
            <v>Friday</v>
          </cell>
          <cell r="G86" t="str">
            <v>9 AM - 12 PM</v>
          </cell>
          <cell r="H86">
            <v>1450</v>
          </cell>
          <cell r="I86">
            <v>362.5</v>
          </cell>
          <cell r="J86" t="str">
            <v>Bliss</v>
          </cell>
          <cell r="N86" t="str">
            <v>1  del of this cycle   -  1-cycles pmnt   Pending - Collect 999</v>
          </cell>
          <cell r="O86" t="str">
            <v>Sunflower ( 15 inch ) 2     Grass</v>
          </cell>
          <cell r="P86" t="str">
            <v>P Spray Daisy ( 15 inch ) 3 P n W Glad ( 14 inch ) 9   FF Sachet + Grass</v>
          </cell>
          <cell r="Q86" t="str">
            <v>Mix Alstroemeria ( 12 Inch ) 9     FF Sachet + Grass</v>
          </cell>
          <cell r="R86" t="str">
            <v>P n W Glad ( 14 Inch ) 9     Grass</v>
          </cell>
          <cell r="S86" t="str">
            <v>Pur n P Car ( 14 Inch ) 9     FF Sachet + Grass</v>
          </cell>
          <cell r="T86" t="str">
            <v xml:space="preserve">O Asiatic ( 14 Inch ) 3    Grass </v>
          </cell>
        </row>
        <row r="87">
          <cell r="A87">
            <v>3178</v>
          </cell>
          <cell r="B87" t="str">
            <v>Disha Gopal</v>
          </cell>
          <cell r="C87">
            <v>8588003677</v>
          </cell>
          <cell r="D87" t="str">
            <v>T-10/4A, Central Park Resorts, Sec 48</v>
          </cell>
          <cell r="E87" t="str">
            <v>Sohna Road 2</v>
          </cell>
          <cell r="F87" t="str">
            <v>Friday</v>
          </cell>
          <cell r="G87" t="str">
            <v>4 PM to 7 PM</v>
          </cell>
          <cell r="H87">
            <v>1950</v>
          </cell>
          <cell r="I87">
            <v>487.5</v>
          </cell>
          <cell r="J87" t="str">
            <v>Joy</v>
          </cell>
          <cell r="K87" t="str">
            <v>Micxed Flowers // Hold till 8th Jan (24/12)</v>
          </cell>
          <cell r="M87" t="str">
            <v>Mixed Flowers</v>
          </cell>
          <cell r="N87" t="str">
            <v>1  del of this cycle   -  0-cycles pmnt   Completed - Collect 0</v>
          </cell>
          <cell r="O87" t="str">
            <v>Sunflower ( 15 inch ) 3 Mix Alstroemeria ( 14 inch ) 11   Grass</v>
          </cell>
          <cell r="P87" t="str">
            <v>P n Y Spray Daisy ( 15 inch ) 4 P n W Glad ( 14 inch ) 11   FF Sachet + Grass</v>
          </cell>
          <cell r="Q87" t="str">
            <v>O Asiatic ( 15 Inch ) 2 R n W Car ( 14 Inch ) 11   Grass</v>
          </cell>
          <cell r="R87" t="str">
            <v>P Eustoma ( 14 Inch ) 2 Mix Alstroemeria ( 12 Inch ) 11   FF Sachet + Grass</v>
          </cell>
          <cell r="S87" t="str">
            <v>Sunflower ( 12 Inch ) 3 P n W Car ( 14 Inch ) 11   FF Sachet + Grass</v>
          </cell>
          <cell r="T87" t="str">
            <v>P Asiatic ( 14 Inch ) 2 P n W Glad ( 14 Inch ) 11   Grass</v>
          </cell>
        </row>
        <row r="88">
          <cell r="A88">
            <v>1162</v>
          </cell>
          <cell r="B88" t="str">
            <v>Smriti Saxena</v>
          </cell>
          <cell r="C88">
            <v>9811090968</v>
          </cell>
          <cell r="D88" t="str">
            <v>T-6/1201, M3M Merlin, Sec 67</v>
          </cell>
          <cell r="E88" t="str">
            <v>Badshahpur</v>
          </cell>
          <cell r="F88" t="str">
            <v>Friday</v>
          </cell>
          <cell r="G88" t="str">
            <v>9 AM - 12 PM</v>
          </cell>
          <cell r="H88">
            <v>1450</v>
          </cell>
          <cell r="I88">
            <v>362.5</v>
          </cell>
          <cell r="J88" t="str">
            <v>Bliss</v>
          </cell>
          <cell r="K88" t="str">
            <v>Friday n Monday//NO GLAD(18/12) Skip 1 week(24/01) Skip 2 weeks(22/3) NO Rajni(05/06) Skip 1 week and confirm before sending(14/01) Send 2 sticks extra(24/01) 1 stick extra necxt(29/01)  Holy Change(16/03) Change to Bloom(20/05) No Flowers till 17th Aug(08/08) Skip 1 week (05/03) Hold n start afyer 1st June (11/05) Today Returned 923/06) Skip 2 weeks (15/07) Today returned (18/08) Hold due to non payment (16/02) Today Returned (08/03) Return today (20/12) Sent replacement tooday (18/04) Returned today (05/09) Hold due to non payment (17/10) Hold due to non payment (16/01) No Rajni (20/02) HDTNP (24/04) HDTNP (12/06)</v>
          </cell>
          <cell r="L88" t="str">
            <v>Rajni</v>
          </cell>
          <cell r="N88" t="str">
            <v>2  del of this cycle   -  1-cycles pmnt   Pending - Collect 1450</v>
          </cell>
          <cell r="O88" t="str">
            <v>R n W Car ( 14 inch ) 16     FF Sachet + Grass</v>
          </cell>
          <cell r="P88" t="str">
            <v>P Asiatic ( 15 inch ) 3     Grass</v>
          </cell>
          <cell r="Q88" t="str">
            <v>P n Y Spray Daisy ( 15 Inch ) 5     FF Sachet + Grass</v>
          </cell>
          <cell r="R88" t="str">
            <v>Sunflower ( 12 Inch ) 4     FF Sachet + Grass</v>
          </cell>
          <cell r="S88" t="e">
            <v>#N/A</v>
          </cell>
          <cell r="T88" t="str">
            <v xml:space="preserve">P n W Glad ( 14 Inch ) 16    Grass </v>
          </cell>
        </row>
        <row r="89">
          <cell r="A89">
            <v>3280</v>
          </cell>
          <cell r="B89" t="str">
            <v>Priti Sarsaswat</v>
          </cell>
          <cell r="C89">
            <v>9717283344</v>
          </cell>
          <cell r="D89" t="str">
            <v>C-1170, 2nd Floor, Ansal Essecia, C Block, Sec 67</v>
          </cell>
          <cell r="E89" t="str">
            <v>Badshahpur</v>
          </cell>
          <cell r="F89" t="str">
            <v>Monday</v>
          </cell>
          <cell r="G89" t="str">
            <v>9 AM - 12 PM</v>
          </cell>
          <cell r="H89">
            <v>1450</v>
          </cell>
          <cell r="I89">
            <v>362.5</v>
          </cell>
          <cell r="J89" t="str">
            <v>Bliss</v>
          </cell>
          <cell r="K89" t="str">
            <v>Rose In this Cycle (03/03) Day Change to Monday and skip 2 weeks (02/04) Start From Tom (16/04) HDTNP (22/05) Today returned (29/05)(</v>
          </cell>
          <cell r="M89" t="str">
            <v>One Kind and seasonal Next (03/03)</v>
          </cell>
          <cell r="N89" t="str">
            <v>1  del of this cycle   -  1-cycles pmnt   Pending - Collect 1450</v>
          </cell>
          <cell r="O89" t="str">
            <v>Bop 3   Ensure Collection Ensure Collection FF Sachet + Grass</v>
          </cell>
          <cell r="P89" t="e">
            <v>#N/A</v>
          </cell>
          <cell r="Q89" t="str">
            <v>P Asiatic ( 15 Inch ) 3     Grass</v>
          </cell>
          <cell r="R89" t="str">
            <v>P n Y Spray Daisy ( 14 Inch ) 5     FF Sachet + Grass</v>
          </cell>
          <cell r="S89" t="str">
            <v>Pur n P Car ( 14 Inch ) 16     FF Sachet + Grass</v>
          </cell>
          <cell r="T89" t="str">
            <v xml:space="preserve">P n W Glad ( 14 Inch ) 16    Grass </v>
          </cell>
        </row>
        <row r="90">
          <cell r="A90">
            <v>2927</v>
          </cell>
          <cell r="B90" t="str">
            <v>Anshita</v>
          </cell>
          <cell r="C90">
            <v>8085480356</v>
          </cell>
          <cell r="D90" t="str">
            <v>H. No. 3107, 2nd Flor, Ansal Versalia, Sec 67 A</v>
          </cell>
          <cell r="E90" t="str">
            <v>Badshahpur</v>
          </cell>
          <cell r="F90" t="str">
            <v>Friday</v>
          </cell>
          <cell r="G90" t="str">
            <v>9:30 Am to 2 PM</v>
          </cell>
          <cell r="H90">
            <v>1450</v>
          </cell>
          <cell r="I90">
            <v>362.5</v>
          </cell>
          <cell r="J90" t="str">
            <v>Bliss</v>
          </cell>
          <cell r="K90" t="str">
            <v>sent one del today (11/12) Skip 1 week (15/01) Skip today (20/02) Today returned (06/03) Skip 1 week (26/03) Hold for 2 week (22/04)</v>
          </cell>
          <cell r="N90" t="str">
            <v>1  del of this cycle   -  1-cycles pmnt   Pending - Collect 1450</v>
          </cell>
          <cell r="O90" t="str">
            <v>P n W Glad ( 14 inch ) 9     Grass</v>
          </cell>
          <cell r="P90" t="str">
            <v>Sunflower ( 15 inch ) 2     Grass</v>
          </cell>
          <cell r="Q90" t="str">
            <v>Mix Alstroemeria ( 12 Inch ) 9     FF Sachet + Grass</v>
          </cell>
          <cell r="R90" t="str">
            <v>P n W Car ( 14 Inch ) 9     FF Sachet + Grass</v>
          </cell>
          <cell r="S90" t="str">
            <v>Y Asiatic ( 14 Inch ) 2     Grass</v>
          </cell>
          <cell r="T90" t="str">
            <v xml:space="preserve">P n W Glad ( 14 Inch ) 16  ensure collection  Pese Na  Mile To Call Karna  Grass </v>
          </cell>
        </row>
        <row r="91">
          <cell r="A91">
            <v>3368</v>
          </cell>
          <cell r="B91" t="str">
            <v>Sugandha Goyal</v>
          </cell>
          <cell r="C91">
            <v>9971681194</v>
          </cell>
          <cell r="D91" t="str">
            <v>T-15/3C, Central Park Resorts</v>
          </cell>
          <cell r="E91" t="str">
            <v>Sohna Road 2</v>
          </cell>
          <cell r="F91" t="str">
            <v>Monday</v>
          </cell>
          <cell r="G91" t="str">
            <v>9 AM - 12 PM</v>
          </cell>
          <cell r="H91">
            <v>2300</v>
          </cell>
          <cell r="I91">
            <v>287.5</v>
          </cell>
          <cell r="J91" t="str">
            <v>Felicity</v>
          </cell>
          <cell r="N91" t="str">
            <v>2  del of this cycle   -  1-cycles pmnt   Pending - Collect 2300</v>
          </cell>
          <cell r="O91" t="e">
            <v>#N/A</v>
          </cell>
          <cell r="P91" t="str">
            <v>P n W Glad ( 16 Inch) 11     Grass</v>
          </cell>
          <cell r="Q91" t="str">
            <v>O Asiatic ( 15 Inch ) 2     Grass</v>
          </cell>
          <cell r="R91" t="str">
            <v>P Spray Daisy ( 14 Inch ) 3     FF Sachet + Grass</v>
          </cell>
          <cell r="S91" t="str">
            <v>Mix Alstroemeria ( 12 Inch ) 11     FF Sachet + Grass</v>
          </cell>
          <cell r="T91" t="str">
            <v>P Asiatic ( 14 Inch ) 2     Grass</v>
          </cell>
        </row>
        <row r="92">
          <cell r="A92">
            <v>1467</v>
          </cell>
          <cell r="B92" t="str">
            <v>Priyanka Chaturvedi</v>
          </cell>
          <cell r="C92">
            <v>7838930274</v>
          </cell>
          <cell r="D92" t="str">
            <v xml:space="preserve">Flat No. A-303, The Peaceful Homes, Sec 70-A
</v>
          </cell>
          <cell r="E92" t="str">
            <v>Badshahpur</v>
          </cell>
          <cell r="F92" t="str">
            <v>Friday</v>
          </cell>
          <cell r="G92" t="str">
            <v>9 AM - 12 PM</v>
          </cell>
          <cell r="H92">
            <v>1600</v>
          </cell>
          <cell r="I92">
            <v>200</v>
          </cell>
          <cell r="J92" t="str">
            <v>Bloom</v>
          </cell>
          <cell r="K92" t="str">
            <v>Friday and Sunday//Saturday evening slot and Sunday morning Slot(06/08) Send 100 Gm Mogra also(03/09) Received cash of 100 today(04/09) Skip coming week(20/09) Skip 1 week(15/10) Skip tom n send on comong fridayu this week(29/01) W Car next(26/02)  Holy Change(16/03) Return today(15/04) Hold n start from July (01/05) Skip 13th Delivery (10/01) NO ROSE (29/01) Sent replacement today (05/02) Send bothe deliveries together on sunday (12/05) Skip 1 week (25/05) Send both deliveries on Sunday only (01/06) Double Delivery only on Sunday (10/06) Paytm From Gaurav Chaturvedi (26/03) Hold til next saturday (20/06) Skip this sunday (11/10) No Spray Daisy (22/11) Today REturned (12/01) Skip 2nd week (03/04) No Del between 7th to 14th (05/04) Skip this sunday (18/06) Skip tom (04/10) Skip 1 week (10/12) Today Returned (04/01)</v>
          </cell>
          <cell r="L92" t="str">
            <v>ROSE n SPRAY DAISY</v>
          </cell>
          <cell r="N92" t="str">
            <v>8  del of this cycle   -  0-cycles pmnt   Completed - Collect 0</v>
          </cell>
          <cell r="O92" t="str">
            <v>P n W Glad ( 14 inch ) 7     Grass</v>
          </cell>
          <cell r="P92" t="str">
            <v>Rajni ( 16 inch ) 7     Grass</v>
          </cell>
          <cell r="Q92" t="e">
            <v>#N/A</v>
          </cell>
          <cell r="R92" t="e">
            <v>#N/A</v>
          </cell>
          <cell r="S92" t="str">
            <v>Glad ( 12 Inch ) 7     Grass</v>
          </cell>
          <cell r="T92" t="str">
            <v>P n W Glad ( 14 Inch ) 11     Grass</v>
          </cell>
        </row>
        <row r="93">
          <cell r="A93">
            <v>3309</v>
          </cell>
          <cell r="B93" t="str">
            <v>Tahzeeb Mohammad</v>
          </cell>
          <cell r="C93">
            <v>9986608474</v>
          </cell>
          <cell r="D93" t="str">
            <v>Natura Tower -1, N 2105, M3M Marina, Sec 68</v>
          </cell>
          <cell r="E93" t="str">
            <v>Badshahpur</v>
          </cell>
          <cell r="F93" t="str">
            <v>Friday</v>
          </cell>
          <cell r="G93" t="str">
            <v>9 AM - 12 PM</v>
          </cell>
          <cell r="H93">
            <v>2550</v>
          </cell>
          <cell r="I93">
            <v>318.75</v>
          </cell>
          <cell r="J93" t="str">
            <v>Bi weekly Customised</v>
          </cell>
          <cell r="K93" t="str">
            <v>Gerbera // Rajni // Sunflowers // Eustoma // Orchid // Skip Monday (15/05)</v>
          </cell>
          <cell r="N93" t="str">
            <v>4  del of this cycle   -  0-cycles pmnt   Completed - Collect 0</v>
          </cell>
          <cell r="O93" t="str">
            <v>B Orchid 4     FF Sachet + Grass</v>
          </cell>
          <cell r="P93" t="str">
            <v>Rajni ( 16 inch ) 11     Grass</v>
          </cell>
          <cell r="Q93" t="str">
            <v>P Eustoma ( 14 Inch ) 3     FF Sachet + Grass</v>
          </cell>
          <cell r="R93" t="str">
            <v>G Orchid 4     Grass</v>
          </cell>
          <cell r="S93" t="str">
            <v>Rajni ( 14 Inch ) 11     Grass</v>
          </cell>
          <cell r="T93" t="str">
            <v>Pur Eustom ( 12 Inch ) 3     FF Sachet + Grass</v>
          </cell>
        </row>
        <row r="94">
          <cell r="A94">
            <v>1268</v>
          </cell>
          <cell r="B94" t="str">
            <v>Shweta Malhotra</v>
          </cell>
          <cell r="C94">
            <v>9810290780</v>
          </cell>
          <cell r="D94" t="str">
            <v>B-001, Park View Spa Next, Sec 67</v>
          </cell>
          <cell r="E94" t="str">
            <v>Badshahpur</v>
          </cell>
          <cell r="F94" t="str">
            <v>Friday</v>
          </cell>
          <cell r="G94" t="str">
            <v>9 AM to 2 PM</v>
          </cell>
          <cell r="H94">
            <v>1950</v>
          </cell>
          <cell r="I94">
            <v>487.5</v>
          </cell>
          <cell r="J94" t="str">
            <v>Joy</v>
          </cell>
          <cell r="K94" t="str">
            <v>Friday n MOnday//Thursday and Sunday//Oriental//Rajni//BOP//Pink car(13/01) For Next 3 Del-- Rajni//Orchid//Oriental(14/02) This Cycle-- Asiatic//Rajni//P Oriental//P car(07/03) Asiatic Lily Twice and Rest Gerbera and Orchids(10/04) Flower Food Next(17/04) Received Rs.250/-(18/04) lilie sfor next 2 del pls(03/09) Change to Joy Now(18/09) Next Car or Lilies-- NO GULDAWARI(31/10) Oriental Or Spray Daisy next(21/12) NO Rose-- Send Tom(09/01)  Holy Change(16/03) Send a replacement tom(15/04) Replacement tom(08/05) Either single or double color only -- NO Multicolor(30/10) No GULDAWARI n GERBERA (05/01) SEnt a replacement (12/04) Sent replacement today (13/05) Sent replacement today (26/06) No Anthurium (17/05) In Pooja's Account // Send Replacement tom (05/07) Send Replacement tom (09/08) Send replacement tom (22/11) Send Replacement tom (11/04) No But HDTNP (12/06)ton Daisy (02/05)</v>
          </cell>
          <cell r="L94" t="str">
            <v>ANTHURIUM n GULDAWARI n Button Daisy</v>
          </cell>
          <cell r="N94" t="str">
            <v>4  del of this cycle   -  0-cycles pmnt   Completed - Collect 0</v>
          </cell>
          <cell r="O94" t="str">
            <v>P Asiatic ( 15 inch ) 4     Grass</v>
          </cell>
          <cell r="P94" t="str">
            <v>Sunflower ( 15 inch ) 5     Grass</v>
          </cell>
          <cell r="Q94" t="str">
            <v>P n W Glad ( 14 Inch ) 22     Grass</v>
          </cell>
          <cell r="R94" t="str">
            <v>Mix Alstroemeria ( 12 Inch ) 22     FF Sachet + Grass</v>
          </cell>
          <cell r="S94" t="e">
            <v>#N/A</v>
          </cell>
          <cell r="T94" t="str">
            <v>O Asiatic ( 14 Inch ) 4     Grass</v>
          </cell>
        </row>
        <row r="95">
          <cell r="A95">
            <v>113</v>
          </cell>
          <cell r="B95" t="str">
            <v>Subhadra Chatterjee</v>
          </cell>
          <cell r="C95">
            <v>8826368500</v>
          </cell>
          <cell r="D95" t="str">
            <v>Tower -E, Flat 10B, Central Park Resort</v>
          </cell>
          <cell r="E95" t="str">
            <v>Sohna Road 2</v>
          </cell>
          <cell r="F95" t="str">
            <v>Friday</v>
          </cell>
          <cell r="G95" t="str">
            <v>9 AM - 12 PM</v>
          </cell>
          <cell r="H95">
            <v>1950</v>
          </cell>
          <cell r="I95">
            <v>487.5</v>
          </cell>
          <cell r="J95" t="str">
            <v>Joy</v>
          </cell>
          <cell r="K95" t="str">
            <v>Friday n Monday//NO GLAD EVER(12/11)  Rajni and Orchid Half Half next(13/12)  Send Orchid and Rajni OR Rose/Lilies/Rajni Next(24/12) PLEASE SEND ORCHID/LILIES/RAJNI/ROSE this cycle(26/12)  Pls send Rose/Rajni and Lilies in coming cycle too(19/01)Gpay from Saunak Ghosh(23/12) Now Asiatic and Rose and no orange asiatic and only pink, yellow and whitte rose only OR White, Pink or blue orchids(14/01) Asiatic and Orchids Next(16/02) P n Y Asiatic Next(23/02) Asiatic n Rajni next(13/03) Send this cycle on monday only(25/03) Orchid n Rajni now(28/03) Spray Daisy and Rajni(11/04) Hold Till 30th June(15/06) Hold till 17th Aug(08/08) Orchid with Lily or Car(19/08) Car/Rose/Gerbera/Anthurium/Orchid/Guldawari and rajni(30/08)  After tom no del till 26th (17/10) NO RED ROSE(14/11) Hold till 10th Jan (29/12) Skip 1 week (02/02) Skip1 week (16/03) Hold today n send on sunday (19/05) Hold till 10th Oct (04/10) Hold till 15th Jan (20/12) Hold till 1st April (06/03) Hold till 20th June (20/05) Hold till 16th Oct (07/10) Return today n hold (03/01) Skip from 20th to 30th Matr (11/03) Hold till 7th JUly (19/06) Hold due to non payment (10/10) Hold n start from 26th (14/10) Hold due to non payment (26/12) No Red Rose (30/12) Hold till 16th Jan (08/01) HDTNP (13/03) Hold till 4th Apr (25/03) Hold till 12th JUne (04/06)</v>
          </cell>
          <cell r="L95" t="str">
            <v>GULDAWARI n ROSE</v>
          </cell>
          <cell r="N95" t="str">
            <v>1  del of this cycle   -  1-cycles pmnt   Pending - Collect 1950</v>
          </cell>
          <cell r="O95" t="str">
            <v>Mix Alstroemeria ( 14 inch ) 22   Ensure Collection Ensure Collection FF Sachet + Grass</v>
          </cell>
          <cell r="P95" t="str">
            <v>P Asiatic ( 15 inch ) 4     Grass</v>
          </cell>
          <cell r="Q95" t="str">
            <v>Y Orchid  7     FF Sachet + Grass</v>
          </cell>
          <cell r="R95" t="e">
            <v>#N/A</v>
          </cell>
          <cell r="S95" t="e">
            <v>#N/A</v>
          </cell>
          <cell r="T95" t="str">
            <v>B Orchid  7     FF sachet + Grass</v>
          </cell>
        </row>
        <row r="96">
          <cell r="A96">
            <v>1624</v>
          </cell>
          <cell r="B96" t="str">
            <v>Smriti Maggon</v>
          </cell>
          <cell r="C96">
            <v>9811081666</v>
          </cell>
          <cell r="D96" t="str">
            <v>B-901, Emaar Palm Drive, Sec 66</v>
          </cell>
          <cell r="E96" t="str">
            <v>Badshahpur</v>
          </cell>
          <cell r="F96" t="str">
            <v>Friday</v>
          </cell>
          <cell r="G96" t="str">
            <v>9 AM - 12 PM</v>
          </cell>
          <cell r="H96">
            <v>1450</v>
          </cell>
          <cell r="I96">
            <v>362.5</v>
          </cell>
          <cell r="J96" t="str">
            <v>Bliss</v>
          </cell>
          <cell r="K96" t="str">
            <v>Rose//Car//Rajni//BOP(08/02) Holy Change(16/03) 8 Rajnigandha Next (12/10) Hold due to non payment (03/10) Hold due to non payment (16/01) Hold due to non payment (23/01)</v>
          </cell>
          <cell r="N96" t="str">
            <v>3  del of this cycle   -  0-cycles pmnt   Completed - Collect 0</v>
          </cell>
          <cell r="O96" t="str">
            <v>Bop 3   Ensure Collection Ensure Collection FF Sachet + Grass</v>
          </cell>
          <cell r="P96" t="str">
            <v>Sunflower ( 15 inch ) 4     Grass</v>
          </cell>
          <cell r="Q96" t="str">
            <v>O Asiatic ( 15 Inch ) 3     Grass</v>
          </cell>
          <cell r="R96" t="str">
            <v>P n Y Spray Daisy ( 14 Inch ) 5     FF Sachet + Grass</v>
          </cell>
          <cell r="S96" t="e">
            <v>#N/A</v>
          </cell>
          <cell r="T96" t="str">
            <v xml:space="preserve">P n W Glad ( 14 Inch ) 16    Grass </v>
          </cell>
        </row>
        <row r="97">
          <cell r="A97">
            <v>3312</v>
          </cell>
          <cell r="B97" t="str">
            <v>Pallabi Dey</v>
          </cell>
          <cell r="C97">
            <v>9953755297</v>
          </cell>
          <cell r="D97" t="str">
            <v>T-2/403, Uniworld Gardens 1</v>
          </cell>
          <cell r="E97" t="str">
            <v>Sohna Road 1</v>
          </cell>
          <cell r="F97" t="str">
            <v>Monday</v>
          </cell>
          <cell r="G97" t="str">
            <v>4 Pm to 7 PM</v>
          </cell>
          <cell r="H97">
            <v>1950</v>
          </cell>
          <cell r="I97">
            <v>487.5</v>
          </cell>
          <cell r="J97" t="str">
            <v>Joy</v>
          </cell>
          <cell r="N97" t="str">
            <v>2  del of this cycle   -  0-cycles pmnt   Completed - Collect 0</v>
          </cell>
          <cell r="O97" t="str">
            <v>Mix Car 22     Grass</v>
          </cell>
          <cell r="P97" t="str">
            <v>Sunflower ( 15 inch ) 5     Grass</v>
          </cell>
          <cell r="Q97" t="str">
            <v>P n W Glad ( 14 Inch ) 22 Collect 1375 Carry Receipt Book Collect 1375 Carry Receipt Book Grass</v>
          </cell>
          <cell r="R97" t="str">
            <v>P n Y Spray Daisy ( 14 Inch ) 7     FF Sachet + Grass</v>
          </cell>
          <cell r="S97" t="str">
            <v>W Asiatic ( 14 inch ) 4     Grass</v>
          </cell>
          <cell r="T97" t="str">
            <v>R n P Car ( 14 Inch ) 22     FF sachet + Grass</v>
          </cell>
        </row>
        <row r="98">
          <cell r="A98">
            <v>2708</v>
          </cell>
          <cell r="B98" t="str">
            <v>Monica Bakshi</v>
          </cell>
          <cell r="C98">
            <v>9730543073</v>
          </cell>
          <cell r="D98" t="str">
            <v>K-1005, Palm Drive</v>
          </cell>
          <cell r="E98" t="str">
            <v>Badshahpur</v>
          </cell>
          <cell r="F98" t="str">
            <v>Friday</v>
          </cell>
          <cell r="G98" t="str">
            <v>9 AM - 12 PM</v>
          </cell>
          <cell r="H98">
            <v>999</v>
          </cell>
          <cell r="I98">
            <v>249.75</v>
          </cell>
          <cell r="J98" t="str">
            <v>Delight</v>
          </cell>
          <cell r="K98" t="str">
            <v>No Gerbera (02/12)</v>
          </cell>
          <cell r="L98" t="str">
            <v xml:space="preserve">GERBERA </v>
          </cell>
          <cell r="N98" t="str">
            <v>2  del of this cycle   -  0-cycles pmnt   Completed - Collect 0</v>
          </cell>
          <cell r="O98" t="str">
            <v>Mix Alstroemeria ( 14 inch ) 9     FF Sachet + Grass</v>
          </cell>
          <cell r="P98" t="str">
            <v>P Asiatic ( 15 inch ) 3     Grass</v>
          </cell>
          <cell r="Q98" t="str">
            <v>P n W Glad ( 14 Inch ) 9     Grass</v>
          </cell>
          <cell r="R98" t="str">
            <v>Y Spray Daisy ( 14 Inch ) 3     FF Sachet + Grass</v>
          </cell>
          <cell r="S98" t="str">
            <v>Pur n P Car ( 14 Inch ) 9     FF Sachet + Grass</v>
          </cell>
          <cell r="T98" t="str">
            <v xml:space="preserve">Mix Alstroemeria ( 12 Inch ) 9    FF Sachet + Grass </v>
          </cell>
        </row>
        <row r="99">
          <cell r="A99">
            <v>2674</v>
          </cell>
          <cell r="B99" t="str">
            <v>Jaspreet Dhillon</v>
          </cell>
          <cell r="C99">
            <v>9971159399</v>
          </cell>
          <cell r="D99" t="str">
            <v>T-2/204, Uniworld Garden -1</v>
          </cell>
          <cell r="E99" t="str">
            <v>Sohna Road 1</v>
          </cell>
          <cell r="F99" t="str">
            <v>Friday</v>
          </cell>
          <cell r="G99" t="str">
            <v>9 AM - 12 PM</v>
          </cell>
          <cell r="H99">
            <v>999</v>
          </cell>
          <cell r="I99">
            <v>249.75</v>
          </cell>
          <cell r="J99" t="str">
            <v>Delight</v>
          </cell>
          <cell r="K99" t="str">
            <v>Send a message on Sunday to start // Start next cycle from Friday (19/09) Today Returned (26/09) No Sunflower (08/11) Hold today (28/11) Hold tom (11/12) Skip 1 week (16/12) Skip 1 week (11/01) Hold due to non payment (30/01 Hold due to non payment (06/02) Hold due to non payment (13/02) HDTNP (20/02) Skip 1 week (02/04) Skip 1 week (23/04) HDTNP (08/05) Skip 1 week (17/05)</v>
          </cell>
          <cell r="L99" t="str">
            <v>Sunflower</v>
          </cell>
          <cell r="N99" t="str">
            <v>2  del of this cycle   -  1-cycles pmnt   Pending - Collect 999</v>
          </cell>
          <cell r="O99" t="str">
            <v>R n W Car ( 14 inch ) 9     FF Sachet + Grass</v>
          </cell>
          <cell r="P99" t="e">
            <v>#N/A</v>
          </cell>
          <cell r="Q99" t="str">
            <v>P n W Glad ( 14 Inch ) 9     Grass</v>
          </cell>
          <cell r="R99" t="str">
            <v>P Asiatic ( 14 Inch ) 2     Grass</v>
          </cell>
          <cell r="S99" t="str">
            <v>Mix Alstroemeria ( 12 Inch ) 9     FF Sachet + Grass</v>
          </cell>
          <cell r="T99" t="str">
            <v xml:space="preserve">P Spray Daisy ( 14 Inch ) 3    FF Sachet + Grass </v>
          </cell>
        </row>
        <row r="100">
          <cell r="A100">
            <v>2918</v>
          </cell>
          <cell r="B100" t="str">
            <v>Tina</v>
          </cell>
          <cell r="C100">
            <v>9212408077</v>
          </cell>
          <cell r="D100" t="str">
            <v>J-1603, Palm Drive</v>
          </cell>
          <cell r="E100" t="str">
            <v>Badshahpur</v>
          </cell>
          <cell r="F100" t="str">
            <v>Friday</v>
          </cell>
          <cell r="G100" t="str">
            <v>10 AM to 2:30 PM</v>
          </cell>
          <cell r="H100">
            <v>999</v>
          </cell>
          <cell r="I100">
            <v>249.75</v>
          </cell>
          <cell r="J100" t="str">
            <v>Delight</v>
          </cell>
          <cell r="K100" t="str">
            <v>From Radhika Neeraj Rathod//Colect cash (17/03) Paytm from Gureena Singh (29/08) Send tom n send on Monday this week (19/03)</v>
          </cell>
          <cell r="N100" t="str">
            <v>2  del of this cycle   -  1-cycles pmnt   Pending - Collect 999</v>
          </cell>
          <cell r="O100" t="str">
            <v>Sunflower ( 15 inch ) 2     Grass</v>
          </cell>
          <cell r="P100" t="str">
            <v>P n W Glad ( 14 inch ) 9     Grass</v>
          </cell>
          <cell r="Q100" t="str">
            <v>P Asiatic ( 15 Inch ) 2 Collect 1375 Carry Receipt Book   Grass</v>
          </cell>
          <cell r="R100" t="str">
            <v>P n W Car ( 14 Inch ) 9     FF Sachet + Grass</v>
          </cell>
          <cell r="S100" t="str">
            <v>Mix Alstroemeria ( 12 Inch ) 9     FF Sachet + Grass</v>
          </cell>
          <cell r="T100" t="str">
            <v xml:space="preserve">O Asiatic ( 14 Inch ) 2    Grass </v>
          </cell>
        </row>
        <row r="101">
          <cell r="A101">
            <v>588</v>
          </cell>
          <cell r="B101" t="str">
            <v>Akiksha Mohan</v>
          </cell>
          <cell r="C101">
            <v>9810145564</v>
          </cell>
          <cell r="D101" t="str">
            <v>D-601, Emaar Plam Drive</v>
          </cell>
          <cell r="E101" t="str">
            <v>Badshahpur</v>
          </cell>
          <cell r="F101" t="str">
            <v>Friday</v>
          </cell>
          <cell r="G101" t="str">
            <v>9 AM - 12 PM</v>
          </cell>
          <cell r="H101">
            <v>1600</v>
          </cell>
          <cell r="I101">
            <v>200</v>
          </cell>
          <cell r="J101" t="str">
            <v>Bloom</v>
          </cell>
          <cell r="K101" t="str">
            <v>Friday n Monday //Return-send next week(10/11) Send Replacement(04/03) change address Tower D Flat No 601 Plam Drive (30/3) Return-send next week(06/04) NOW SEND ONLY GLAD(08/05 Hold n start from 1st week0f Aug(08/07)) Gerbera Next(31/08) Return-send next week(30/11) Return-send after Monday(07/03) Send Next week(08/03) Send Change next(30/10) Today returned-send next week(06/11)  Holy Change(16/03) Return today and Skip 2 Weeks(15/04) REturn-:Payment Not paid(29/04) Today Returned(03/06) Skip 1 week(15/06) Return-send next wek(24/06) Skip 1 Week(21/07) Today returned(05/08) Rajni and Asiatic altrenatively(12/08) Today returnedas payment is pending (16/12) Today return again diue to non payment (23/12) No Guldawari (28/02) Paytm From Neelu mohan (28/02) Hold as payment not received (22/10) No sent as payment not recived (26/10) Hold due to non payment (29/10) One payment in Pooja account on 18th and 1 today at BMF account (03/11) Hold due to non payment(01/12) Hold today due to non payment (01/03) Hold as payment not received (31/03) Skip next del (29/09) Hold due to non payment (09/01) Hold due to non payment (12/01) Hold due to non payment (16/01) Hold due to non payment (03/10) Hold due to non payment (05/10) Hold due to non payment (10/10) Skip 1 week (31/10) Hoold ue to non payment (18/12) Hold due to non payment (26/12) Hold tom due to non payment (28/12) Hold due to non payment (19/01) Hold due to non payment (22/01) Today hold (06/03) HDTNP (25/05)</v>
          </cell>
          <cell r="L101" t="str">
            <v>GULDAWARI</v>
          </cell>
          <cell r="N101" t="str">
            <v>2  del of this cycle   -  1-cycles pmnt   Pending - Collect 1600</v>
          </cell>
          <cell r="O101" t="str">
            <v>Mix Alstroemeria ( 14 inch ) 7     FF Sachet + Grass</v>
          </cell>
          <cell r="P101" t="str">
            <v>P n W Glad ( 16 Inch) 7     Grass</v>
          </cell>
          <cell r="Q101" t="str">
            <v xml:space="preserve">Mix Carnation 7     </v>
          </cell>
          <cell r="R101" t="str">
            <v>Sunflower ( 14 Inch ) 2     FF Sachet + Grass</v>
          </cell>
          <cell r="S101" t="str">
            <v>Mix Alstroemeria ( 12 Inch ) 7     FF Sachet + Grass</v>
          </cell>
          <cell r="T101" t="str">
            <v>P n W Glad ( 14 Inch ) 7     Grass</v>
          </cell>
        </row>
        <row r="102">
          <cell r="A102">
            <v>628</v>
          </cell>
          <cell r="B102" t="str">
            <v>Parul Hazel</v>
          </cell>
          <cell r="C102">
            <v>9873675242</v>
          </cell>
          <cell r="D102" t="str">
            <v>E-1202, Palm Drive</v>
          </cell>
          <cell r="E102" t="str">
            <v>Badshahpur</v>
          </cell>
          <cell r="F102" t="str">
            <v>Friday</v>
          </cell>
          <cell r="G102" t="str">
            <v>9 AM - 12 PM</v>
          </cell>
          <cell r="H102">
            <v>1450</v>
          </cell>
          <cell r="I102">
            <v>362.5</v>
          </cell>
          <cell r="J102" t="str">
            <v>Bliss</v>
          </cell>
          <cell r="K102" t="str">
            <v>Send vase replacement tomorrow(27/10) Skip 1 week(27/12) Return-send next week(27/01)Skip 1 week(07/02) Rose next time(26/02) 1 stick extra next week(09/03) Skip 1 week(20/03) Send 1 stick extra in next del(18/05) Today hold n skip 1 week(25/05) Skip 2 week(14/06) Inform Before Sending(01/07) Send 2 pack of FF tom(19/07) Today hold-send tom(21/10) return-send on Thursday(26/10) Rajni Next(21/12) Hold -send on Monday(28/12) Skip 1 week(09/03) Rajni Next(28/01) Rajni tom(28/02) Pls send Mix of Spray daisy + Rajni and send tom only this week(04/03) Skiped 1 week due to HOLI(29/03) Skip 1 week(17/08) Rajni/Rose next(12/10) Send rajni Tom(30/10) Skip 1 week(19/12) Skip 1 week(12/03) Sewnt a replacement today(17/04) Skip 1 we Hold today (29/03)ek(01/06) Skip 2 Weeks(23/06) Skip 1 week(28/07) Skip 1 week (22/12) Skip 2 weeks (01/01/23) Skip 1 week (13/04) Send on sunday this week (14/04) Send 1 delivery tom (19/06)] Skip 1 week (28/09) Skip 1 week (10/04) Send Replacement tom (10/01) Skip 1 week (20/01) Skip friday n send on monday this week (26/06) Send thsi week flowers on monday (14/08) Skip 1 week (16/12) skip tom and send on 28th (17/03) Hold today and check next week before sending (22/05)</v>
          </cell>
          <cell r="N102" t="str">
            <v>1  del of this cycle   -  1-cycles pmnt   Pending - Collect 1400</v>
          </cell>
          <cell r="O102" t="e">
            <v>#N/A</v>
          </cell>
          <cell r="P102" t="str">
            <v>P n W Glad ( 16 Inch) 16     Grass</v>
          </cell>
          <cell r="Q102" t="str">
            <v>O Asiatic ( 15 Inch ) 3     Grass</v>
          </cell>
          <cell r="R102" t="str">
            <v>P n W Glad ( 14 Inch ) 16     Grass</v>
          </cell>
          <cell r="S102" t="str">
            <v>P n Y Spray Daisy ( 14 Inch ) 5     FF Sachet + Grass</v>
          </cell>
          <cell r="T102" t="str">
            <v xml:space="preserve">R n P Car ( 14 Inch ) 16    FF Sachet + Grass </v>
          </cell>
        </row>
        <row r="103">
          <cell r="A103">
            <v>139</v>
          </cell>
          <cell r="B103" t="str">
            <v>Mr. Pramod Narula 2</v>
          </cell>
          <cell r="C103">
            <v>9899048440</v>
          </cell>
          <cell r="D103" t="str">
            <v>Ww-57, Ground floor, Malibu Town, Sohna Road    Sohna Road Gurgaon  </v>
          </cell>
          <cell r="E103" t="str">
            <v>Sohna Road 1</v>
          </cell>
          <cell r="F103" t="str">
            <v>Friday</v>
          </cell>
          <cell r="G103" t="str">
            <v>9 AM - 12 PM</v>
          </cell>
          <cell r="H103">
            <v>4750</v>
          </cell>
          <cell r="I103">
            <v>1187.5</v>
          </cell>
          <cell r="J103" t="str">
            <v>Enchantment</v>
          </cell>
          <cell r="K103" t="str">
            <v>3 Stick extra in next del(31/08)Send this Tuesday n then Saturday(07/09)Send on 6th This week(05/11)  Today return-send next week(25/01) Send replacement of Daisy(01/02) Send always on Friday(17/03) Rs.240/- Received today against special pack(12/04) Long stick always(26/04) Flower food next(31/05) NO GERBERA(14/06) Send 1 stick extra next(16/08) 2 Stick extra next(23/08) Send extra flower(20/09) NO GERBERA N NO BOP(11/10) Collect Payment(29/02) Send replacement(11/08/20) Hold for 2 weeks and confirm before sending(19/09/20) Skip 1 more week(08/10/20) Sending Del tom due to Diwali(11/11) No Lily and Sunflower(04/07) Upgrade to 4000 and increase 6 more sticks(01/10) Send 2nd Del on 4th(27/10) Send 5th Del on 4th(29/10) Send remaining flowers(19/11) Hold today and skip 1 week(10/12) Skip 1 week(24/02)  Holy Change(16/03) Hold today--send on sunday (22/12) Hold today n send on Monday (20/12) Skip 1 week (02/01) Skip 1 week (11/03) Hold n start after 5th June (04/05) Send flowers on sunday (16/10) Skip 1 week (18/12) Send on Wednesday instead of Friday this week (22/12) No Lilies (07/05)</v>
          </cell>
          <cell r="L103" t="str">
            <v>lilies n Glad</v>
          </cell>
          <cell r="N103" t="str">
            <v>3  del of this cycle   -  0-cycles pmnt   Completed - Collect 0</v>
          </cell>
          <cell r="O103" t="str">
            <v>P n W Spray Daisy ( 15 inch ) 10 P n W Car ( 14 inch ) 18 Mix Alstroemeria ( 14 inch )  18 FF Sachet + Grass</v>
          </cell>
          <cell r="P103" t="str">
            <v>Y Asiatic ( 15 inch ) 6 P n W Glad ( 14 inch ) 18 Rajni ( 14 Inch ) 18 Grass</v>
          </cell>
          <cell r="Q103" t="str">
            <v>Sunflower ( 14 Inch ) 6 R n W Car ( 14 Inch ) 18 Mix Alstroemeria ( 12 Inch ) 18 FF Sachet + Grass</v>
          </cell>
          <cell r="R103" t="str">
            <v>P n Y Spray Daisy ( 14 Inch ) 10 P n W Glad ( 14 Inch ) 18 P n W Car ( 14 Inch ) 18 Grass</v>
          </cell>
          <cell r="S103" t="str">
            <v>W Asiatic ( 14 inch ) 6 Mix Alstroemeria ( 12 Inch ) 18 Pur n P Car ( 14 Inch ) 18 Grass</v>
          </cell>
          <cell r="T103" t="str">
            <v>Sunflower ( 12 Inch ) 6 P n W Glad ( 14 Inch ) 18 Rajni ( 14 Inch ) 18 Grass</v>
          </cell>
        </row>
        <row r="104">
          <cell r="A104" t="str">
            <v>B56201</v>
          </cell>
          <cell r="B104" t="str">
            <v>Tina</v>
          </cell>
          <cell r="C104">
            <v>9212408077</v>
          </cell>
          <cell r="D104" t="str">
            <v>J-1603, Palm Drive</v>
          </cell>
          <cell r="E104" t="str">
            <v>Badshahpur</v>
          </cell>
          <cell r="F104" t="str">
            <v>Friday</v>
          </cell>
          <cell r="G104" t="str">
            <v>10 AM to 2:30 PM</v>
          </cell>
          <cell r="H104">
            <v>630</v>
          </cell>
          <cell r="I104">
            <v>630</v>
          </cell>
          <cell r="J104" t="str">
            <v>Bouquet</v>
          </cell>
          <cell r="K104" t="str">
            <v>100 Gm Mogra and 7 Rajni</v>
          </cell>
          <cell r="N104" t="str">
            <v>1  del of this cycle   -  1-cycles pmnt   Pending - Collect 630</v>
          </cell>
          <cell r="O104" t="e">
            <v>#N/A</v>
          </cell>
          <cell r="P104" t="e">
            <v>#N/A</v>
          </cell>
          <cell r="Q104" t="e">
            <v>#N/A</v>
          </cell>
          <cell r="R104" t="e">
            <v>#N/A</v>
          </cell>
          <cell r="S104" t="e">
            <v>#N/A</v>
          </cell>
          <cell r="T104" t="str">
            <v xml:space="preserve">Rajni ( 14 Inch ) 7 Mogra  100 Gm   </v>
          </cell>
        </row>
        <row r="105">
          <cell r="A105" t="str">
            <v>B56203</v>
          </cell>
          <cell r="B105" t="str">
            <v>Uttam singh negi -- M2K</v>
          </cell>
          <cell r="C105" t="str">
            <v>85959 25200</v>
          </cell>
          <cell r="D105" t="str">
            <v>M2K Corporate Park Shopping Plaza</v>
          </cell>
          <cell r="E105" t="str">
            <v>Nirvana Country</v>
          </cell>
          <cell r="F105" t="str">
            <v>Monday</v>
          </cell>
          <cell r="G105" t="str">
            <v>By 8:30 AM</v>
          </cell>
          <cell r="H105">
            <v>500</v>
          </cell>
          <cell r="I105">
            <v>500</v>
          </cell>
          <cell r="J105" t="str">
            <v>Bouquet</v>
          </cell>
          <cell r="K105" t="str">
            <v>2 Same Bouquet of Car</v>
          </cell>
          <cell r="N105" t="str">
            <v>1  del of this cycle   -  1-cycles pmnt   Pending - Collect 500</v>
          </cell>
          <cell r="O105" t="e">
            <v>#N/A</v>
          </cell>
          <cell r="P105" t="e">
            <v>#N/A</v>
          </cell>
          <cell r="Q105" t="e">
            <v>#N/A</v>
          </cell>
          <cell r="R105" t="e">
            <v>#N/A</v>
          </cell>
          <cell r="S105" t="e">
            <v>#N/A</v>
          </cell>
          <cell r="T105" t="str">
            <v xml:space="preserve">( Pur n P Car ) + ( Pur n P Car )  6 + 6 2 Same Bouquet    </v>
          </cell>
        </row>
        <row r="106">
          <cell r="A106">
            <v>1377</v>
          </cell>
          <cell r="B106" t="str">
            <v>Geetanjali Babbar</v>
          </cell>
          <cell r="C106">
            <v>9958988852</v>
          </cell>
          <cell r="D106" t="str">
            <v>K-905, Sispal Vihar</v>
          </cell>
          <cell r="E106" t="str">
            <v>Sohna Road 1</v>
          </cell>
          <cell r="F106" t="str">
            <v>Friday</v>
          </cell>
          <cell r="G106" t="str">
            <v>9:30 Am to 2 PM</v>
          </cell>
          <cell r="H106">
            <v>2300</v>
          </cell>
          <cell r="I106">
            <v>287.5</v>
          </cell>
          <cell r="J106" t="str">
            <v>Felicity</v>
          </cell>
          <cell r="K106" t="str">
            <v>Tuesday and FRiday//Monday and Thursday//Send on Monday This week and send rajni too(03/04) Returned-send tom(11/04) Day Changed to Monday(11/04) Sent replacement of Gerbera today(20/04) She likes BOP+Rajni+Car Comb (20/04) Thursday and Monday Morning Slot(13/06) NO BOP(03/08) Hold today ansend after a week(20/11)  Holy Change(16/03) Skip 1 del(16/03) Skip 1 del AND ALWAYS SEND 10 STICKS(02/05) Skip 3rd Feb Del (28/01) Skip tom Delivery (06/04) Dont start from 16th June--start from 19th June (14/06) Skip Friday (13/09) Skip between 24th to 2nd Nov (24/10) Hold n start from Feb (13/01) Skip tom del (14/03) Do Not count last del (21/06) Skip comig Delivery(24/06) Sent a rewplacement today (23/10) Hold geetanjali babbar today (03/01) Skip 1 week (04/01) Skip 18th n 21st Mar (03/03) Skip Friday (09/04) Skip friday (26/06) Paytm From Merajul Alam (23/09) No Del From 09th to 13th (04/12) Skip 10th and 13th Feb (31/01) Skip 1 week (23/03) Replacement tom (21/04) HDTNP (29/05)</v>
          </cell>
          <cell r="M106" t="str">
            <v>Skip 18th n 21st Mar 25</v>
          </cell>
          <cell r="N106" t="str">
            <v>1  del of this cycle   -  1-cycles pmnt   Pending - Collect 2300</v>
          </cell>
          <cell r="O106" t="str">
            <v>Rajni ( 14 inch ) 11     Grass</v>
          </cell>
          <cell r="P106" t="str">
            <v>P n W Car ( 14 inch ) 11     FF Sachet + Grass</v>
          </cell>
          <cell r="Q106" t="str">
            <v>O Asiatic ( 15 Inch ) 2   Collect payment Collect payment Grass</v>
          </cell>
          <cell r="R106" t="str">
            <v>Rajni ( 14 Inch ) 11     Grass</v>
          </cell>
          <cell r="S106" t="str">
            <v>Pur n P Car ( 14 Inch ) 11     FF Sachet + Grass</v>
          </cell>
          <cell r="T106" t="str">
            <v>P n W Glad ( 14 Inch ) 11     Grass</v>
          </cell>
        </row>
        <row r="107">
          <cell r="A107" t="str">
            <v>B56206</v>
          </cell>
          <cell r="B107">
            <v>9971105361</v>
          </cell>
          <cell r="C107">
            <v>9971105361</v>
          </cell>
          <cell r="D107" t="str">
            <v>A-16, 2nd Floor, Ashok Estate, Anant Raj Estate, Sec 63 A</v>
          </cell>
          <cell r="E107" t="str">
            <v>Ghata</v>
          </cell>
          <cell r="F107" t="str">
            <v>Friday</v>
          </cell>
          <cell r="G107" t="str">
            <v>By 11:30 aM</v>
          </cell>
          <cell r="H107">
            <v>950</v>
          </cell>
          <cell r="I107">
            <v>950</v>
          </cell>
          <cell r="J107" t="str">
            <v>Bouquet</v>
          </cell>
          <cell r="K107" t="str">
            <v>Rose Mala</v>
          </cell>
          <cell r="N107" t="str">
            <v>1  del of this cycle   -  1-cycles pmnt   Pending - Collect 950</v>
          </cell>
          <cell r="T107" t="str">
            <v xml:space="preserve">R Rose Mala 21     </v>
          </cell>
        </row>
        <row r="108">
          <cell r="B108" t="str">
            <v xml:space="preserve">Devika Nigam is sending Porter for pickup </v>
          </cell>
          <cell r="C108" t="str">
            <v xml:space="preserve">Devika Nigam is sending Porter for pickup </v>
          </cell>
          <cell r="D108" t="str">
            <v xml:space="preserve">Devika Nigam is sending Porter for pickup </v>
          </cell>
          <cell r="E108" t="str">
            <v xml:space="preserve">Devika Nigam is sending Porter for pickup </v>
          </cell>
          <cell r="F108" t="str">
            <v xml:space="preserve">Devika Nigam is sending Porter for pickup </v>
          </cell>
          <cell r="G108" t="str">
            <v xml:space="preserve">Devika Nigam is sending Porter for pickup </v>
          </cell>
          <cell r="H108">
            <v>280</v>
          </cell>
          <cell r="J108" t="str">
            <v>Bouquet</v>
          </cell>
          <cell r="T108" t="str">
            <v xml:space="preserve">Rajni 7     </v>
          </cell>
        </row>
        <row r="109">
          <cell r="B109" t="str">
            <v>Himantika Sethi</v>
          </cell>
          <cell r="C109">
            <v>9773856005</v>
          </cell>
          <cell r="D109" t="str">
            <v>A-5/402, World Spa East</v>
          </cell>
          <cell r="H109">
            <v>900</v>
          </cell>
          <cell r="J109" t="str">
            <v>Bouquet</v>
          </cell>
          <cell r="K109" t="str">
            <v>Send today 3 white oriental (buds) with greens to Himantika Sethi
+91 97738 56005</v>
          </cell>
          <cell r="T109" t="str">
            <v xml:space="preserve">W oriental Buds  3 green    </v>
          </cell>
        </row>
        <row r="110">
          <cell r="B110" t="str">
            <v>Sanjeev Takru,</v>
          </cell>
          <cell r="C110">
            <v>9810037403</v>
          </cell>
          <cell r="D110" t="str">
            <v>TG 2C/10, Garden Estate, Nathupur, Sector 24, Gurgaon</v>
          </cell>
          <cell r="H110">
            <v>2280</v>
          </cell>
          <cell r="J110" t="str">
            <v>Bouquet</v>
          </cell>
          <cell r="K110" t="str">
            <v>From Shivani Hazari 
Today 
6 oriental lilies and 12 carnations in full tissue wrap 
To 
Address: Sanjeev Takru, TG 2C/10, Garden Estate, Nathupur, Sector 24, Gurgaon
Message: 
Dearest Sanjeev Bhaiya, 
wish you a very Happy Birthday. 
Loads of love and best wishes always, 
Shivani &amp; Vivek</v>
          </cell>
          <cell r="T110" t="str">
            <v xml:space="preserve">Oriental+ Car 6+12 Full Tissue Wrap Message   </v>
          </cell>
        </row>
        <row r="111">
          <cell r="B111" t="str">
            <v>bptp centra 1..</v>
          </cell>
          <cell r="C111" t="str">
            <v>bptp centra 1..</v>
          </cell>
          <cell r="D111" t="str">
            <v>bptp centra 1..</v>
          </cell>
          <cell r="E111" t="str">
            <v>bptp centra 1..</v>
          </cell>
          <cell r="F111" t="str">
            <v>bptp centra 1..</v>
          </cell>
          <cell r="G111" t="str">
            <v>bptp centra 1..</v>
          </cell>
          <cell r="H111">
            <v>2000</v>
          </cell>
          <cell r="J111" t="str">
            <v>Bouquet</v>
          </cell>
          <cell r="K111" t="str">
            <v>Pls send 2 bouquet with 3 semi bloom Asiatic lilies and 10 carbations in walkin tossue wrap today immediately to bptp centra 1..</v>
          </cell>
          <cell r="T111" t="str">
            <v xml:space="preserve">Asiatic+ Car 3+10  Walking Tissue Wrap   </v>
          </cell>
        </row>
        <row r="112">
          <cell r="B112" t="str">
            <v>Tanya sharma</v>
          </cell>
          <cell r="C112">
            <v>9458605404</v>
          </cell>
          <cell r="D112" t="str">
            <v>Flat - 4C/ Tower -6 / 4th floor 
Bellevue towers , central park 2 
Sector -49</v>
          </cell>
          <cell r="G112" t="str">
            <v>Before 6 Pm</v>
          </cell>
          <cell r="H112">
            <v>600</v>
          </cell>
          <cell r="J112" t="str">
            <v>Bouquet</v>
          </cell>
          <cell r="K112" t="str">
            <v>Send today 
2 sunflowers and 6 blue daisies in tissue wrap 
To 
Tanya sharma
9458605404
Flat - 4C/ Tower -6 / 4th floor 
Bellevue towers , central park 2 
Sector -49
Message : I Love You</v>
          </cell>
          <cell r="T112" t="str">
            <v xml:space="preserve">Sunflower+B Daisy 2+6 Tissue Wrap Message   </v>
          </cell>
        </row>
        <row r="113">
          <cell r="B113" t="str">
            <v>Nupur</v>
          </cell>
          <cell r="C113">
            <v>9717076514</v>
          </cell>
          <cell r="D113" t="str">
            <v>Tower 16 .Flat 1602.The Close South take a Tower</v>
          </cell>
          <cell r="G113" t="str">
            <v xml:space="preserve"> 7:30 </v>
          </cell>
          <cell r="H113">
            <v>620</v>
          </cell>
          <cell r="J113" t="str">
            <v>Bouquet</v>
          </cell>
          <cell r="K113" t="str">
            <v>Send today around 7:30 
2 asiatic and 8 car bouquet in tissue wrap 
Tower 16 .Flat 1602.The Close South take a Tower
Nupur.
9717076514</v>
          </cell>
          <cell r="T113" t="str">
            <v xml:space="preserve">Asiatic and car 2+8 tissue wrap    </v>
          </cell>
        </row>
      </sheetData>
      <sheetData sheetId="19"/>
      <sheetData sheetId="20"/>
      <sheetData sheetId="21"/>
      <sheetData sheetId="22"/>
      <sheetData sheetId="23"/>
      <sheetData sheetId="24"/>
      <sheetData sheetId="25">
        <row r="2">
          <cell r="A2">
            <v>2389</v>
          </cell>
          <cell r="B2" t="str">
            <v>Sreyoshi  Maitra</v>
          </cell>
          <cell r="C2">
            <v>9711760109</v>
          </cell>
          <cell r="D2" t="str">
            <v>T-1/1706, M3M Heights, Sec 65</v>
          </cell>
          <cell r="E2" t="str">
            <v>Badshahpur</v>
          </cell>
          <cell r="F2" t="str">
            <v>Friday</v>
          </cell>
          <cell r="G2" t="str">
            <v>9 AM - 12 PM</v>
          </cell>
          <cell r="H2">
            <v>1950</v>
          </cell>
          <cell r="I2">
            <v>487.5</v>
          </cell>
          <cell r="J2" t="str">
            <v>Joy</v>
          </cell>
          <cell r="K2" t="str">
            <v>No Spray Daisy and Rajni // Payment from Mrittika Maitra (12/03) Send replacement of orchds tom (11/05) Today Returned (04/07) No eustoma (17/08) Hold today (24/10) Pls Send sunflowers on 9th Jan (12/12) HDTNP (13/03) Sent one del today (16/03) No Orchids (30/04) Today Returned (29/05)</v>
          </cell>
          <cell r="L2" t="str">
            <v>Orchids n Rajnigandha</v>
          </cell>
          <cell r="M2" t="str">
            <v>Sunflower on 9th Jan (12/12)</v>
          </cell>
          <cell r="N2" t="str">
            <v>4  del of this cycle   -  0-cycles pmnt   Completed - Collect 0</v>
          </cell>
          <cell r="O2" t="str">
            <v>P Asiatic ( 15 inch ) 4     Grass</v>
          </cell>
          <cell r="P2" t="str">
            <v>R n W Car ( 14 Inch ) 22     FF Sachet + Grass</v>
          </cell>
          <cell r="Q2" t="str">
            <v>Pur n P Eustoma ( 14 Inch ) 4     FF Sachet + Grass</v>
          </cell>
          <cell r="R2" t="str">
            <v>P n Y Spray Daisy ( 14 Inch ) 7     FF Sachet + Grass</v>
          </cell>
          <cell r="S2" t="str">
            <v>P n W Glad ( 14 Inch ) 22     Grass</v>
          </cell>
          <cell r="T2" t="str">
            <v>O Asiatic ( 14 Inch ) 4     Grass</v>
          </cell>
        </row>
        <row r="3">
          <cell r="A3">
            <v>3062</v>
          </cell>
          <cell r="B3" t="str">
            <v>Shilpa Ravikumar</v>
          </cell>
          <cell r="C3">
            <v>9400305164</v>
          </cell>
          <cell r="D3" t="str">
            <v>A-902, Palm Premier, Emaar Palm Hills, OPP Hyatt Regency, Sec 77</v>
          </cell>
          <cell r="E3" t="str">
            <v>Manesar</v>
          </cell>
          <cell r="F3" t="str">
            <v>Friday</v>
          </cell>
          <cell r="G3" t="str">
            <v>4 Pm to 7 PM</v>
          </cell>
          <cell r="H3">
            <v>1450</v>
          </cell>
          <cell r="I3">
            <v>362.5</v>
          </cell>
          <cell r="J3" t="str">
            <v>Bliss</v>
          </cell>
          <cell r="K3" t="str">
            <v>Hold till 7th Jan (25/01) Hold till 17th June (01/06)</v>
          </cell>
          <cell r="N3" t="str">
            <v>3  del of this cycle   -  0-cycles pmnt   Completed - Collect 0</v>
          </cell>
          <cell r="O3" t="str">
            <v>R n W Car ( 14 inch ) 9     FF Sachet + Grass</v>
          </cell>
          <cell r="P3" t="str">
            <v>P Asiatic ( 15 Inch ) 2     Grass</v>
          </cell>
          <cell r="Q3" t="e">
            <v>#N/A</v>
          </cell>
          <cell r="R3" t="str">
            <v>Mix Carnation  16     FF Sachet + Grass</v>
          </cell>
          <cell r="S3" t="str">
            <v xml:space="preserve">Pur Eustom ( 12 Inch ) 3    FF Sachet + Grass </v>
          </cell>
          <cell r="T3" t="str">
            <v>P n W Glad ( 14 Inch ) 16     Grass</v>
          </cell>
        </row>
        <row r="4">
          <cell r="A4">
            <v>3383</v>
          </cell>
          <cell r="B4" t="str">
            <v>Jaya Todi</v>
          </cell>
          <cell r="C4">
            <v>8084159730</v>
          </cell>
          <cell r="D4" t="str">
            <v>T-6/1001, M3M Heights, Sec 65</v>
          </cell>
          <cell r="E4" t="str">
            <v>Badshahpur</v>
          </cell>
          <cell r="F4" t="str">
            <v>Saturday</v>
          </cell>
          <cell r="G4" t="str">
            <v>10 AM to 2:30 PM</v>
          </cell>
          <cell r="H4">
            <v>1450</v>
          </cell>
          <cell r="I4">
            <v>362.5</v>
          </cell>
          <cell r="J4" t="str">
            <v>Bliss</v>
          </cell>
          <cell r="N4" t="str">
            <v>2  del of this cycle   -  0-cycles pmnt   Completed - Collect 0</v>
          </cell>
          <cell r="O4" t="e">
            <v>#N/A</v>
          </cell>
          <cell r="P4" t="e">
            <v>#N/A</v>
          </cell>
          <cell r="Q4" t="e">
            <v>#N/A</v>
          </cell>
          <cell r="R4" t="e">
            <v>#N/A</v>
          </cell>
          <cell r="S4" t="str">
            <v xml:space="preserve">R n P Car ( 14 Inch ) 16    FF Sachet + Grass </v>
          </cell>
          <cell r="T4" t="str">
            <v>O Asiatic ( 14 Inch ) 3     Grass</v>
          </cell>
        </row>
        <row r="5">
          <cell r="A5">
            <v>3139</v>
          </cell>
          <cell r="B5" t="str">
            <v>Ishita Chopra</v>
          </cell>
          <cell r="C5">
            <v>9810247803</v>
          </cell>
          <cell r="D5" t="str">
            <v>B-69, Ground Floor, Soutthend Floor, Sec 49</v>
          </cell>
          <cell r="E5" t="str">
            <v>Sohna Road 1</v>
          </cell>
          <cell r="F5" t="str">
            <v>Friday</v>
          </cell>
          <cell r="G5" t="str">
            <v>4 Pm to 7 PM</v>
          </cell>
          <cell r="H5">
            <v>1450</v>
          </cell>
          <cell r="I5">
            <v>362.5</v>
          </cell>
          <cell r="J5" t="str">
            <v>Bliss</v>
          </cell>
          <cell r="K5" t="str">
            <v>No Red Rose // Today returned due to timing missunderstaning (21/11) No Roses (06/01)</v>
          </cell>
          <cell r="L5" t="str">
            <v>Roses</v>
          </cell>
          <cell r="N5" t="str">
            <v>1  del of this cycle   -  1-cycles pmnt   Pending - Collect 1450</v>
          </cell>
          <cell r="O5" t="e">
            <v>#N/A</v>
          </cell>
          <cell r="P5" t="str">
            <v>P n W Car 16     FF Sachet + Grass</v>
          </cell>
          <cell r="Q5" t="str">
            <v>O Asiatic ( 14 Inch ) 3     Grass</v>
          </cell>
          <cell r="R5" t="str">
            <v>P n W Glad ( 14 Inch ) 16     Grass</v>
          </cell>
          <cell r="S5" t="str">
            <v xml:space="preserve">Pur Eustom ( 12 Inch ) 3    FF Sachet + Grass </v>
          </cell>
          <cell r="T5" t="str">
            <v>P n Y Spray Daisy ( 14 Inch ) 5     FF sachet + Grass</v>
          </cell>
        </row>
        <row r="6">
          <cell r="A6">
            <v>1618</v>
          </cell>
          <cell r="B6" t="str">
            <v>Nidhi Sharma Malhotra</v>
          </cell>
          <cell r="C6" t="str">
            <v>8130207722//9999016333</v>
          </cell>
          <cell r="D6" t="str">
            <v>Topaz-36, First Floor, Emaar Emerald Hills, Sec 65</v>
          </cell>
          <cell r="E6" t="str">
            <v>Badshahpur</v>
          </cell>
          <cell r="F6" t="str">
            <v>Friday</v>
          </cell>
          <cell r="G6" t="str">
            <v>9 AM to 2 PM</v>
          </cell>
          <cell r="H6">
            <v>3000</v>
          </cell>
          <cell r="I6">
            <v>375</v>
          </cell>
          <cell r="J6" t="str">
            <v>Charm</v>
          </cell>
          <cell r="K6" t="str">
            <v>Friday n Monday//NO Glad(11/03)  Holy Change(16/03) Send next delivery on Monday (26/04) Heliconia Next (03/05) Now felicity (25/05) Today Returned (15/07) Paytm From sante (16/04) Date was updated from 13th july to 04th Aug -- deliveries missed-- now updated from Jule -- Still deliveries missed(05/07</v>
          </cell>
          <cell r="L6" t="str">
            <v>GLAD</v>
          </cell>
          <cell r="N6" t="str">
            <v>1  del of this cycle   -  0-cycles pmnt   Complimentary - Collect 0</v>
          </cell>
          <cell r="O6" t="str">
            <v>P n W Car ( 14 inch ) 15     FF Sachet + Grass</v>
          </cell>
          <cell r="P6" t="str">
            <v>Mix Spray Daisy 4     FF Sachet + Grass</v>
          </cell>
          <cell r="Q6" t="str">
            <v>Pur Eustom ( 14 Inch ) 3     FF Sachet + Grass</v>
          </cell>
          <cell r="R6" t="str">
            <v>BOP ( 14 Inch ) 3     FF Sachet + Grass</v>
          </cell>
          <cell r="S6" t="str">
            <v>P Asiatic ( 14 Inch ) 3     Grass</v>
          </cell>
          <cell r="T6" t="str">
            <v>G n Y Spray Daisy ( 14 Inch ) 4     FF sachet + Grass</v>
          </cell>
        </row>
        <row r="7">
          <cell r="A7">
            <v>3016</v>
          </cell>
          <cell r="B7" t="str">
            <v>Divya Dwivedi</v>
          </cell>
          <cell r="C7">
            <v>7668421237</v>
          </cell>
          <cell r="D7" t="str">
            <v>T-83/402, Emaar palm Hills, Sec 77</v>
          </cell>
          <cell r="E7" t="str">
            <v>Badshahpur</v>
          </cell>
          <cell r="F7" t="str">
            <v>Friday</v>
          </cell>
          <cell r="G7" t="str">
            <v>4 Pm to 7 PM</v>
          </cell>
          <cell r="H7">
            <v>1950</v>
          </cell>
          <cell r="I7">
            <v>487.5</v>
          </cell>
          <cell r="J7" t="str">
            <v>Joy</v>
          </cell>
          <cell r="K7" t="str">
            <v>1st Del Tom and then every Friday (14/09) Skip 1 week (02/10) today hold (30/01) Skip 1 week (10/02) Four Plus 1 Pack (13/04)</v>
          </cell>
          <cell r="M7" t="str">
            <v>Oriental once in 1 cycle (13/04)</v>
          </cell>
          <cell r="N7" t="str">
            <v>3  del of this cycle   -  0-cycles pmnt   Completed - Collect 0</v>
          </cell>
          <cell r="O7" t="str">
            <v>R n W Car ( 14 inch ) 22     FF Sachet + Grass</v>
          </cell>
          <cell r="P7" t="str">
            <v>O Asiatic ( 15 Inch ) 4     Grass</v>
          </cell>
          <cell r="Q7" t="e">
            <v>#N/A</v>
          </cell>
          <cell r="R7" t="e">
            <v>#N/A</v>
          </cell>
          <cell r="S7" t="e">
            <v>#N/A</v>
          </cell>
          <cell r="T7" t="str">
            <v>P n W Glad ( 14 Inch ) 22     Grass</v>
          </cell>
        </row>
        <row r="8">
          <cell r="A8">
            <v>1238</v>
          </cell>
          <cell r="B8" t="str">
            <v>Meenakshi Dua-- Evening Only</v>
          </cell>
          <cell r="C8">
            <v>9560900277</v>
          </cell>
          <cell r="D8" t="str">
            <v>T-9/803, Orchid Petals</v>
          </cell>
          <cell r="E8" t="str">
            <v>Sohna Road 1</v>
          </cell>
          <cell r="F8" t="str">
            <v>Friday</v>
          </cell>
          <cell r="G8" t="str">
            <v>4 PM to 7PM</v>
          </cell>
          <cell r="H8">
            <v>1950</v>
          </cell>
          <cell r="I8">
            <v>487.5</v>
          </cell>
          <cell r="J8" t="str">
            <v>Joy</v>
          </cell>
          <cell r="K8" t="str">
            <v>Friday and Tuesday// Rajni Next (14/11) Upgrade to Elations and No Heliconia and BOP // Send Rajni and Guldawari next (26/12)(26/12) No Charm (25/02) Sprya Daisy or Guldawari Tom (03/04) Send any from Guldawari/Rajnior Lily (06/04) No Flowers till 28th (17/11) Send from Orienta/ Daisy or Rajni tom (21/12) Send Replacement tom (01/03). skip tomorrow (25/04)</v>
          </cell>
          <cell r="L8" t="str">
            <v xml:space="preserve">HELICONIA n BOP n GERBERA </v>
          </cell>
          <cell r="M8" t="str">
            <v>No Yel/Wht/Red in Glad and Guldawari</v>
          </cell>
          <cell r="N8" t="str">
            <v>2  del of this cycle   -  1-cycles pmnt   Pending - Collect 1950</v>
          </cell>
          <cell r="O8" t="str">
            <v>P Asiatic ( 15 inch ) 4     Grass</v>
          </cell>
          <cell r="P8" t="str">
            <v>R n W Car ( 14 Inch ) 22     FF Sachet + Grass</v>
          </cell>
          <cell r="Q8" t="str">
            <v>Pur n P Eustoma ( 14 Inch ) 4     FF Sachet + Grass</v>
          </cell>
          <cell r="R8" t="str">
            <v>P n Y Spray Daisy ( 14 Inch ) 7     FF Sachet + Grass</v>
          </cell>
          <cell r="S8" t="str">
            <v>Mix Car 22     FF sachet + Grass</v>
          </cell>
          <cell r="T8" t="str">
            <v>O Asiatic ( 14 Inch ) 4     Grass</v>
          </cell>
        </row>
        <row r="9">
          <cell r="A9">
            <v>3301</v>
          </cell>
          <cell r="B9" t="str">
            <v>Akanksha -- Orchid Petal</v>
          </cell>
          <cell r="C9">
            <v>9953302209</v>
          </cell>
          <cell r="D9" t="str">
            <v>T-15/401, Orchid Petals</v>
          </cell>
          <cell r="E9" t="str">
            <v>Sohna Road 1</v>
          </cell>
          <cell r="F9" t="str">
            <v>Friday</v>
          </cell>
          <cell r="G9" t="str">
            <v>4 PM to 7 PM</v>
          </cell>
          <cell r="H9">
            <v>1950</v>
          </cell>
          <cell r="I9">
            <v>487.5</v>
          </cell>
          <cell r="J9" t="str">
            <v>Joy</v>
          </cell>
          <cell r="K9" t="str">
            <v>Paytm From Akanksha Jain// Skip 1 week (17/05) HDTNP (12/06)</v>
          </cell>
          <cell r="N9" t="str">
            <v>3  del of this cycle   -  0-cycles pmnt   Completed - Collect 0</v>
          </cell>
          <cell r="O9" t="e">
            <v>#N/A</v>
          </cell>
          <cell r="P9" t="str">
            <v>O Asiatic ( 15 Inch ) 4     Grass</v>
          </cell>
          <cell r="Q9" t="str">
            <v>P n W Spray Daisy ( 14 Inch ) 7     FF Sachet + Grass</v>
          </cell>
          <cell r="R9" t="e">
            <v>#N/A</v>
          </cell>
          <cell r="S9" t="str">
            <v>P n W Glad ( 14 Inch ) 22     Grass</v>
          </cell>
          <cell r="T9" t="str">
            <v>Pur n P Car ( 14 Inch ) 22     FF Sachet + Grass</v>
          </cell>
        </row>
        <row r="10">
          <cell r="A10">
            <v>1994</v>
          </cell>
          <cell r="B10" t="str">
            <v>M P Bezbaruah</v>
          </cell>
          <cell r="C10">
            <v>9810623627</v>
          </cell>
          <cell r="D10" t="str">
            <v>323, Deerwood Chase, Sector 50</v>
          </cell>
          <cell r="E10" t="str">
            <v>Nirvana Country</v>
          </cell>
          <cell r="F10" t="str">
            <v>Friday</v>
          </cell>
          <cell r="G10" t="str">
            <v>9 AM - 12 PM</v>
          </cell>
          <cell r="H10">
            <v>999</v>
          </cell>
          <cell r="I10">
            <v>249.75</v>
          </cell>
          <cell r="J10" t="str">
            <v>Delight</v>
          </cell>
          <cell r="K10" t="str">
            <v>Send car on Thursday (05/06) Skip 2 week (18/04) No Rajni till Sep (10/07)</v>
          </cell>
          <cell r="M10" t="str">
            <v>No Rajni till sep(10/07)</v>
          </cell>
          <cell r="N10" t="str">
            <v>4  del of this cycle   -  0-cycles pmnt   Completed - Collect 0</v>
          </cell>
          <cell r="O10" t="str">
            <v>P n W Glad ( 16 Inch) 9     Grass</v>
          </cell>
          <cell r="P10" t="str">
            <v>P Asiatic ( 15 Inch ) 2     Grass</v>
          </cell>
          <cell r="Q10" t="str">
            <v>P n W Car ( 14 Inch ) 9     Grass</v>
          </cell>
          <cell r="R10" t="str">
            <v>Sunflower ( 12 Inch ) 2     FF Sachet + Grass</v>
          </cell>
          <cell r="S10" t="str">
            <v xml:space="preserve">P Spray Daisy ( 14 Inch ) 3    FF Sachet + Grass </v>
          </cell>
          <cell r="T10" t="str">
            <v>P n W Glad ( 14 Inch ) 9     Grass</v>
          </cell>
        </row>
        <row r="11">
          <cell r="A11">
            <v>1630</v>
          </cell>
          <cell r="B11" t="str">
            <v>Nikhil Ranganathan-- Evening Only</v>
          </cell>
          <cell r="C11">
            <v>9910184448</v>
          </cell>
          <cell r="D11" t="str">
            <v>24/7, Primrose Vatika</v>
          </cell>
          <cell r="E11" t="str">
            <v>Sohna Road 1</v>
          </cell>
          <cell r="F11" t="str">
            <v>Friday</v>
          </cell>
          <cell r="G11" t="str">
            <v>4 Pm to 7 PM</v>
          </cell>
          <cell r="H11">
            <v>1450</v>
          </cell>
          <cell r="I11">
            <v>362.5</v>
          </cell>
          <cell r="J11" t="str">
            <v>Bliss</v>
          </cell>
          <cell r="K11" t="str">
            <v>Friday n Monday// Holy Change(16/03) Orchids this week(05/06) Do Not Count last Delivery(13/08) Skip 1 week (16/10) Skip 1 week (22/12) Received one more payment of 2900 today (07/01) Hold n start from 31st Mar (12/03) Monday n Friday // Send Flower food next (24/06) Skip tom Del (12/10) Skip Friday Delivery (17/10) Change to Bliss (13/12) Skip 2 week (09/01) Skip 1 week (22/02) Skip 8th Del (01/03) In Pooja's Account (01/07) Skip 1 week (09/7) Skip 1 week (14/08) Skip 1 week (27.10) Skip 2 weeks (04/06) Skip 1 week (22/01) Skip 1 week (25/03) Send vase tom (27/04)</v>
          </cell>
          <cell r="N11" t="str">
            <v>2  del of this cycle   -  0-cycles pmnt   Completed - Collect 0</v>
          </cell>
          <cell r="O11" t="str">
            <v>Sunflower ( 15 inch ) 4     Grass</v>
          </cell>
          <cell r="P11" t="str">
            <v>O Asiatic ( 15 Inch ) 3     Grass</v>
          </cell>
          <cell r="Q11" t="str">
            <v>P n W Glad ( 14 Inch ) 16     Grass</v>
          </cell>
          <cell r="R11" t="str">
            <v>P n Y Spray Daisy ( 14 Inch ) 5     FF Sachet + Grass</v>
          </cell>
          <cell r="S11" t="str">
            <v xml:space="preserve">R n P Car ( 14 Inch ) 16    FF Sachet + Grass </v>
          </cell>
          <cell r="T11" t="str">
            <v>Pur Eustoma ( 12 Inch ) 3     FF sachet + Grass</v>
          </cell>
        </row>
        <row r="12">
          <cell r="A12" t="str">
            <v>B56276</v>
          </cell>
          <cell r="B12" t="str">
            <v>Parul Mahajan</v>
          </cell>
          <cell r="C12">
            <v>9560889949</v>
          </cell>
          <cell r="D12" t="str">
            <v xml:space="preserve">T-5/1002, Vipul Greens
</v>
          </cell>
          <cell r="E12" t="str">
            <v>Sohna Road 2</v>
          </cell>
          <cell r="F12" t="str">
            <v>Friday</v>
          </cell>
          <cell r="G12" t="str">
            <v>9 AM - 12 PM</v>
          </cell>
          <cell r="H12">
            <v>900</v>
          </cell>
          <cell r="I12">
            <v>900</v>
          </cell>
          <cell r="J12" t="str">
            <v>Bouquet</v>
          </cell>
          <cell r="K12" t="str">
            <v>From Divya Vipul Greens// 6 Asiatic // Happy Anniversary Ankush and Parul. Wishing you forever happiness ❤️
Lots of love..
Hum Paanch</v>
          </cell>
          <cell r="N12" t="str">
            <v>1  del of this cycle   -  0-cycles pmnt   Completed - Collect 0</v>
          </cell>
          <cell r="O12" t="e">
            <v>#N/A</v>
          </cell>
          <cell r="P12" t="e">
            <v>#N/A</v>
          </cell>
          <cell r="Q12" t="e">
            <v>#N/A</v>
          </cell>
          <cell r="R12" t="e">
            <v>#N/A</v>
          </cell>
          <cell r="S12" t="e">
            <v>#N/A</v>
          </cell>
          <cell r="T12" t="str">
            <v xml:space="preserve">P Asiatic  6 Walkin Tissue Wrap Message   </v>
          </cell>
        </row>
        <row r="13">
          <cell r="A13">
            <v>1477</v>
          </cell>
          <cell r="B13" t="str">
            <v>Priyanka Agarwal</v>
          </cell>
          <cell r="C13">
            <v>9810745341</v>
          </cell>
          <cell r="D13" t="str">
            <v>624-A, Fairway East, Sector 65</v>
          </cell>
          <cell r="E13" t="str">
            <v>Badshahpur</v>
          </cell>
          <cell r="F13" t="str">
            <v>Friday</v>
          </cell>
          <cell r="G13" t="str">
            <v>9 AM to 2 PM</v>
          </cell>
          <cell r="H13">
            <v>1600</v>
          </cell>
          <cell r="I13">
            <v>200</v>
          </cell>
          <cell r="J13" t="str">
            <v>Bloom</v>
          </cell>
          <cell r="K13" t="str">
            <v>Monday and Friday//Tuesday and Saturday//Change to 950 pack and sned in evebing slot of Saturday and Tuesday(09/09) NO GERBERA(15/11) Need to check foe the payment(11/12) Sent replacement today(10/04) No Del between 22nd to 29th Apr(13/04) Star after 29th Apr(22/04) Hold after this cycxle(02/08) Today Flowesr returned (24/04) Now send after 18th (13/05) Hold n start from July (22/05) No Flowers till 16th Nov (13/11) Hold today and 10 Days (19/02) Skop monday Del (22/03) Pls skip coming del (05/06) Return today send next week (23/05) Today Returned (15/08) Tiday Returned agains (18/08) Hold due to non payment (06/10) Hold due to non payment (10/10) Hold due to non payment (09/02) HDTNP (13/03) HDTNP (22/05) HDTNP (25/05)</v>
          </cell>
          <cell r="N13" t="str">
            <v>6  del of this cycle   -  0-cycles pmnt   Completed - Collect 0</v>
          </cell>
          <cell r="O13" t="e">
            <v>#N/A</v>
          </cell>
          <cell r="P13" t="str">
            <v xml:space="preserve">Collect 1400 Carry Receipt Book Collect 1400 Carry Receipt Book Collect 1400 Carry Receipt Book </v>
          </cell>
          <cell r="Q13" t="str">
            <v>Mix Alstroemeria ( 12 Inch ) 7     FF Sachet + Grass</v>
          </cell>
          <cell r="R13" t="str">
            <v>Pur n P Car ( 14 Inch ) 7     FF Sachet + Grass</v>
          </cell>
          <cell r="S13" t="str">
            <v>P Spray Daisy ( 14 Inch ) 2     FF Sachet + Grass</v>
          </cell>
          <cell r="T13" t="str">
            <v>Rajni ( 14 Inch ) 7     Grass</v>
          </cell>
        </row>
        <row r="14">
          <cell r="A14">
            <v>2123</v>
          </cell>
          <cell r="B14" t="str">
            <v>Meenu Singh</v>
          </cell>
          <cell r="C14">
            <v>9999982765</v>
          </cell>
          <cell r="D14" t="str">
            <v xml:space="preserve">FLAT NO 16 A, TOWER 2, FAIRWAY EAST, M3M GOLF ESTATE
</v>
          </cell>
          <cell r="E14" t="str">
            <v>Badshahpur</v>
          </cell>
          <cell r="F14" t="str">
            <v>Friday</v>
          </cell>
          <cell r="G14" t="str">
            <v>9 AM - 12 PM</v>
          </cell>
          <cell r="H14">
            <v>3750</v>
          </cell>
          <cell r="I14">
            <v>937.5</v>
          </cell>
          <cell r="J14" t="str">
            <v>Savor</v>
          </cell>
          <cell r="K14" t="str">
            <v>Mix of 1 Less Flower with more number of flowers (01/07)  NO RAJNI (03/09) Skip 3 Weeks (08/04) Skip 2 week (10/06) Returned today (13/09) Sent Replacement today (07.10) Hold today (20/12) Returned today n hold till 6th Jan (27/12) Hold due to non payment (10/10) Skip 2 weeks (14/10) Skip 1 week (13/11) Hold due to non payment (26/12) Hold due to non payment (09/01) Hold due to non payment (16/01) Hold due to non payment (23/01) Hold due to non payment (06/02) Hold due to non payment (13/02)</v>
          </cell>
          <cell r="M14" t="str">
            <v>Diff Flowers n Combination</v>
          </cell>
          <cell r="N14" t="str">
            <v>2  del of this cycle   -  0-cycles pmnt   Completed - Collect 0</v>
          </cell>
          <cell r="O14" t="str">
            <v>P Asiatic ( 15 inch ) 4 P n W Car ( 14 inch ) 21   FF Sachet + Grass</v>
          </cell>
          <cell r="P14" t="str">
            <v>P n W Spray Daisy ( 15 Inch ) 5 P n W Glad ( 14 Inch ) 21   2 Gypsola + FF Sachet</v>
          </cell>
          <cell r="Q14" t="str">
            <v>Sunflower ( 12 Inch ) 5 Mix Alstroemeria ( 12 Inch ) 20   2 Limonium + FF Sachet</v>
          </cell>
          <cell r="R14" t="str">
            <v>Pur n P Eustoma ( 14 Inch ) 4 Pur n P Car ( 14 Inch ) 16   2 Gypsola + FF Sachet</v>
          </cell>
          <cell r="S14" t="str">
            <v>O Asiatic ( 14 Inch ) 4 P n W Glad ( 14 Inch ) 21   Grass</v>
          </cell>
          <cell r="T14" t="str">
            <v xml:space="preserve">G n Y Spray Daisy ( 14 Inch ) 5 Rajni ( 14 Inch ) 20   2 Limonium </v>
          </cell>
        </row>
        <row r="15">
          <cell r="A15">
            <v>3375</v>
          </cell>
          <cell r="B15" t="str">
            <v>Saniya Anand</v>
          </cell>
          <cell r="C15">
            <v>9810955188</v>
          </cell>
          <cell r="D15" t="str">
            <v>D-1102, Caritriona Ambience Island Near Ambiance Mall</v>
          </cell>
          <cell r="E15" t="str">
            <v>M G Road</v>
          </cell>
          <cell r="F15" t="str">
            <v>Friday</v>
          </cell>
          <cell r="G15" t="str">
            <v>4 Pm to 7 PM</v>
          </cell>
          <cell r="H15">
            <v>1950</v>
          </cell>
          <cell r="I15">
            <v>487.5</v>
          </cell>
          <cell r="J15" t="str">
            <v>Joy</v>
          </cell>
          <cell r="N15" t="str">
            <v>4  del of this cycle   -  0-cycles pmnt   Completed - Collect 0</v>
          </cell>
          <cell r="O15" t="e">
            <v>#N/A</v>
          </cell>
          <cell r="P15" t="e">
            <v>#N/A</v>
          </cell>
          <cell r="Q15" t="str">
            <v>Shd Pur n P Car ( 14 Inch ) 22     FF Sachet + Grass</v>
          </cell>
          <cell r="R15" t="str">
            <v>P Asiatic ( 14 Inch ) 4     Grass</v>
          </cell>
          <cell r="S15" t="str">
            <v>Rajni 22     Grass</v>
          </cell>
          <cell r="T15" t="str">
            <v>P n W Glad ( 14 Inch ) 22     Grass</v>
          </cell>
        </row>
        <row r="16">
          <cell r="A16">
            <v>781</v>
          </cell>
          <cell r="B16" t="str">
            <v>Maj. Gen. KN Singh</v>
          </cell>
          <cell r="C16">
            <v>9971391417</v>
          </cell>
          <cell r="D16" t="str">
            <v>GH 4/5C Gurgaon One Apartments- Sectr 22</v>
          </cell>
          <cell r="E16" t="str">
            <v>Old Gurgaon</v>
          </cell>
          <cell r="F16" t="str">
            <v>Friday</v>
          </cell>
          <cell r="G16" t="str">
            <v>4 PM to 7PM</v>
          </cell>
          <cell r="H16">
            <v>1450</v>
          </cell>
          <cell r="I16">
            <v>362.5</v>
          </cell>
          <cell r="J16" t="str">
            <v>Bliss</v>
          </cell>
          <cell r="K16" t="str">
            <v>Tuesday and friday// NO ORCHIDS(02/09) Skip 1 week(04/08) Skip 1 week(22/09) Skip 1 week (15/12) Today hold (13/01) Skip 2 weeks (23/01) Skip 1 week (30/03) Skip 1 week (13/04) Shift to Bliss (27/04) Send replacement tom (13/05) Skip 1 week (24/05) Skip 1 week (25/07) Skip 1 week (10/08) Skip 2 week (08/01) Skip 17th and send on 19th (15/05) Skip 2 week (09/01) Skip 1 week (11/03) skip 2 week (04/12) Send tom (06/02) hOLD TODAY (08/05)</v>
          </cell>
          <cell r="N16" t="str">
            <v>4  del of this cycle   -  0-cycles pmnt   Completed - Collect 0</v>
          </cell>
          <cell r="O16" t="str">
            <v>P n W Glad ( 16 Inch) 16     Grass</v>
          </cell>
          <cell r="P16" t="str">
            <v>Mix Alstroemeria ( 12 Inch ) 16     FF Sachet + Grass</v>
          </cell>
          <cell r="Q16" t="str">
            <v>P Asiatic ( 14 Inch ) 3     Grass</v>
          </cell>
          <cell r="R16" t="str">
            <v>P n Y Spray Daisy ( 14 Inch ) 5     FF Sachet + Grass</v>
          </cell>
          <cell r="S16" t="str">
            <v xml:space="preserve">R n P Car ( 14 Inch ) 16    FF Sachet + Grass </v>
          </cell>
          <cell r="T16" t="str">
            <v>Mix Alstroemeria 16     Grass</v>
          </cell>
        </row>
        <row r="17">
          <cell r="A17">
            <v>2260</v>
          </cell>
          <cell r="B17" t="str">
            <v>Madhu Chopra</v>
          </cell>
          <cell r="C17">
            <v>9810270218</v>
          </cell>
          <cell r="D17" t="str">
            <v>Anand Farm, Sri Krishna Chowk, Sec 22, Dundahera</v>
          </cell>
          <cell r="E17" t="str">
            <v>Old Gurgaon</v>
          </cell>
          <cell r="F17" t="str">
            <v>Friday</v>
          </cell>
          <cell r="G17" t="str">
            <v>4 Pm to 7 PM</v>
          </cell>
          <cell r="H17">
            <v>4750</v>
          </cell>
          <cell r="I17">
            <v>1187.5</v>
          </cell>
          <cell r="J17" t="str">
            <v>Enchantment</v>
          </cell>
          <cell r="K17" t="str">
            <v>NO ROSE// From Albi Wife// Send replacement of Glad n Sunflower tom (20/04)  This week on Thursday (23/10) Anthurium/Lily and bop this week (23/10) Send 1 del tom n hld (11/06) Send on wednsday -- send 5 Oriental + Rajni for 2 Vase + Orchid for 1 Vase + 10 Stem 1 ft Bamboo in Vase with Ribbon (26/10) Hold till 7th Jan (19/12) Pls Send tom (06/02) Sent one del tiday instead of tim (26/02)</v>
          </cell>
          <cell r="L17" t="str">
            <v>ROSE</v>
          </cell>
          <cell r="N17" t="str">
            <v>4  del of this cycle   -  0-cycles pmnt   In Process - Collect 0</v>
          </cell>
          <cell r="O17" t="str">
            <v>W Oriental + G n Y Spray Daisy  3 + 5 P n W Car + Rajni 12 + 12 Eustoma 4 5 Areca Palm + 3 Gypsola + 3 Limonium</v>
          </cell>
          <cell r="P17" t="str">
            <v>P oriental + BOP 3 + 3 R n W Car ( 14 Inch ) + Mix Alstroemeria ( 12 Inch ) 12 + 12 Y Orchid 5 5 Areca Palm + 3 Gypsola + 3 Limonium</v>
          </cell>
          <cell r="Q17" t="str">
            <v>W Oriental + Mix Anthurium 3 + 4 P n W Glad + P n W Car 12 + 12 G Orchid 5 5 Areca palm + 3 Gypsola + 3 Limonium</v>
          </cell>
          <cell r="R17" t="str">
            <v>P Oriental + Mix Eustoma 3 + 4 Mix Alstroemeria + Rajni 12 + 12 BOP 4 5 Areca Palm + 3 Gypaols + 3 Limonium</v>
          </cell>
          <cell r="S17" t="str">
            <v>W oriental + Pur n P Eustoma 3 + 4 Pur n P Car + Rajni  12 + 12 Mix Anthurium  4 5 Areca palm + 3 Gypsola + 3 Limonium</v>
          </cell>
          <cell r="T17" t="str">
            <v>P Oriental + Spray Daisy  3 + 5 P n W Car + Rajni  12 + 12  Mix Alstromeria 12 5 Areca palm + 3 Gypsola + 3 Limonium</v>
          </cell>
        </row>
        <row r="18">
          <cell r="A18">
            <v>2803</v>
          </cell>
          <cell r="B18" t="str">
            <v>Priyanka Dey</v>
          </cell>
          <cell r="C18">
            <v>9007706833</v>
          </cell>
          <cell r="D18" t="str">
            <v>D/1003, 10th Floor, Emaar Palm Heights, Sec 77</v>
          </cell>
          <cell r="E18" t="str">
            <v>Badshahpur</v>
          </cell>
          <cell r="F18" t="str">
            <v>Friday</v>
          </cell>
          <cell r="G18" t="str">
            <v>After 5 PM</v>
          </cell>
          <cell r="H18">
            <v>1450</v>
          </cell>
          <cell r="I18">
            <v>362.5</v>
          </cell>
          <cell r="J18" t="str">
            <v>Delight</v>
          </cell>
          <cell r="K18" t="str">
            <v>Lily Next (28/07) Returned and hold (15/08) Four plus 1 Pack // Today returned (16/05)</v>
          </cell>
          <cell r="N18" t="str">
            <v>1  del of this cycle   -  1-cycles pmnt   Pending - Collect 1450</v>
          </cell>
          <cell r="O18" t="str">
            <v>R n W Car ( 14 inch ) 16     FF Sachet + Grass</v>
          </cell>
          <cell r="P18" t="str">
            <v>Mix Alstroemeria ( 12 Inch ) 16     FF Sachet + Grass</v>
          </cell>
          <cell r="Q18" t="str">
            <v>P n W Glad ( 14 Inch ) 16     Grass</v>
          </cell>
          <cell r="R18" t="str">
            <v>Y Asiatic ( 14 Inch ) 3     Grass</v>
          </cell>
          <cell r="S18" t="str">
            <v xml:space="preserve">Pur Eustom ( 12 Inch ) 3    FF Sachet + Grass </v>
          </cell>
          <cell r="T18" t="str">
            <v>Alstromeria 16     FF sachet + Grass</v>
          </cell>
        </row>
        <row r="19">
          <cell r="A19">
            <v>3098</v>
          </cell>
          <cell r="B19" t="str">
            <v>Jayati Dhingra</v>
          </cell>
          <cell r="C19">
            <v>9953158378</v>
          </cell>
          <cell r="D19" t="str">
            <v>3001, 30th Floor, M3M Lattitude, Sec 65</v>
          </cell>
          <cell r="E19" t="str">
            <v>Badshahpur</v>
          </cell>
          <cell r="F19" t="str">
            <v>Friday</v>
          </cell>
          <cell r="G19" t="str">
            <v>9 AM - 12 PM</v>
          </cell>
          <cell r="H19">
            <v>999</v>
          </cell>
          <cell r="I19">
            <v>249.75</v>
          </cell>
          <cell r="J19" t="str">
            <v>Delight</v>
          </cell>
          <cell r="K19" t="str">
            <v>No Rajni for some time being (31/10) Skip 1 week (21/01) Skip 1 week (23/02) Send tom (26/02) Skip 1 week (21/05) Returned Today (29/05)</v>
          </cell>
          <cell r="N19" t="str">
            <v>4  del of this cycle   -  0-cycles pmnt   CompletedNO COLLECTION-we have extra money - Collect -1</v>
          </cell>
          <cell r="O19" t="e">
            <v>#N/A</v>
          </cell>
          <cell r="P19" t="str">
            <v>R n W Car ( 14 Inch ) 9     FF Sachet + Grass</v>
          </cell>
          <cell r="Q19" t="str">
            <v>P Asiatic ( 14 Inch ) 2     Grass</v>
          </cell>
          <cell r="R19" t="e">
            <v>#N/A</v>
          </cell>
          <cell r="S19" t="e">
            <v>#N/A</v>
          </cell>
          <cell r="T19" t="str">
            <v>P n W Glad ( 14 Inch ) 9     Grass</v>
          </cell>
        </row>
        <row r="20">
          <cell r="A20">
            <v>296</v>
          </cell>
          <cell r="B20" t="str">
            <v>Madhu Thapliyal</v>
          </cell>
          <cell r="C20">
            <v>9999364696</v>
          </cell>
          <cell r="D20" t="str">
            <v>2/201, Sovereign, Vatika City</v>
          </cell>
          <cell r="G20" t="str">
            <v>Replacement</v>
          </cell>
          <cell r="H20" t="str">
            <v>Replacement</v>
          </cell>
          <cell r="I20" t="str">
            <v>Replacement</v>
          </cell>
          <cell r="J20" t="str">
            <v>Replacement</v>
          </cell>
          <cell r="K20" t="str">
            <v>Replacement</v>
          </cell>
          <cell r="L20" t="str">
            <v>Replacement</v>
          </cell>
          <cell r="M20" t="str">
            <v>Replacement</v>
          </cell>
          <cell r="N20" t="str">
            <v>Pls Collect Old Flowers</v>
          </cell>
          <cell r="T20" t="str">
            <v xml:space="preserve">Mix Spray Daisy 5     </v>
          </cell>
        </row>
        <row r="21">
          <cell r="A21" t="str">
            <v>G-00011</v>
          </cell>
          <cell r="B21" t="str">
            <v>Nainsee Garg</v>
          </cell>
          <cell r="C21">
            <v>9810561802</v>
          </cell>
          <cell r="D21" t="str">
            <v>A67 Rosewood City Sector 49 Gurgaon 122001</v>
          </cell>
          <cell r="E21" t="str">
            <v>Nirvana Country</v>
          </cell>
          <cell r="F21" t="str">
            <v>Friday</v>
          </cell>
          <cell r="G21" t="str">
            <v>9 AM to 2 PM</v>
          </cell>
          <cell r="H21">
            <v>2350</v>
          </cell>
          <cell r="I21">
            <v>293.75</v>
          </cell>
          <cell r="J21" t="str">
            <v>Felicity</v>
          </cell>
          <cell r="K21" t="str">
            <v>No Glad (15/-5) Skip tom n sned next del on Sunday (29/05) Skip 1 week (03/07) Skip 1 week (12/11) Send tom (01/04) Sent one del today (09/04) Skip 1 week (11/05) Skip this cdel n send on Sunday (12/06)</v>
          </cell>
          <cell r="L21" t="str">
            <v>Glad</v>
          </cell>
          <cell r="N21" t="str">
            <v>7  del of this cycle   -  0-cycles pmnt   Completed - Collect 0</v>
          </cell>
          <cell r="O21" t="str">
            <v>P n Y Spray Daisy ( 15 inch ) 4 Glad 11   FF Sachet + Grass</v>
          </cell>
          <cell r="P21" t="str">
            <v>P Asiatic ( 15 Inch ) 2 Mix Alstroemeria ( 12 Inch )  20   Grass</v>
          </cell>
          <cell r="Q21" t="str">
            <v>R n W Car ( 14 Inch ) 11     FF Sachet + Grass</v>
          </cell>
          <cell r="R21" t="e">
            <v>#N/A</v>
          </cell>
          <cell r="S21" t="str">
            <v>P Asiatic ( 14 Inch ) 2     Grass</v>
          </cell>
          <cell r="T21" t="str">
            <v>Y Spray Daisy ( 14 Inch ) 3     FF sachet + Grass</v>
          </cell>
        </row>
        <row r="22">
          <cell r="A22">
            <v>3078</v>
          </cell>
          <cell r="B22" t="str">
            <v>Jayati Dhingra</v>
          </cell>
          <cell r="C22">
            <v>9953158378</v>
          </cell>
          <cell r="D22" t="str">
            <v>3001, 30th Floor, M3M Lattitude, Sec 65</v>
          </cell>
          <cell r="E22" t="str">
            <v>Badshahpur</v>
          </cell>
          <cell r="F22" t="str">
            <v>Friday</v>
          </cell>
          <cell r="G22" t="str">
            <v>9 AM - 12 PM</v>
          </cell>
          <cell r="H22">
            <v>1950</v>
          </cell>
          <cell r="I22">
            <v>487.5</v>
          </cell>
          <cell r="J22" t="str">
            <v>Joy</v>
          </cell>
          <cell r="K22" t="str">
            <v>No Rajni for some time being (31/10) Skip 1 week (17/12) Skip 1 week (21/01) Skip 1 week (12/02) Skip 1 week (23/02) Send tom (26/02) Replacement tom (16/05) Skip 1 week (21/05) Returned today (29/05)</v>
          </cell>
          <cell r="M22" t="str">
            <v>Check before sending (21/05)</v>
          </cell>
          <cell r="N22" t="str">
            <v>2  del of this cycle   -  0-cycles pmnt   Completed - Collect 0</v>
          </cell>
          <cell r="O22" t="e">
            <v>#N/A</v>
          </cell>
          <cell r="P22" t="str">
            <v>Pur Eustoma 2 Mix Alstroemeria ( 12 Inch )  11   FF Sachet + Grass</v>
          </cell>
          <cell r="Q22" t="str">
            <v>W Asiatic ( 14 Inch ) 2 P n W Glad ( 14 Inch ) 11   Grass</v>
          </cell>
          <cell r="R22" t="e">
            <v>#N/A</v>
          </cell>
          <cell r="S22" t="e">
            <v>#N/A</v>
          </cell>
          <cell r="T22" t="str">
            <v>P Asiatic ( 14 Inch ) 2 Alstomeria( 12 Inch ) 11   Grass</v>
          </cell>
        </row>
        <row r="23">
          <cell r="A23">
            <v>2713</v>
          </cell>
          <cell r="B23" t="str">
            <v>Priyanka Dahiya</v>
          </cell>
          <cell r="C23">
            <v>9818543931</v>
          </cell>
          <cell r="D23" t="str">
            <v>D-804, Ambience Creacions, Rao Gajraj Singh Marg, Sec 22</v>
          </cell>
          <cell r="E23" t="str">
            <v>Old Gurgaon</v>
          </cell>
          <cell r="F23" t="str">
            <v>Friday</v>
          </cell>
          <cell r="G23" t="str">
            <v>4 Pm to 7 PM</v>
          </cell>
          <cell r="H23">
            <v>1450</v>
          </cell>
          <cell r="I23">
            <v>362.5</v>
          </cell>
          <cell r="J23" t="str">
            <v>Bliss</v>
          </cell>
          <cell r="K23" t="str">
            <v>Today Hold and next week too (06/06) Only seasonals (18/07) Paytm From Rahul Chandra (01/11) Pls Send tom (06/02) Skip 2 week (31/05)</v>
          </cell>
          <cell r="M23" t="str">
            <v>Seasonals Only</v>
          </cell>
          <cell r="N23" t="str">
            <v>2  del of this cycle   -  0-cycles pmnt   CompletedNO COLLECTION-we have extra money - Collect -1</v>
          </cell>
          <cell r="O23" t="str">
            <v>Mix Glad 9     Grass</v>
          </cell>
          <cell r="P23" t="str">
            <v>R n W Car ( 14 Inch ) 9     FF Sachet + Grass</v>
          </cell>
          <cell r="Q23" t="e">
            <v>#N/A</v>
          </cell>
          <cell r="R23" t="e">
            <v>#N/A</v>
          </cell>
          <cell r="S23" t="str">
            <v xml:space="preserve">P Asiatic ( 14 Inch ) 3  ensure collection  Pese Na  Mile To Call Karna  Grass </v>
          </cell>
          <cell r="T23" t="str">
            <v>P n W Glad ( 14 Inch ) 16     Grass</v>
          </cell>
        </row>
        <row r="24">
          <cell r="A24">
            <v>2985</v>
          </cell>
          <cell r="B24" t="str">
            <v>Leena -- Orchid Petals</v>
          </cell>
          <cell r="C24">
            <v>9810768350</v>
          </cell>
          <cell r="D24" t="str">
            <v>T-24/1103, Orchid Petals</v>
          </cell>
          <cell r="E24" t="str">
            <v>Sohna Road 1</v>
          </cell>
          <cell r="F24" t="str">
            <v>Friday</v>
          </cell>
          <cell r="G24" t="str">
            <v>9 AM - 12 PM</v>
          </cell>
          <cell r="H24">
            <v>1450</v>
          </cell>
          <cell r="I24">
            <v>362.5</v>
          </cell>
          <cell r="J24" t="str">
            <v>Bliss</v>
          </cell>
          <cell r="K24" t="str">
            <v>1st del tom and then every Friday // Upgrade to Bliss (08/01) Hold today (06/02) Skip Friday and send on Sunday this week (20/05)</v>
          </cell>
          <cell r="N24" t="str">
            <v>4  del of this cycle   -  0-cycles pmnt   Completed - Collect 0</v>
          </cell>
          <cell r="O24" t="e">
            <v>#N/A</v>
          </cell>
          <cell r="P24" t="str">
            <v>R n W Car ( 14 Inch ) 16     FF Sachet + Grass</v>
          </cell>
          <cell r="Q24" t="str">
            <v>O Asiatic ( 14 Inch ) 3     Grass</v>
          </cell>
          <cell r="R24" t="str">
            <v>P n W Glad ( 14 Inch ) 16     Grass</v>
          </cell>
          <cell r="S24" t="str">
            <v xml:space="preserve">Pur Eustom ( 12 Inch ) 3    FF Sachet + Grass </v>
          </cell>
          <cell r="T24" t="str">
            <v>P n Y Spray Daisy ( 14 Inch ) 5     FF sachet + Grass</v>
          </cell>
        </row>
        <row r="25">
          <cell r="A25">
            <v>48</v>
          </cell>
          <cell r="B25" t="str">
            <v>Ms. Namrata Agarwal</v>
          </cell>
          <cell r="C25">
            <v>9873660272</v>
          </cell>
          <cell r="D25" t="str">
            <v>18/1101,Orchid Petals, Sohna Road</v>
          </cell>
          <cell r="E25" t="str">
            <v>Sohna Road 1</v>
          </cell>
          <cell r="F25" t="str">
            <v>Friday</v>
          </cell>
          <cell r="G25" t="str">
            <v>9 AM - 12 PM</v>
          </cell>
          <cell r="H25">
            <v>1950</v>
          </cell>
          <cell r="I25">
            <v>487.5</v>
          </cell>
          <cell r="J25" t="str">
            <v>Joy</v>
          </cell>
          <cell r="K25" t="str">
            <v>More Lilies n Orchids (20/05), NO ORCHID(12/10)  NO HELICONIA and send vase Next for 200(01/02) Send 1 vase for 200 tom(05/02)NO BOP(13/03) Paytm from Vipul Agarwal (09/06) Skip 3 weeks after current cycle (10/06) Paytm from Vipul Agarwal (14/07) Do not count last del (09/09) Skip 2 week (29/05) Today Returned (20/06) Hold due to non payment (16/01) Hold due to non payment (23/01) HDTNP (27/02) HDTNP (06/03) HDTNP (13/03) Skip 3 week (19/04)</v>
          </cell>
          <cell r="N25" t="str">
            <v>2  del of this cycle   -  1-cycles pmnt   Pending - Collect 1950</v>
          </cell>
          <cell r="O25" t="str">
            <v>P n W Car ( 14 inch ) 22     FF Sachet + Grass</v>
          </cell>
          <cell r="P25" t="str">
            <v>O Asiatic ( 15 Inch ) 4     Grass</v>
          </cell>
          <cell r="Q25" t="str">
            <v>P n W Glad ( 14 Inch ) 22     Grass</v>
          </cell>
          <cell r="R25" t="str">
            <v>Mix Alstroemeria ( 12 Inch ) 22     FF Sachet + Grass</v>
          </cell>
          <cell r="S25" t="str">
            <v>Sunflower ( 12 Inch ) 5     FF sachet + Grass</v>
          </cell>
          <cell r="T25" t="str">
            <v>Pur n P Car ( 14 Inch ) 22     FF Sachet + Grass</v>
          </cell>
        </row>
        <row r="26">
          <cell r="A26">
            <v>1433</v>
          </cell>
          <cell r="B26" t="str">
            <v>Navritu Kaushal Rai-- After 5:30 PM</v>
          </cell>
          <cell r="C26">
            <v>9818603355</v>
          </cell>
          <cell r="D26" t="str">
            <v>H. No. 3403, 1st Floor, Sec 23</v>
          </cell>
          <cell r="E26" t="str">
            <v>Old Gurgaon</v>
          </cell>
          <cell r="F26" t="str">
            <v>Friday</v>
          </cell>
          <cell r="G26" t="str">
            <v>4 PM to 7PM</v>
          </cell>
          <cell r="H26">
            <v>999</v>
          </cell>
          <cell r="I26">
            <v>249.75</v>
          </cell>
          <cell r="J26" t="str">
            <v>Delight</v>
          </cell>
          <cell r="K26" t="str">
            <v>Friday and Monday//Monday and Thursday// NO WHITE FLOWERS OTHER THAN RAJNI(10/04) BOP//Glad ( No White)// Orchid//Spray Daisy//Carnations//Rajni-- No white flower other than Rajni(26/07) This cycle-- BOP/Spray Daisy/Car/Glad/Rose(29/08) Hold today (28/10) NO ROSE-- NO WHITE COLOR(03/12) NO ROSE n GERBERA ---- And send 3 stems extra in next delivery (30/12) Now Delight (15/02) Do Not count last Del (17/04) Send tom ()6/02) Send Replacement tom (18/04)</v>
          </cell>
          <cell r="L26" t="str">
            <v>Lily</v>
          </cell>
          <cell r="M26" t="str">
            <v>No White</v>
          </cell>
          <cell r="N26" t="str">
            <v>4  del of this cycle   -  0-cycles pmnt   Completed - Collect 0</v>
          </cell>
          <cell r="O26" t="str">
            <v>Sunflower ( 15 inch ) 2     Grass</v>
          </cell>
          <cell r="P26" t="str">
            <v>P n W Glad ( 14 Inch ) 9     Grass</v>
          </cell>
          <cell r="Q26" t="str">
            <v>P Spray Daisy ( 14 Inch ) 3     FF Sachet + Grass</v>
          </cell>
          <cell r="R26" t="str">
            <v>Pur n P Car ( 14 Inch ) 9     FF Sachet + Grass</v>
          </cell>
          <cell r="S26" t="str">
            <v xml:space="preserve">Mix Alstroemeria ( 12 Inch ) 9    FF Sachet + Grass </v>
          </cell>
          <cell r="T26" t="str">
            <v>Pur Eustoma ( 12 Inch ) 2     FF aschet + Grass</v>
          </cell>
        </row>
        <row r="27">
          <cell r="A27">
            <v>87</v>
          </cell>
          <cell r="B27" t="str">
            <v>Deepak Kohli</v>
          </cell>
          <cell r="C27">
            <v>9716199110</v>
          </cell>
          <cell r="D27" t="str">
            <v>539/C, 4th Floor, H Block, Palam Vihar</v>
          </cell>
          <cell r="E27" t="str">
            <v>Old Gurgaon</v>
          </cell>
          <cell r="F27" t="str">
            <v>Friday</v>
          </cell>
          <cell r="G27" t="str">
            <v>4 PM to 7PM</v>
          </cell>
          <cell r="H27">
            <v>1450</v>
          </cell>
          <cell r="I27">
            <v>362.5</v>
          </cell>
          <cell r="J27" t="str">
            <v>Bliss</v>
          </cell>
          <cell r="K27" t="str">
            <v>Send 1 bunch Nargis From Amit n Pooja// Wish you a//Sending on 20th instaed of 21st,bcoz of Holi(18/03) Send 1 pack of FF(14/08) Time slot changed to Evening(18/09( Holy Change(16/03) Send tom (06/02)</v>
          </cell>
          <cell r="N27" t="str">
            <v>4  del of this cycle   -  0-cycles pmnt   In Process - Collect 0</v>
          </cell>
          <cell r="O27" t="str">
            <v>R n W Car ( 14 inch ) 16     FF Sachet + Grass</v>
          </cell>
          <cell r="P27" t="str">
            <v>O Asiatic ( 15 Inch ) 3     Grass</v>
          </cell>
          <cell r="Q27" t="str">
            <v>Pur n P Eustoma ( 14 Inch ) 3     FF Sachet + Grass</v>
          </cell>
          <cell r="R27" t="str">
            <v>P n Y Spray Daisy ( 14 Inch ) 5     FF Sachet + Grass</v>
          </cell>
          <cell r="S27" t="str">
            <v xml:space="preserve">Mix Car 16    Grass </v>
          </cell>
          <cell r="T27" t="str">
            <v>Asiatic 3     Grass</v>
          </cell>
        </row>
        <row r="28">
          <cell r="A28">
            <v>2775</v>
          </cell>
          <cell r="B28" t="str">
            <v>Sreeparna Ghosh</v>
          </cell>
          <cell r="C28">
            <v>9711590494</v>
          </cell>
          <cell r="D28" t="str">
            <v>H-701, Mapsko Mountville, Sec 79</v>
          </cell>
          <cell r="E28" t="str">
            <v>Badshahpur</v>
          </cell>
          <cell r="F28" t="str">
            <v>Friday</v>
          </cell>
          <cell r="G28" t="str">
            <v>4 PM to 7PM</v>
          </cell>
          <cell r="H28">
            <v>1950</v>
          </cell>
          <cell r="I28">
            <v>487.5</v>
          </cell>
          <cell r="J28" t="str">
            <v>Bliss</v>
          </cell>
          <cell r="K28" t="str">
            <v>Send 1 W Asiatic as replacement (30/08) Skip 1 week (06/09) Returned-send next week (03/10) Send replacement of Gerbera tom (02/12) Skip 1 week (20/12) Upgarde to Joy from next cycle and mixed (20/02) Upgrade to Joy and skip 1 week (05/03)</v>
          </cell>
          <cell r="M28" t="str">
            <v>Upgarde to Joy from next cycle and mixed (20/02)</v>
          </cell>
          <cell r="N28" t="str">
            <v>4  del of this cycle   -  0-cycles pmnt   Completed - Collect 0</v>
          </cell>
          <cell r="O28" t="str">
            <v>P n W Spray Daisy 4 P n W Car ( 14 inch ) 11   FF Sachet + Grass</v>
          </cell>
          <cell r="P28" t="str">
            <v>O Asiatic ( 15 Inch ) 2 Spray Carnation 10   Grass</v>
          </cell>
          <cell r="Q28" t="str">
            <v>Pur Eustom ( 14 Inch ) 2 P n W Glad ( 14 Inch ) 11   FF Sachet + Grass</v>
          </cell>
          <cell r="R28" t="str">
            <v>Sunflower ( 12 Inch ) 3 Mix Alstroemeria ( 12 Inch ) 11   FF Sachet + Grass</v>
          </cell>
          <cell r="S28" t="str">
            <v>P Asiatic ( 14 Inch ) 4     Grass</v>
          </cell>
          <cell r="T28" t="str">
            <v>Y Spray Daisy ( 14 Inch ) 4 Glad ( 14 Inch ) 11   FF Sachet + Grass</v>
          </cell>
        </row>
        <row r="29">
          <cell r="A29">
            <v>2385</v>
          </cell>
          <cell r="B29" t="str">
            <v>Vasanta Poddar</v>
          </cell>
          <cell r="C29">
            <v>9899170709</v>
          </cell>
          <cell r="D29" t="str">
            <v>S-64, 2nd Floor, Uppal Southend</v>
          </cell>
          <cell r="E29" t="str">
            <v>Sohna Road 1</v>
          </cell>
          <cell r="F29" t="str">
            <v>Friday</v>
          </cell>
          <cell r="G29" t="str">
            <v>9 AM - 12 PM</v>
          </cell>
          <cell r="H29">
            <v>1950</v>
          </cell>
          <cell r="I29">
            <v>487.5</v>
          </cell>
          <cell r="J29" t="str">
            <v>Joy</v>
          </cell>
          <cell r="K29" t="str">
            <v xml:space="preserve"> Skip 1 week (11/03) Skip 2 week (29/05) Sent 1 Del today (21/08) Send tom (06/02) Skip 1 week (19/02)</v>
          </cell>
          <cell r="L29" t="str">
            <v>ORCHID</v>
          </cell>
          <cell r="N29" t="str">
            <v>2  del of this cycle   -  0-cycles pmnt   Completed - Collect 0</v>
          </cell>
          <cell r="O29" t="str">
            <v>Sunflower ( 15 inch ) 5     Grass</v>
          </cell>
          <cell r="P29" t="str">
            <v>P n W Glad ( 14 Inch ) 22     Grass</v>
          </cell>
          <cell r="Q29" t="str">
            <v>W Asiatic ( 14 Inch ) 4     Grass</v>
          </cell>
          <cell r="R29" t="str">
            <v>P Asiatic ( 14 Inch ) 4     Grass</v>
          </cell>
          <cell r="S29" t="str">
            <v>R n P Car ( 14 Inch ) 22     FF sachet + Grass</v>
          </cell>
          <cell r="T29" t="str">
            <v>P n Y Spray Daisy ( 14 Inch ) 7     FF Sachet + Grass</v>
          </cell>
        </row>
        <row r="30">
          <cell r="A30">
            <v>207</v>
          </cell>
          <cell r="B30" t="str">
            <v>Ms. Monaliza</v>
          </cell>
          <cell r="C30">
            <v>9958305888</v>
          </cell>
          <cell r="D30" t="str">
            <v>C-4/703, Sovereign, Vatika City</v>
          </cell>
          <cell r="E30" t="str">
            <v>Sohna Road 1</v>
          </cell>
          <cell r="F30" t="str">
            <v>Friday</v>
          </cell>
          <cell r="G30" t="str">
            <v>4 Pm to 7 PM</v>
          </cell>
          <cell r="H30">
            <v>1450</v>
          </cell>
          <cell r="I30">
            <v>362.5</v>
          </cell>
          <cell r="J30" t="str">
            <v>Bliss</v>
          </cell>
          <cell r="K30" t="str">
            <v>Never send Rajni, Gerbera and Daisy(17/06)Rtrnd today send tomorrow(22/07)Day chenged to Monday(23/07)Don’t send between 22nd to 30th(07/10) Returnde-send next week(25/02) Preferred Flowers-- Rose + Orchid+Oriental + Heliconia(30/11) Sent 1 del today(15/10) Sent replacement today and never colorefull roses(15/02)  Holy Change(16/03) Skip 2 weeks (26/09) Skip 1 week (24/11) Send 1  Del tom (26/11) Senty replacement today (22/05) Return-send next week (30/06) No Sunflowers (03/03) Skip 1 week (21/03) Hold she is changing house (06/05) Hold today due to non payment (02/10) Hold due to non payment (09/10) Hold due to non payment (26/12) Hold due to non payment (23/01) Hold due to non payment (30/01) From Rohit Ramani (17/02) Skip tom (28/05)</v>
          </cell>
          <cell r="L30" t="str">
            <v>Sunflower</v>
          </cell>
          <cell r="N30" t="str">
            <v>1  del of this cycle   -  1-cycles pmnt   Pending - Collect 1450</v>
          </cell>
          <cell r="O30" t="str">
            <v>Mix Spray Daisy 5     FF Sachet + Grass</v>
          </cell>
          <cell r="P30" t="e">
            <v>#N/A</v>
          </cell>
          <cell r="Q30" t="str">
            <v>P Asiatic ( 14 Inch ) 3     Grass</v>
          </cell>
          <cell r="R30" t="str">
            <v>P n W Glad ( 14 Inch ) 16     Grass</v>
          </cell>
          <cell r="S30" t="str">
            <v xml:space="preserve">R n P Car ( 14 Inch ) 16    FF Sachet + Grass </v>
          </cell>
          <cell r="T30" t="str">
            <v>Pur Eustoma ( 12 Inch ) 3     FF sachet + Grass</v>
          </cell>
        </row>
        <row r="31">
          <cell r="A31">
            <v>2582</v>
          </cell>
          <cell r="B31" t="str">
            <v>Nidhi -- Emaar Palm</v>
          </cell>
          <cell r="C31">
            <v>9873404809</v>
          </cell>
          <cell r="D31" t="str">
            <v>T-57/101, Emaar emerakd Premier Floors, Sec 65</v>
          </cell>
          <cell r="E31" t="str">
            <v>Badshahpur</v>
          </cell>
          <cell r="F31" t="str">
            <v>Friday</v>
          </cell>
          <cell r="G31" t="str">
            <v>9:30 Am to 2 PM</v>
          </cell>
          <cell r="H31">
            <v>1450</v>
          </cell>
          <cell r="I31">
            <v>362.5</v>
          </cell>
          <cell r="J31" t="str">
            <v>Bliss</v>
          </cell>
          <cell r="K31" t="str">
            <v>From Nidhi Srivastava // No Del till 4th Oct (24/09) Hold due to non payment (26/12) Hold due to non payment (23/01) Skip 1 week (09/06)</v>
          </cell>
          <cell r="N31" t="str">
            <v>2  del of this cycle   -  0-cycles pmnt   Completed - Collect 0</v>
          </cell>
          <cell r="O31" t="str">
            <v>Glad 9     Grass</v>
          </cell>
          <cell r="P31" t="str">
            <v xml:space="preserve">Collect 500 Carry Receipt Book Collect 500 Carry Receipt Book Collect 500 Carry Receipt Book </v>
          </cell>
          <cell r="Q31" t="str">
            <v>Y Spray Daisy ( 14 Inch ) 3     FF Sachet + Grass</v>
          </cell>
          <cell r="R31" t="e">
            <v>#N/A</v>
          </cell>
          <cell r="S31" t="str">
            <v xml:space="preserve">R n P Car ( 14 Inch ) 16    FF Sachet + Grass </v>
          </cell>
          <cell r="T31" t="str">
            <v>P n W Glad ( 14 Inch ) 16     Grass</v>
          </cell>
        </row>
        <row r="32">
          <cell r="A32">
            <v>163</v>
          </cell>
          <cell r="B32" t="str">
            <v>Rasmeeta Nayak</v>
          </cell>
          <cell r="C32">
            <v>8800444342</v>
          </cell>
          <cell r="D32" t="str">
            <v>H-504, Park View City - 2, Sohna Road</v>
          </cell>
          <cell r="E32" t="str">
            <v>Sohna Road 1</v>
          </cell>
          <cell r="F32" t="str">
            <v>Friday</v>
          </cell>
          <cell r="G32" t="str">
            <v>9 AM - 12 PM</v>
          </cell>
          <cell r="H32">
            <v>1950</v>
          </cell>
          <cell r="I32">
            <v>487.5</v>
          </cell>
          <cell r="J32" t="str">
            <v>Joy</v>
          </cell>
          <cell r="K32" t="str">
            <v xml:space="preserve"> NO GLAD(12/04)  NO BOP(12/12)  NO HELICONIA(24/12)  Today returned-send tom(20/05) Return today and skip 1 week(09/09) Double Del tom with Lily and Rajnigandha (20/10) Today Returned -- send on 16th (14/07) Hold n start from 22nd Sep (08/08) Skip 2 week (16/03) Send 4th Del on Wednesday not on Friday (23/10) Today Returned (21/02) Skip n send on Monday (11/03) Skip 1 week (27/03) Skip 1 week (02/07) Hold n skip 2 weeks // hold she will confirm (19/12)</v>
          </cell>
          <cell r="N32" t="str">
            <v>3  del of this cycle   -  0-cycles pmnt   Completed - Collect 0</v>
          </cell>
          <cell r="O32" t="str">
            <v>P n W Glad ( 16 Inch) 22     Grass</v>
          </cell>
          <cell r="P32" t="str">
            <v>Y Orchid  7     FF Sachet + Grass</v>
          </cell>
          <cell r="Q32" t="str">
            <v>W Asiatic ( 14 Inch ) 4     Grass</v>
          </cell>
          <cell r="R32" t="str">
            <v>Pur n P Car ( 14 Inch ) 22     FF Sachet + Grass</v>
          </cell>
          <cell r="S32" t="str">
            <v>Sunflower ( 12 Inch ) 5     FF sachet + Grass</v>
          </cell>
          <cell r="T32" t="str">
            <v>Pur n P Eustoma ( 12 Inch ) 4     FF Sachet + Grass</v>
          </cell>
        </row>
        <row r="33">
          <cell r="A33">
            <v>2832</v>
          </cell>
          <cell r="B33" t="str">
            <v>Anshu Mittal Roy</v>
          </cell>
          <cell r="C33" t="str">
            <v xml:space="preserve"> 97172 00986</v>
          </cell>
          <cell r="D33" t="str">
            <v xml:space="preserve"> B203 Godrej 101, Sector 79
</v>
          </cell>
          <cell r="E33" t="str">
            <v>Badshahpur</v>
          </cell>
          <cell r="F33" t="str">
            <v>Friday</v>
          </cell>
          <cell r="G33" t="str">
            <v>4 Pm to 7 PM</v>
          </cell>
          <cell r="H33">
            <v>1450</v>
          </cell>
          <cell r="I33">
            <v>362.5</v>
          </cell>
          <cell r="J33" t="str">
            <v>Bliss</v>
          </cell>
          <cell r="K33" t="str">
            <v>15 % Discount (26/07) 3 Month with 10% discount (24/08) Skip 1 week (19/12) Skip 1 week (19/02) Skip 2 week (16/05) Today Returned (12/06) Hold today (19/06)</v>
          </cell>
          <cell r="N33" t="str">
            <v>3  del of this cycle   -  0-cycles pmnt   Completed - Collect 0</v>
          </cell>
          <cell r="O33" t="e">
            <v>#N/A</v>
          </cell>
          <cell r="P33" t="e">
            <v>#N/A</v>
          </cell>
          <cell r="Q33" t="str">
            <v>Y Spray Daisy ( 14 Inch ) 3 P n W Car ( 14 Inch ) 7   FF Sachet + Grass</v>
          </cell>
          <cell r="R33" t="str">
            <v>Pur Eustoma ( 12 Inch ) 2 P n W Glad ( 14 Inch ) 7   FF Sachet + Grass</v>
          </cell>
          <cell r="S33" t="str">
            <v xml:space="preserve">O Asiatic ( 14 Inch ) 2 Mix Alstroemeria (  12 Inch ) 7  Grass </v>
          </cell>
          <cell r="T33" t="str">
            <v>O Asiatic ( 14 Inch ) 2 Mix Alstroemeria ( 12 Inch ) 7   Grass</v>
          </cell>
        </row>
        <row r="34">
          <cell r="A34">
            <v>2394</v>
          </cell>
          <cell r="B34" t="str">
            <v>Sachi Poudiyal</v>
          </cell>
          <cell r="C34">
            <v>8420453178</v>
          </cell>
          <cell r="D34" t="str">
            <v>H. No. 901, Ground Floor, Sec 17 B, Next to St PBN School</v>
          </cell>
          <cell r="E34" t="str">
            <v>Old Gurgaon</v>
          </cell>
          <cell r="F34" t="str">
            <v>Friday</v>
          </cell>
          <cell r="G34" t="str">
            <v>4 PM to 7 PM</v>
          </cell>
          <cell r="H34">
            <v>1450</v>
          </cell>
          <cell r="I34">
            <v>362.5</v>
          </cell>
          <cell r="J34" t="str">
            <v>Bliss</v>
          </cell>
          <cell r="K34" t="str">
            <v>12 Del Payment done today (18/03) Hold n start from Aug(12/06) One Payment Received today (09/11)</v>
          </cell>
          <cell r="N34" t="str">
            <v>3  del of this cycle   -  0-cycles pmnt   Completed - Collect 0</v>
          </cell>
          <cell r="O34" t="str">
            <v>Asiatic 3     Grass</v>
          </cell>
          <cell r="P34" t="str">
            <v>P n Y Spray Daisy ( 15 Inch ) 5     FF Sachet + Grass</v>
          </cell>
          <cell r="Q34" t="str">
            <v>P n W Glad ( 14 Inch ) 16     Grass</v>
          </cell>
          <cell r="R34" t="str">
            <v>Sunflower ( 12 Inch ) 4     FF Sachet + Grass</v>
          </cell>
          <cell r="S34" t="str">
            <v xml:space="preserve">Pur Eustom ( 12 Inch ) 3    FF Sachet + Grass </v>
          </cell>
          <cell r="T34" t="str">
            <v>P n W Car ( 14 Inch ) 16     FF sachet + Grass</v>
          </cell>
        </row>
        <row r="35">
          <cell r="A35">
            <v>2798</v>
          </cell>
          <cell r="B35" t="str">
            <v>Priya Chaturvedi</v>
          </cell>
          <cell r="C35">
            <v>9999283603</v>
          </cell>
          <cell r="D35" t="str">
            <v>D-2003, Bestech Alturea, Sec 79</v>
          </cell>
          <cell r="E35" t="str">
            <v>Manesar</v>
          </cell>
          <cell r="F35" t="str">
            <v>Friday</v>
          </cell>
          <cell r="G35" t="str">
            <v>4 Pm to 7 PM</v>
          </cell>
          <cell r="H35">
            <v>1450</v>
          </cell>
          <cell r="I35">
            <v>362.5</v>
          </cell>
          <cell r="J35" t="str">
            <v>Bliss</v>
          </cell>
          <cell r="K35" t="str">
            <v>Today Returned (08/08) {ayment From Chinmananda Devgoswami (25/10) Four Plus 1 Pack (15/04) Skip 1 week (07/05)</v>
          </cell>
          <cell r="N35" t="str">
            <v>1  del of this cycle   -  1-cycles pmnt   Pending - Collect 1450</v>
          </cell>
          <cell r="O35" t="str">
            <v>R n W Car ( 14 inch ) 16     FF Sachet + Grass</v>
          </cell>
          <cell r="P35" t="e">
            <v>#N/A</v>
          </cell>
          <cell r="Q35" t="str">
            <v>O Asiatic ( 14 Inch ) 3     Grass</v>
          </cell>
          <cell r="R35" t="str">
            <v>P n W Glad ( 14 Inch ) 16     Grass</v>
          </cell>
          <cell r="S35" t="str">
            <v xml:space="preserve">Pur Eustom ( 12 Inch ) 3    FF Sachet + Grass </v>
          </cell>
          <cell r="T35" t="str">
            <v>Alstromeria 16     FF sachet + Grass</v>
          </cell>
        </row>
        <row r="36">
          <cell r="A36">
            <v>2224</v>
          </cell>
          <cell r="B36" t="str">
            <v>Samta Mehra</v>
          </cell>
          <cell r="C36">
            <v>9811137290</v>
          </cell>
          <cell r="D36" t="str">
            <v>D-1401, Park View City-1, Sohna Road</v>
          </cell>
          <cell r="E36" t="str">
            <v>Sohna Road 2</v>
          </cell>
          <cell r="F36" t="str">
            <v>Friday</v>
          </cell>
          <cell r="G36" t="str">
            <v>9 AM - 12 PM</v>
          </cell>
          <cell r="H36">
            <v>3750</v>
          </cell>
          <cell r="I36">
            <v>937.5</v>
          </cell>
          <cell r="J36" t="str">
            <v>Savor</v>
          </cell>
          <cell r="K36" t="str">
            <v>Mixed Flowers// Upgrade to Elation (30/03) Skip 3 weeks (13/06) Skip 2 weeks (21/12) Upgrade ti savor (23/02) Skip 1 week (16/04) Skip 1 week (20/06) Hold today (12/09) Skip 1 week (02/10) Skip 1 week (29/12) Skip 1 week (28/03) Skip 1 week (18/06)</v>
          </cell>
          <cell r="N36" t="str">
            <v>3  del of this cycle   -  0-cycles pmnt   Completed - Collect 0</v>
          </cell>
          <cell r="O36" t="str">
            <v>Y Asiatic ( 15 inch ) 4 P n W Glad ( 14 inch ) 21   2 Limonium + FF aschet</v>
          </cell>
          <cell r="P36" t="str">
            <v>P n W Eustoma ( 14 Inch ) 4 P n W Car ( 14 Inch ) 21   2 Gypsola + FF Sachet</v>
          </cell>
          <cell r="Q36" t="str">
            <v>Sunflower ( 12 Inch ) 5 Mix Alstroemeria ( 12 Inch ) 20   2 Limonium + FF Sachet</v>
          </cell>
          <cell r="R36" t="str">
            <v>P n Y Spray Daisy ( 14 Inch ) 5 P n W Glad ( 14 Inch ) 21   2 Gypsola + FF Sachet</v>
          </cell>
          <cell r="S36" t="e">
            <v>#N/A</v>
          </cell>
          <cell r="T36" t="str">
            <v xml:space="preserve">P Asiatic 4 Pur Eustoma ( 12 Inch ) 21   2 Limonium </v>
          </cell>
        </row>
        <row r="37">
          <cell r="A37">
            <v>2083</v>
          </cell>
          <cell r="B37" t="str">
            <v>Neeraj Rathore</v>
          </cell>
          <cell r="C37">
            <v>9810570666</v>
          </cell>
          <cell r="D37" t="str">
            <v>A-1302, PalM Drive, Sec 66</v>
          </cell>
          <cell r="E37" t="str">
            <v>Badshahpur</v>
          </cell>
          <cell r="F37" t="str">
            <v>Friday</v>
          </cell>
          <cell r="G37" t="str">
            <v>9 AM - 12 PM</v>
          </cell>
          <cell r="H37">
            <v>2300</v>
          </cell>
          <cell r="I37">
            <v>287.5</v>
          </cell>
          <cell r="J37" t="str">
            <v>Felicity</v>
          </cell>
          <cell r="K37" t="str">
            <v>Friday n Monday// No Gerbera *25/09) Payment from Dharmesh I Rathod (11/12) Rose next (29/12) No Orchid also (23/02) No Glad (31/03) No BOP (26/07) BMF Vase Sent (23/08) Rs. 500 added as referal credit against subscription of Radhika (08/03) Skip 3 Deliveries (21/09) hold today n skip 1 week (06/10) Upgrade to Elation and day Friday (29/10) One Kind Flowers (30/01) Skip 2 week (05/02) Holdn send on monday (24/04) Skip 2 weeks (07/05) Returned today (22/05)</v>
          </cell>
          <cell r="L37" t="str">
            <v>GERBERA  n BOP</v>
          </cell>
          <cell r="M37" t="str">
            <v>One Kind (30/01)  Rajni next (18/02)</v>
          </cell>
          <cell r="N37" t="str">
            <v>2  del of this cycle   -  1-cycles pmnt   Pending - Collect 2300</v>
          </cell>
          <cell r="O37" t="str">
            <v>R n W Car ( 14 inch ) 32     2 Gypsola + FF Sachet</v>
          </cell>
          <cell r="P37" t="str">
            <v>R n W Car ( 14 Inch ) 32     2 Limonium + Ff Sachet</v>
          </cell>
          <cell r="Q37" t="str">
            <v xml:space="preserve">P Asiatic ( 14 Inch ) 6     2 Gypsola </v>
          </cell>
          <cell r="R37" t="str">
            <v>P n W Glad ( 14 Inch ) 32     2 Limonium</v>
          </cell>
          <cell r="S37" t="e">
            <v>#N/A</v>
          </cell>
          <cell r="T37" t="str">
            <v>P n Y Spray Daisy ( 14 Inch ) 4     FF sachet + Grass</v>
          </cell>
        </row>
        <row r="38">
          <cell r="A38">
            <v>3077</v>
          </cell>
          <cell r="B38" t="str">
            <v>Shweta Katiyar</v>
          </cell>
          <cell r="C38">
            <v>9999435065</v>
          </cell>
          <cell r="D38" t="str">
            <v>G-122, DLF Primus, Sec 82 A</v>
          </cell>
          <cell r="E38" t="str">
            <v>Manesar</v>
          </cell>
          <cell r="F38" t="str">
            <v>Friday</v>
          </cell>
          <cell r="G38" t="str">
            <v>4 PM to 7 PM</v>
          </cell>
          <cell r="H38">
            <v>1950</v>
          </cell>
          <cell r="I38">
            <v>487.5</v>
          </cell>
          <cell r="J38" t="str">
            <v>Joy</v>
          </cell>
          <cell r="K38" t="str">
            <v>No Eustoma// Skip tom (31/12/25) Replacement of guldawari tom (16/01)</v>
          </cell>
          <cell r="L38" t="str">
            <v>Eustoma</v>
          </cell>
          <cell r="N38" t="str">
            <v>1  del of this cycle   -  1-cycles pmnt   Pending - Collect 1950</v>
          </cell>
          <cell r="O38" t="str">
            <v>Sunflower ( 15 inch ) 3 P n W Glad ( 14 inch ) 11   Grass</v>
          </cell>
          <cell r="P38" t="str">
            <v>P Asiatic ( 15 Inch ) 2 P n W Car ( 14 Inch ) 11   Grass</v>
          </cell>
          <cell r="Q38" t="str">
            <v>Pur Eustom ( 14 Inch ) 2 Mix Alstroemeria ( 12 Inch ) 11   FF Sachet + Grass</v>
          </cell>
          <cell r="R38" t="str">
            <v>P n Y Spray Daisy ( 14 Inch ) 4 P n W Glad ( 14 Inch ) 11   FF Sachet + Grass</v>
          </cell>
          <cell r="S38" t="str">
            <v>Eustoma  2 Pur n P Car ( 14 Inch ) 11   FF sachet + Grass</v>
          </cell>
          <cell r="T38" t="str">
            <v>Sunflower ( 12 Inch ) 3 Alstomeria( 12 Inch ) 11   FF Sachet + Grass</v>
          </cell>
        </row>
        <row r="39">
          <cell r="A39">
            <v>953</v>
          </cell>
          <cell r="B39" t="str">
            <v>Nidhi Bansal</v>
          </cell>
          <cell r="C39">
            <v>9818647402</v>
          </cell>
          <cell r="D39" t="str">
            <v>03, Tatvam Villa's,Sector 48</v>
          </cell>
          <cell r="E39" t="str">
            <v>Sohna Road 2</v>
          </cell>
          <cell r="F39" t="str">
            <v>Friday</v>
          </cell>
          <cell r="G39" t="str">
            <v>9 AM - 12 PM</v>
          </cell>
          <cell r="H39">
            <v>2750</v>
          </cell>
          <cell r="I39">
            <v>687.5</v>
          </cell>
          <cell r="J39" t="str">
            <v>Elation</v>
          </cell>
          <cell r="K39" t="str">
            <v>Send Mix of Rajni and Spray Daisy next and send on Friday this week(10/02) Send Dahelia and rajni Next(19/02) Asiatic n Rajni next(26/02) Mix of rajni and daisy(19/03) Always send Lily and Some other flower(02/10) Lily and Rose next(12/11) Rajni this week(03/12) Rajni this week(08/12) Rajni next(07/01) Hold n start from April and Check before sending(28/02) Return-Send next week(17/06) Repeat flowers(10/08) Rajni next 15/12) Add changed (07/07) Send Replacement tom (05/07) Long stems (30/10) 2700 CASH AND 50 PAYTM (08/05)</v>
          </cell>
          <cell r="M39" t="str">
            <v>Long Stems (30/10)</v>
          </cell>
          <cell r="N39" t="str">
            <v>1  del of this cycle   -  1-cycles pmnt   Pending - Collect 2750</v>
          </cell>
          <cell r="O39" t="str">
            <v>W Eustoma ( 14 inch ) 4 P n W Car ( 14 inch ) 15   2 Gypsola + FF Sachet</v>
          </cell>
          <cell r="P39" t="str">
            <v>O Asiatic ( 15 Inch ) 3 P n W Glad ( 14 Inch ) 16   2 Limonium</v>
          </cell>
          <cell r="Q39" t="str">
            <v>P n Y Spray Daisy ( 14 Inch ) 5 Mix Alstroemeria ( 12 Inch ) 16   2 Gypsola + FF Sachet</v>
          </cell>
          <cell r="R39" t="str">
            <v>Sunflower ( 12 Inch ) 4 Pur n P Car ( 14 Inch ) 16   2 Limonium + FF sachet</v>
          </cell>
          <cell r="S39" t="str">
            <v>P Eustoma ( 12 Inch ) 4 P n W Glad ( 14 Inch ) 16   FF sachet + Grass</v>
          </cell>
          <cell r="T39" t="str">
            <v>P Asiatic ( 14 Inch ) 3 Alstomeria( 12 Inch ) 15   2 Gypaols</v>
          </cell>
        </row>
        <row r="40">
          <cell r="A40">
            <v>2404</v>
          </cell>
          <cell r="B40" t="str">
            <v>Amitt Nenwani</v>
          </cell>
          <cell r="C40">
            <v>9810444444</v>
          </cell>
          <cell r="D40" t="str">
            <v>Villa 21, Z Block, Tatvam Villas</v>
          </cell>
          <cell r="E40" t="str">
            <v>Sohna Road 2</v>
          </cell>
          <cell r="F40" t="str">
            <v>Friday</v>
          </cell>
          <cell r="G40" t="str">
            <v>9 AM - 12 PM</v>
          </cell>
          <cell r="H40">
            <v>6350</v>
          </cell>
          <cell r="I40">
            <v>793.75</v>
          </cell>
          <cell r="J40" t="str">
            <v>Elegance</v>
          </cell>
          <cell r="K40" t="str">
            <v>Friday n Monday//Mixed // Skip 1 week (17/04) Skip this week (12/11) Skip this week and send on 03rd Jan (29/12) Skip tom (15/03) Skip 1 week (26/03)</v>
          </cell>
          <cell r="M40" t="str">
            <v>Mixed Flowers// Change to enchantement from next cycle (12/1)</v>
          </cell>
          <cell r="N40" t="str">
            <v>2  del of this cycle   -  0-cycles pmnt   In Process - Collect 0</v>
          </cell>
          <cell r="O40" t="str">
            <v>Y Asiatic ( 15 inch ) 3 B Orchid  4 Glad 12 3 Areca palm + 3 Limonium</v>
          </cell>
          <cell r="P40" t="str">
            <v>P Asiatic ( 15 Inch ) 3 P n Y Spray Daosy ( 15 Inch ) 4 P n W Car ( 14 Inch ) 12 3 Areca Palm + 3 Limonium</v>
          </cell>
          <cell r="Q40" t="str">
            <v>W Asiatic ( 14 Inch ) 3 G Orchid  4 Rajni ( 14 Inch ) 12 Grass</v>
          </cell>
          <cell r="R40" t="str">
            <v>Y Asiatic ( 14 Inch ) 4 BOP ( 15 Inch ) 3 Pur n P Car ( 14 Inch ) 12 3 Areca palm + 3 Gypsola</v>
          </cell>
          <cell r="S40" t="str">
            <v>O Asiatic ( 14 Inch ) 3 B Orchid  4 P n W Glad ( 14 Inch ) 12 Grass</v>
          </cell>
          <cell r="T40" t="str">
            <v>P Asiatic ( 14 Inch ) 3 Pur Eustoma ( 12 Inch ) 3 Rajni ( 14 Inch ) 12 3 Areca Palm + 3 Gypsola</v>
          </cell>
        </row>
        <row r="41">
          <cell r="A41">
            <v>1624</v>
          </cell>
          <cell r="B41" t="str">
            <v>Smriti Maggon</v>
          </cell>
          <cell r="C41">
            <v>9811081666</v>
          </cell>
          <cell r="D41" t="str">
            <v>B-901, Emaar Palm Drive, Sec 66</v>
          </cell>
          <cell r="E41" t="str">
            <v>Badshahpur</v>
          </cell>
          <cell r="F41" t="str">
            <v>Friday</v>
          </cell>
          <cell r="G41" t="str">
            <v>9 AM - 12 PM</v>
          </cell>
          <cell r="H41">
            <v>1450</v>
          </cell>
          <cell r="I41">
            <v>362.5</v>
          </cell>
          <cell r="J41" t="str">
            <v>Bliss</v>
          </cell>
          <cell r="K41" t="str">
            <v>Rose//Car//Rajni//BOP(08/02) Holy Change(16/03) 8 Rajnigandha Next (12/10) Hold due to non payment (03/10) Hold due to non payment (16/01) Hold due to non payment (23/01)</v>
          </cell>
          <cell r="N41" t="str">
            <v>4  del of this cycle   -  0-cycles pmnt   Completed - Collect 0</v>
          </cell>
          <cell r="O41" t="str">
            <v>Sunflower ( 15 inch ) 4     Grass</v>
          </cell>
          <cell r="P41" t="str">
            <v>O Asiatic ( 15 Inch ) 3     Grass</v>
          </cell>
          <cell r="Q41" t="str">
            <v>P n Y Spray Daisy ( 14 Inch ) 5     FF Sachet + Grass</v>
          </cell>
          <cell r="R41" t="e">
            <v>#N/A</v>
          </cell>
          <cell r="S41" t="str">
            <v xml:space="preserve">P n W Glad ( 14 Inch ) 16    Grass </v>
          </cell>
          <cell r="T41" t="str">
            <v>Pur n P Car ( 14 Inch ) 16     FF sachet + Grass</v>
          </cell>
        </row>
        <row r="42">
          <cell r="A42">
            <v>588</v>
          </cell>
          <cell r="B42" t="str">
            <v>Akiksha Mohan</v>
          </cell>
          <cell r="C42">
            <v>9810145564</v>
          </cell>
          <cell r="D42" t="str">
            <v>D-601, Emaar Plam Drive</v>
          </cell>
          <cell r="E42" t="str">
            <v>Badshahpur</v>
          </cell>
          <cell r="F42" t="str">
            <v>Friday</v>
          </cell>
          <cell r="G42" t="str">
            <v>9 AM - 12 PM</v>
          </cell>
          <cell r="H42">
            <v>1600</v>
          </cell>
          <cell r="I42">
            <v>200</v>
          </cell>
          <cell r="J42" t="str">
            <v>Bloom</v>
          </cell>
          <cell r="K42" t="str">
            <v>Friday n Monday //Return-send next week(10/11) Send Replacement(04/03) change address Tower D Flat No 601 Plam Drive (30/3) Return-send next week(06/04) NOW SEND ONLY GLAD(08/05 Hold n start from 1st week0f Aug(08/07)) Gerbera Next(31/08) Return-send next week(30/11) Return-send after Monday(07/03) Send Next week(08/03) Send Change next(30/10) Today returned-send next week(06/11)  Holy Change(16/03) Return today and Skip 2 Weeks(15/04) REturn-:Payment Not paid(29/04) Today Returned(03/06) Skip 1 week(15/06) Return-send next wek(24/06) Skip 1 Week(21/07) Today returned(05/08) Rajni and Asiatic altrenatively(12/08) Today returnedas payment is pending (16/12) Today return again diue to non payment (23/12) No Guldawari (28/02) Paytm From Neelu mohan (28/02) Hold as payment not received (22/10) No sent as payment not recived (26/10) Hold due to non payment (29/10) One payment in Pooja account on 18th and 1 today at BMF account (03/11) Hold due to non payment(01/12) Hold today due to non payment (01/03) Hold as payment not received (31/03) Skip next del (29/09) Hold due to non payment (09/01) Hold due to non payment (12/01) Hold due to non payment (16/01) Hold due to non payment (03/10) Hold due to non payment (05/10) Hold due to non payment (10/10) Skip 1 week (31/10) Hoold ue to non payment (18/12) Hold due to non payment (26/12) Hold tom due to non payment (28/12) Hold due to non payment (19/01) Hold due to non payment (22/01) Today hold (06/03) HDTNP (25/05)</v>
          </cell>
          <cell r="L42" t="str">
            <v>GULDAWARI</v>
          </cell>
          <cell r="N42" t="str">
            <v>4  del of this cycle   -  0-cycles pmnt   Completed - Collect 0</v>
          </cell>
          <cell r="O42" t="str">
            <v>P n W Glad ( 16 Inch) 7     Grass</v>
          </cell>
          <cell r="P42" t="str">
            <v xml:space="preserve">Mix Carnation 7     </v>
          </cell>
          <cell r="Q42" t="str">
            <v>Sunflower ( 14 Inch ) 2     FF Sachet + Grass</v>
          </cell>
          <cell r="R42" t="str">
            <v>Mix Alstroemeria ( 12 Inch ) 7     FF Sachet + Grass</v>
          </cell>
          <cell r="S42" t="str">
            <v>P n W Glad ( 14 Inch ) 7     Grass</v>
          </cell>
          <cell r="T42" t="str">
            <v>Sunflower ( 12 Inch ) 2     FF sachet + Grass</v>
          </cell>
        </row>
        <row r="43">
          <cell r="A43">
            <v>2126</v>
          </cell>
          <cell r="B43" t="str">
            <v>Nidhi Sehgal</v>
          </cell>
          <cell r="C43">
            <v>9620110010</v>
          </cell>
          <cell r="D43" t="str">
            <v>D-23 Flat No 0002 Victory Valley Sec 67</v>
          </cell>
          <cell r="E43" t="str">
            <v>Badshahpur</v>
          </cell>
          <cell r="F43" t="str">
            <v>Friday</v>
          </cell>
          <cell r="G43" t="str">
            <v>9 AM - 12 PM</v>
          </cell>
          <cell r="H43">
            <v>2750</v>
          </cell>
          <cell r="I43">
            <v>687.5</v>
          </cell>
          <cell r="J43" t="str">
            <v>Elation</v>
          </cell>
          <cell r="K43" t="str">
            <v>Mixed Flowers // Always FF (15/05) Hold till 15th June (19/05) FF with all Flowers (12/06)</v>
          </cell>
          <cell r="M43" t="str">
            <v>Mixed Flowers and always FF</v>
          </cell>
          <cell r="N43" t="str">
            <v>4  del of this cycle   -  0-cycles pmnt   Completed - Collect 0</v>
          </cell>
          <cell r="O43" t="e">
            <v>#N/A</v>
          </cell>
          <cell r="P43" t="e">
            <v>#N/A</v>
          </cell>
          <cell r="Q43" t="e">
            <v>#N/A</v>
          </cell>
          <cell r="R43" t="str">
            <v>O Asiatic 3 Pur n P Car ( 14 Inch ) 16   2 Limonium + FF Sachet</v>
          </cell>
          <cell r="S43" t="str">
            <v>P Eustoma ( 12 Inch ) 4 P n W Glad ( 14 Inch ) 16  FF sachet + Grass FF sachet + Grass</v>
          </cell>
          <cell r="T43" t="str">
            <v>P n Y Spray Daisy ( 14 Inch ) 5 Mix Carnation  ( 12 Inch ) 15   FF Sachet + Grass</v>
          </cell>
        </row>
        <row r="44">
          <cell r="A44">
            <v>628</v>
          </cell>
          <cell r="B44" t="str">
            <v>Parul Hazel</v>
          </cell>
          <cell r="C44">
            <v>9873675242</v>
          </cell>
          <cell r="D44" t="str">
            <v>E-1202, Palm Drive</v>
          </cell>
          <cell r="E44" t="str">
            <v>Badshahpur</v>
          </cell>
          <cell r="F44" t="str">
            <v>Friday</v>
          </cell>
          <cell r="G44" t="str">
            <v>9 AM - 12 PM</v>
          </cell>
          <cell r="H44">
            <v>1450</v>
          </cell>
          <cell r="I44">
            <v>362.5</v>
          </cell>
          <cell r="J44" t="str">
            <v>Bliss</v>
          </cell>
          <cell r="K44" t="str">
            <v>Send vase replacement tomorrow(27/10) Skip 1 week(27/12) Return-send next week(27/01)Skip 1 week(07/02) Rose next time(26/02) 1 stick extra next week(09/03) Skip 1 week(20/03) Send 1 stick extra in next del(18/05) Today hold n skip 1 week(25/05) Skip 2 week(14/06) Inform Before Sending(01/07) Send 2 pack of FF tom(19/07) Today hold-send tom(21/10) return-send on Thursday(26/10) Rajni Next(21/12) Hold -send on Monday(28/12) Skip 1 week(09/03) Rajni Next(28/01) Rajni tom(28/02) Pls send Mix of Spray daisy + Rajni and send tom only this week(04/03) Skiped 1 week due to HOLI(29/03) Skip 1 week(17/08) Rajni/Rose next(12/10) Send rajni Tom(30/10) Skip 1 week(19/12) Skip 1 week(12/03) Sewnt a replacement today(17/04) Skip 1 we Hold today (29/03)ek(01/06) Skip 2 Weeks(23/06) Skip 1 week(28/07) Skip 1 week (22/12) Skip 2 weeks (01/01/23) Skip 1 week (13/04) Send on sunday this week (14/04) Send 1 delivery tom (19/06)] Skip 1 week (28/09) Skip 1 week (10/04) Send Replacement tom (10/01) Skip 1 week (20/01) Skip friday n send on monday this week (26/06) Send thsi week flowers on monday (14/08) Skip 1 week (16/12) skip tom and send on 28th (17/03) Hold today and check next week before sending (22/05)</v>
          </cell>
          <cell r="N44" t="str">
            <v>2  del of this cycle   -  1-cycles pmnt   Pending - Collect 1400</v>
          </cell>
          <cell r="O44" t="str">
            <v>P n W Glad ( 16 Inch) 16     Grass</v>
          </cell>
          <cell r="P44" t="str">
            <v>O Asiatic ( 15 Inch ) 3     Grass</v>
          </cell>
          <cell r="Q44" t="str">
            <v>P n W Glad ( 14 Inch ) 16     Grass</v>
          </cell>
          <cell r="R44" t="str">
            <v>P n Y Spray Daisy ( 14 Inch ) 5     FF Sachet + Grass</v>
          </cell>
          <cell r="S44" t="str">
            <v xml:space="preserve">R n P Car ( 14 Inch ) 16    FF Sachet + Grass </v>
          </cell>
          <cell r="T44" t="str">
            <v>Pur Eustoma ( 12 Inch ) 3     FF sachet + Grass</v>
          </cell>
        </row>
        <row r="45">
          <cell r="A45">
            <v>2259</v>
          </cell>
          <cell r="B45" t="str">
            <v>Shivani Kapoor</v>
          </cell>
          <cell r="C45">
            <v>9818659010</v>
          </cell>
          <cell r="D45" t="str">
            <v>94, Tattvam Villa</v>
          </cell>
          <cell r="E45" t="str">
            <v>Sohna Road 2</v>
          </cell>
          <cell r="F45" t="str">
            <v>Monday</v>
          </cell>
          <cell r="G45" t="str">
            <v>9 AM - 12 PM</v>
          </cell>
          <cell r="H45">
            <v>3950</v>
          </cell>
          <cell r="I45">
            <v>493.75</v>
          </cell>
          <cell r="J45" t="str">
            <v>Grace</v>
          </cell>
          <cell r="K45" t="str">
            <v>Monday n Friday// Payment from Sanjeev K (05/05) Skip 1 week (26/07) Skip 1 week (04/11) Skip this Friday (26/12) Skip 1 week (01/01/25) Skip tom (02/02) No delivery on Monday (01/03) Skip 14th n send on 17th (11/03) Now start from 7th July (24/06)</v>
          </cell>
          <cell r="M45" t="str">
            <v>No White</v>
          </cell>
          <cell r="N45" t="str">
            <v>1  del of this cycle   -  1-cycles pmnt   Pending - Collect 3950</v>
          </cell>
          <cell r="O45" t="str">
            <v>P n W Glad ( 16 Inch) 20     Grass</v>
          </cell>
          <cell r="P45" t="str">
            <v>P Oriental ( 15 Inch ) 3     Grass</v>
          </cell>
          <cell r="Q45" t="str">
            <v>Pur n P Eustoma ( 14 Inch ) 4     FF Sachet + Grass</v>
          </cell>
          <cell r="R45" t="str">
            <v>Pur n P Car ( 14 Inch ) 20     FF Sachet + Grass</v>
          </cell>
          <cell r="S45" t="str">
            <v>P n W Glad ( 14 Inch ) 20     Grass</v>
          </cell>
          <cell r="T45" t="str">
            <v>G n Y Spray Daisy ( 14 Inch ) 6     FF sachet + Grass</v>
          </cell>
        </row>
        <row r="46">
          <cell r="A46">
            <v>3382</v>
          </cell>
          <cell r="B46" t="str">
            <v>Bhavna Jain</v>
          </cell>
          <cell r="C46">
            <v>8800691541</v>
          </cell>
          <cell r="D46" t="str">
            <v>D-15, Ireo Victory Valley, Sec 67</v>
          </cell>
          <cell r="E46" t="str">
            <v>Badshahpur</v>
          </cell>
          <cell r="F46" t="str">
            <v>Friday</v>
          </cell>
          <cell r="G46" t="str">
            <v>9:30 Am to 2 PM</v>
          </cell>
          <cell r="H46">
            <v>1450</v>
          </cell>
          <cell r="I46">
            <v>362.5</v>
          </cell>
          <cell r="J46" t="str">
            <v>Bliss</v>
          </cell>
          <cell r="N46" t="str">
            <v>2  del of this cycle   -  0-cycles pmnt   Completed - Collect 0</v>
          </cell>
          <cell r="O46" t="e">
            <v>#N/A</v>
          </cell>
          <cell r="P46" t="e">
            <v>#N/A</v>
          </cell>
          <cell r="Q46" t="e">
            <v>#N/A</v>
          </cell>
          <cell r="R46" t="e">
            <v>#N/A</v>
          </cell>
          <cell r="S46" t="str">
            <v xml:space="preserve">R n P Car ( 14 Inch ) 16    FF Sachet + Grass </v>
          </cell>
          <cell r="T46" t="str">
            <v>O Asiatic ( 14 Inch ) 3     Grass</v>
          </cell>
        </row>
        <row r="47">
          <cell r="A47">
            <v>2454</v>
          </cell>
          <cell r="B47" t="str">
            <v>Vipin</v>
          </cell>
          <cell r="C47" t="str">
            <v>9555977401 // 9654829329</v>
          </cell>
          <cell r="D47" t="str">
            <v>Villa / VB-5, Tata Primanti, Sec 72</v>
          </cell>
          <cell r="E47" t="str">
            <v>Badshahpur</v>
          </cell>
          <cell r="F47" t="str">
            <v>Friday</v>
          </cell>
          <cell r="G47" t="str">
            <v>9 AM - 12 PM</v>
          </cell>
          <cell r="H47">
            <v>1950</v>
          </cell>
          <cell r="I47">
            <v>487.5</v>
          </cell>
          <cell r="J47" t="str">
            <v>Joy</v>
          </cell>
          <cell r="K47" t="str">
            <v>Send in evening slot tom (11/03) Paytm From Hina Kapoor (06/04) Send replacement Tom (17/05) Send replacement of W Eustoma (17/05) Paytm from Tarun Kumar (15/95) Replacement tom (16/05)</v>
          </cell>
          <cell r="N47" t="str">
            <v>1  del of this cycle   -  1-cycles pmnt   Pending - Collect 1950</v>
          </cell>
          <cell r="O47" t="str">
            <v>W Eustoma ( 14 inch ) 2 P n W Glad ( 14 inch ) 11   FF Sachet + Grass</v>
          </cell>
          <cell r="P47" t="str">
            <v>O Asiatic ( 15 Inch ) 2 P n W Car ( 14 Inch ) 11   Grass</v>
          </cell>
          <cell r="Q47" t="str">
            <v>P n Y Spray Daisy ( 14 Inch ) 4 Mix Alstroemeria ( 12 Inch ) 11   FF Sachet + Grass</v>
          </cell>
          <cell r="R47" t="str">
            <v>Sunflower ( 12 Inch ) 3 P n W Glad ( 14 Inch ) 11   FF Sachet + Grass</v>
          </cell>
          <cell r="S47" t="str">
            <v>P Eustoma ( 12 Inch ) 2 Pur n P Car ( 14 Inch ) 11   FF sachet + Grass</v>
          </cell>
          <cell r="T47" t="str">
            <v>P Asiatic ( 14 Inch ) 2 Glad ( 14 Inch ) 11   Grass</v>
          </cell>
        </row>
        <row r="48">
          <cell r="A48">
            <v>3068</v>
          </cell>
          <cell r="B48" t="str">
            <v>Hareet Kohli</v>
          </cell>
          <cell r="C48">
            <v>9897974815</v>
          </cell>
          <cell r="D48" t="str">
            <v>T-7/1401, tata Primanti, Sec 72</v>
          </cell>
          <cell r="E48" t="str">
            <v>Badshahpur</v>
          </cell>
          <cell r="F48" t="str">
            <v>Friday</v>
          </cell>
          <cell r="G48" t="str">
            <v>9 AM - 12 PM</v>
          </cell>
          <cell r="H48">
            <v>999</v>
          </cell>
          <cell r="I48">
            <v>249.75</v>
          </cell>
          <cell r="J48" t="str">
            <v>Collection Only</v>
          </cell>
          <cell r="K48" t="str">
            <v>One Del Sent today -- don’t send on 28th (26/11) Returned today (10/04) Send one del today (13/04) HDTNP (05/06) Collect paynt on 26th of 2 deliveries (12/06)</v>
          </cell>
          <cell r="N48" t="str">
            <v>3  del of this cycle   -  1-cycles pmnt   Pending - Collect 994</v>
          </cell>
          <cell r="O48" t="str">
            <v>Y Spray Daisy ( 15 inch ) 3 P n W Glad ( 14 inch ) 9   FF Sachet + Grass</v>
          </cell>
          <cell r="P48" t="str">
            <v>Mix Alstroemeria ( 12 Inch ) 9     FF Sachet + Grass</v>
          </cell>
          <cell r="Q48" t="e">
            <v>#N/A</v>
          </cell>
          <cell r="R48" t="e">
            <v>#N/A</v>
          </cell>
          <cell r="S48" t="e">
            <v>#N/A</v>
          </cell>
          <cell r="T48" t="str">
            <v xml:space="preserve">Collect Rs 500 Collect Rs 500     </v>
          </cell>
        </row>
        <row r="49">
          <cell r="A49">
            <v>815</v>
          </cell>
          <cell r="B49" t="str">
            <v>Surath Singh</v>
          </cell>
          <cell r="C49">
            <v>9717166559</v>
          </cell>
          <cell r="D49" t="str">
            <v>B-2205, Ireo Victory Valley,Sec-67</v>
          </cell>
          <cell r="E49" t="str">
            <v>Badshahpur</v>
          </cell>
          <cell r="F49" t="str">
            <v>Friday</v>
          </cell>
          <cell r="G49" t="str">
            <v>9 AM - 12 PM</v>
          </cell>
          <cell r="H49">
            <v>2750</v>
          </cell>
          <cell r="I49">
            <v>687.5</v>
          </cell>
          <cell r="J49" t="str">
            <v>Elation</v>
          </cell>
          <cell r="K49" t="str">
            <v xml:space="preserve"> NO GERBERA n CAR(11/10)  NO GULDAWARI(23/02)  Holy Change(16/03) Return-send next week(24/06) Returnedas payment was not done (28/04) Paytm From Franky Arora // Hold today as paymenht not paid (14/07) Hold due to non payment (21/07) Hold due to non payment (01/12) Today returned (21/06) Hold (20/06) Return today (27/03) Paytm From Collectosh (29/05)</v>
          </cell>
          <cell r="N49" t="str">
            <v>3  del of this cycle   -  0-cycles pmnt   Completed - Collect 0</v>
          </cell>
          <cell r="O49" t="str">
            <v>R n W Car ( 14 inch ) 32     2 Gypsola + FF Sachet</v>
          </cell>
          <cell r="P49" t="str">
            <v xml:space="preserve">Mix Spray Daisy 10     2 Luminium +FF </v>
          </cell>
          <cell r="Q49" t="str">
            <v xml:space="preserve">P Asiatic ( 14 Inch ) 6     2 Gypsola </v>
          </cell>
          <cell r="R49" t="str">
            <v>P n W Glad ( 14 Inch ) 32     2 Limonium</v>
          </cell>
          <cell r="S49" t="str">
            <v>P n Pur Eustoma ( 12 Inch ) 6     FF sachet + Grass</v>
          </cell>
          <cell r="T49" t="str">
            <v>P n W Car ( 14 Inch ) 32     2 Gypsola + FF Sachet</v>
          </cell>
        </row>
        <row r="50">
          <cell r="A50">
            <v>43</v>
          </cell>
          <cell r="B50" t="str">
            <v>Ms. Arpita Bhargava</v>
          </cell>
          <cell r="C50">
            <v>9953515520</v>
          </cell>
          <cell r="D50" t="str">
            <v>T-4/1701,Tata Primanty,Sector-72</v>
          </cell>
          <cell r="E50" t="str">
            <v>Sohna Road 2</v>
          </cell>
          <cell r="F50" t="str">
            <v>Friday</v>
          </cell>
          <cell r="G50" t="str">
            <v>9 AM - 12 PM</v>
          </cell>
          <cell r="H50">
            <v>999</v>
          </cell>
          <cell r="I50">
            <v>249.75</v>
          </cell>
          <cell r="J50" t="str">
            <v>Delight</v>
          </cell>
          <cell r="K50" t="str">
            <v xml:space="preserve"> NO ROSES(28/12) Prefer Glad and Daisy(11/01)  NO ORCHIDS(31/05)  MORE CHRYSANTHEMUM , GLADIOLI NO ROSE AND ORCHIDS(26/12) Return-send Tom(17/01) NO ORCHIDS OR LILIES, ONLY 15 STICKS(31/07/20)  NO GUldawari now in this season--sent replacement today(12/03)   Holy Change(16/03) Flower F Next(13/05) NO RAJNI N GERBERA(21/07) Skip 1 week (29/10) Send 1 stem extra next (23/12) NO GERBERA n ROSE (14/01) REturn today (10/03) Returnb-send next week (30/06) Today return-send next week (07/07) Skip 2 weeks (27/12) Skip 1 week (26/03) Skip 1 week (25/09) Hold send next week (03/10) Returned today (07/11) Today hold (21/11) Today returned (28/11) Skip 2 week (18/12) Replacement tom (17/04)</v>
          </cell>
          <cell r="L50" t="str">
            <v>GERBERA n ROSE</v>
          </cell>
          <cell r="N50" t="str">
            <v>4  del of this cycle   -  0-cycles pmnt   CompletedNO COLLECTION-we have extra money - Collect -999</v>
          </cell>
          <cell r="O50" t="str">
            <v>Y Spray Daisy ( 15 inch ) 3 Sunflower ( 15 inch ) 2   FF Sachet + Grass</v>
          </cell>
          <cell r="P50" t="str">
            <v>P Asiatic ( 15 Inch ) 2     Grass</v>
          </cell>
          <cell r="Q50" t="str">
            <v>P n W Car ( 14 Inch ) 9     FF Sachet + Grass</v>
          </cell>
          <cell r="R50" t="str">
            <v>Mix Alstroemeria ( 12 Inch ) 9     FF Sachet + Grass</v>
          </cell>
          <cell r="S50" t="str">
            <v xml:space="preserve">P n W Glad ( 14 Inch ) 9    Grass </v>
          </cell>
          <cell r="T50" t="str">
            <v>Y Spray Daisy ( 14 Inch ) 3     FF aschet + Grass</v>
          </cell>
        </row>
        <row r="51">
          <cell r="A51">
            <v>2089</v>
          </cell>
          <cell r="B51" t="str">
            <v>Arshdeep Kaur</v>
          </cell>
          <cell r="C51">
            <v>8369995614</v>
          </cell>
          <cell r="D51" t="str">
            <v>B-3103, Ireo Victory Valley, Sec 67</v>
          </cell>
          <cell r="E51" t="str">
            <v>Badshahpur</v>
          </cell>
          <cell r="F51" t="str">
            <v>Friday</v>
          </cell>
          <cell r="G51" t="str">
            <v>9 AM - 12 PM</v>
          </cell>
          <cell r="H51">
            <v>1450</v>
          </cell>
          <cell r="I51">
            <v>362.5</v>
          </cell>
          <cell r="J51" t="str">
            <v>Bliss</v>
          </cell>
          <cell r="K51" t="str">
            <v>NO Rose (06/04) Send replacement tom (04/06) Skip next Friday delivery (23/09) Skip 1 week (28/09) Skip 1 week (27/10) Paytm From Karandeep Harjit Singh (26/01) Skip 1 week (28/03) Skip 1 week (18/04) Skip tom (07/05)  Skip 2 week (06/06)</v>
          </cell>
          <cell r="L51" t="str">
            <v>ROSE</v>
          </cell>
          <cell r="N51" t="str">
            <v>3  del of this cycle   -  0-cycles pmnt   Completed - Collect 0</v>
          </cell>
          <cell r="O51" t="str">
            <v>R n W Car ( 14 inch ) 16     FF Sachet + Grass</v>
          </cell>
          <cell r="P51" t="str">
            <v>O Asiatic ( 15 Inch ) 3     Grass</v>
          </cell>
          <cell r="Q51" t="str">
            <v>P n W Glad ( 14 Inch ) 16     Grass</v>
          </cell>
          <cell r="R51" t="e">
            <v>#N/A</v>
          </cell>
          <cell r="S51" t="e">
            <v>#N/A</v>
          </cell>
          <cell r="T51" t="str">
            <v>Mix Alstroemeria 16     FF sachet + Grass</v>
          </cell>
        </row>
        <row r="52">
          <cell r="A52">
            <v>467</v>
          </cell>
          <cell r="B52" t="str">
            <v>Mamta Wassan -- From Dilip Puri</v>
          </cell>
          <cell r="C52">
            <v>9867722349</v>
          </cell>
          <cell r="D52" t="str">
            <v>1/9, Hamelia Street, Vatika City</v>
          </cell>
          <cell r="E52" t="str">
            <v>Sohna Road 1</v>
          </cell>
          <cell r="F52" t="str">
            <v>Friday</v>
          </cell>
          <cell r="G52" t="str">
            <v>4 Pm to 7 PM</v>
          </cell>
          <cell r="H52">
            <v>1450</v>
          </cell>
          <cell r="I52">
            <v>362.5</v>
          </cell>
          <cell r="J52" t="str">
            <v>Bliss</v>
          </cell>
          <cell r="K52" t="str">
            <v>Changed to Friday//Next P Asiatic(26/10)Skip 1 week(22/11) Skip 1 week(22/12) Hold n skip this week(11/01) NO RED ROSE(18/01) Skip 1 week(14/03) Return-send again tomorrow(29/03) NO MIXED FLOWERS (06/04) Send Replacement and NO ORCHIDS TILL IT GET HEALTHY(28/04) AVOID CAR(09/05) Hold again-start after 15th and inform before sending(05/07) SEND ONLY ASIATIC TILL OTHER FOWERS ARE IN BEST SHAPE OTHRE THAN ROSE/ORCHID N CAR(15/10) Skip next 2 weeks(18/11) Skip 1 week(05/12)  Hold n start from 1st week of Apr// Inform before sending(20/03) Skip 1 week(24/12) Skip 1 week(29/01) Skip 1 week(08/02) Skip 1 week(12/02) Skip 1 week(27/03) Skip 2 weeks(23/04) Skip 1 week(12/09) Holy Change(16/03) Skip 2 weeks and check before sending(03/07) Skip 1 week (05/01) Sent replacement today (30/04) Skip 1 week (28/05) Skip 1 week (29/11) Skip 3 weeks (13/05) Skip 1 week (12/07) skip 2 week (16/11) Skip 1 week (01/12) Skip 1 week (8/01) Skip 1 week (23/02) Skip 1 week (24/03) Skip 1 week n semd on Monday (13/08) Skip 1 week (04/09) Skip 1 week (04/10) Skip 1 wek (15/10) From Dilip Puri -- send only 2 weeks (12/11) Send on sunday this week and skip 24th Feb (18/03) Start from 1st June (19/05) Send tom evebing (29/05) Skip 1 week (09/06)</v>
          </cell>
          <cell r="N52" t="str">
            <v>4  del of this cycle   -  0-cycles pmnt   Completed - Collect 0</v>
          </cell>
          <cell r="O52" t="e">
            <v>#N/A</v>
          </cell>
          <cell r="P52" t="e">
            <v>#N/A</v>
          </cell>
          <cell r="Q52" t="str">
            <v>Mix Alstroemeria ( 12 Inch ) 16     FF Sachet + Grass</v>
          </cell>
          <cell r="R52" t="e">
            <v>#N/A</v>
          </cell>
          <cell r="S52" t="str">
            <v xml:space="preserve">O Asiatic ( 14 Inch ) 3    Grass </v>
          </cell>
          <cell r="T52" t="str">
            <v>P n W Glad ( 14 Inch ) 16     Grass</v>
          </cell>
        </row>
        <row r="53">
          <cell r="A53">
            <v>1389</v>
          </cell>
          <cell r="B53" t="str">
            <v>Revathi-- After 5 PM</v>
          </cell>
          <cell r="C53">
            <v>9811998878</v>
          </cell>
          <cell r="D53" t="str">
            <v>A-1201, The Emaar Palm Drive</v>
          </cell>
          <cell r="E53" t="str">
            <v>Badshahpur</v>
          </cell>
          <cell r="F53" t="str">
            <v>Friday</v>
          </cell>
          <cell r="G53" t="str">
            <v>4 PM to 7PM</v>
          </cell>
          <cell r="H53">
            <v>3850</v>
          </cell>
          <cell r="I53">
            <v>481.25</v>
          </cell>
          <cell r="J53" t="str">
            <v>Grace</v>
          </cell>
          <cell r="K53" t="str">
            <v>Friday and Tuesday// NO RAJNIGANDHA NOW ONLY LILIES//CAR AND GLAD(26/07)  NO WONLY LILIES, HELICONIA AND CAR IN YELLOW OR ORANGE ONLY(11/09)  ONLY  LILIES/GLADIOLI AND HELICONIA ONLY IN YELL AND ORANGE COLOR-- NOCARNATION(01/10) Rajni or Bop next(18/10) Send 1 FF Next(29/06) LILY n GLAD ARE PREFERRED(29/06) Now From Rose//Car//Glad//Guldawari//Asiatic//Oriental(03/08) Skip this friday(09/08) No Upgrade (17/10) Skip 1 week (114/11) Skip 1 week after tom Delivery (09/03) No Del on Froday-- sned on Tuesda (29/03) Glad Next (01/05) Hold n start after 8th June (12/05) Bop n Heliconia Next (10/02) Skip tom Del (28/03) Flower food next (14/05) Hold till 8th (29/05) No Gerbera and Orchid (28/07) One Payment received today (01/10) Skip Friday Del (27/11) Skip friday (25/12) Return not at home (20/06) Today Returned (20/06) Received one payment of 3250 today (21/07)</v>
          </cell>
          <cell r="L53" t="str">
            <v>Gerbera n ORCHID</v>
          </cell>
          <cell r="N53" t="str">
            <v>8  del of this cycle   -  0-cycles pmnt   Completed - Collect 0</v>
          </cell>
          <cell r="O53" t="str">
            <v>P n W Glad ( 16 Inch) 20     Grass</v>
          </cell>
          <cell r="P53" t="str">
            <v>Sunflower ( 14 Inch ) 5     Grass</v>
          </cell>
          <cell r="Q53" t="str">
            <v>Pur n P Eustoma ( 14 Inch ) 4     FF Sachet + Grass</v>
          </cell>
          <cell r="R53" t="str">
            <v>Rajni ( 14 Inch ) 20     Grass</v>
          </cell>
          <cell r="S53" t="str">
            <v>P Asiatic ( 14 Inch ) 4     Grass</v>
          </cell>
          <cell r="T53" t="str">
            <v>P n W Glad ( 14 Inch ) 20     Grass</v>
          </cell>
        </row>
        <row r="54">
          <cell r="A54">
            <v>3354</v>
          </cell>
          <cell r="B54" t="str">
            <v>Radha Bhatnagar</v>
          </cell>
          <cell r="C54">
            <v>9971944440</v>
          </cell>
          <cell r="D54" t="str">
            <v>D-35, 2nd Floor, Vipul World</v>
          </cell>
          <cell r="E54" t="str">
            <v>Sohna Road 2</v>
          </cell>
          <cell r="F54" t="str">
            <v>Friday</v>
          </cell>
          <cell r="G54" t="str">
            <v>9 AM - 12 PM</v>
          </cell>
          <cell r="H54">
            <v>1450</v>
          </cell>
          <cell r="I54">
            <v>362.5</v>
          </cell>
          <cell r="J54" t="str">
            <v>Bliss</v>
          </cell>
          <cell r="N54" t="str">
            <v>4  del of this cycle   -  0-cycles pmnt   Completed - Collect 0</v>
          </cell>
          <cell r="O54" t="str">
            <v>P n W Glad ( 16 Inch) 16     Grass</v>
          </cell>
          <cell r="P54" t="str">
            <v>O Asiatic ( 15 Inch ) 3     Grass</v>
          </cell>
          <cell r="Q54" t="str">
            <v>Mix Alstroemeria ( 12 Inch ) 16     FF Sachet + Grass</v>
          </cell>
          <cell r="R54" t="str">
            <v>R n W Car ( 14 Inch ) 16     FF Sachet + Grass</v>
          </cell>
          <cell r="S54" t="str">
            <v xml:space="preserve">Pur Eustom ( 12 Inch ) 3    FF Sachet + Grass </v>
          </cell>
          <cell r="T54" t="str">
            <v>P n W Glad ( 14 Inch ) 16     Grass</v>
          </cell>
        </row>
        <row r="55">
          <cell r="A55">
            <v>3334</v>
          </cell>
          <cell r="B55" t="str">
            <v>Sachi Poudiyal</v>
          </cell>
          <cell r="C55">
            <v>8420453178</v>
          </cell>
          <cell r="D55" t="str">
            <v>H. No. 901, Ground Floor, Sec 17 B, Next to St PBN School</v>
          </cell>
          <cell r="E55" t="str">
            <v>Old Gurgaon</v>
          </cell>
          <cell r="F55" t="str">
            <v>Friday</v>
          </cell>
          <cell r="G55" t="str">
            <v>4 PM to 7 PM</v>
          </cell>
          <cell r="H55">
            <v>1450</v>
          </cell>
          <cell r="I55">
            <v>362.5</v>
          </cell>
          <cell r="J55" t="str">
            <v>Bliss</v>
          </cell>
          <cell r="N55" t="str">
            <v>2  del of this cycle   -  0-cycles pmnt   Completed - Collect 0</v>
          </cell>
          <cell r="O55" t="str">
            <v>Rajni ( 16 inch ) 16     Grass</v>
          </cell>
          <cell r="P55" t="str">
            <v>P Asiatic ( 15 Inch ) 3     Grass</v>
          </cell>
          <cell r="Q55" t="str">
            <v>P n W Glad ( 14 Inch ) 16     Grass</v>
          </cell>
          <cell r="R55" t="str">
            <v>Pur n P Car ( 14 Inch ) 16     FF Sachet + Grass</v>
          </cell>
          <cell r="S55" t="str">
            <v xml:space="preserve">P n W Spray Daisy ( 14 Inch ) 5    FF Sachet + Grass </v>
          </cell>
          <cell r="T55" t="str">
            <v>Pur Eustoma ( 12 Inch ) 3     FF sachet + Grass</v>
          </cell>
        </row>
        <row r="56">
          <cell r="A56">
            <v>36</v>
          </cell>
          <cell r="B56" t="str">
            <v>Ms. Anubha T Agarwal</v>
          </cell>
          <cell r="C56">
            <v>9818690761</v>
          </cell>
          <cell r="D56" t="str">
            <v>D-902, Park View City-1, Sohna Road</v>
          </cell>
          <cell r="E56" t="str">
            <v>Sohna Road 2</v>
          </cell>
          <cell r="F56" t="str">
            <v>Friday</v>
          </cell>
          <cell r="G56" t="str">
            <v>4 Pm to 7 PM</v>
          </cell>
          <cell r="H56">
            <v>999</v>
          </cell>
          <cell r="I56">
            <v>249.75</v>
          </cell>
          <cell r="J56" t="str">
            <v>Delight</v>
          </cell>
          <cell r="K56" t="str">
            <v>No Rajni (22/05)Skip coming week del(13/08)Pls skip this week n send next week(03/09)Pls shift time slot to evevning(18/09)Pls shift to morning(10/10) Paytm from manoj Agarwal(13/02) Skip 1 week(03/04) Send 1 stick extra in next Del(19/06) Say Change to Monday(21/08) Upgrade to 650 (01/12) Skiped 1 week due to HOLI(29/03) Flower Food Next(16/04) Upgrade to Bliss and send remaining flowers in 2nd Del(14/09) Skip 1 wek(14/10) skip 1 week(01/01)  Holy Change(16/03) Skip this week n send on sunday(10/08) Send Replacement tom (19/11) Send on monday this week (10/08)  Hold today (26/01) Today Returned (05/04) Today returned (16/08) Send replacement tom (15/09) Yesterday Returned (15/02) Return today (25/04) Skip 1 week (29/05) Skip 1 week (28/07) Skip tom n send on sunday (18/09) Skip 1 week (04/12)</v>
          </cell>
          <cell r="N56" t="str">
            <v>4  del of this cycle   -  0-cycles pmnt   Completed - Collect 0</v>
          </cell>
          <cell r="O56" t="str">
            <v>R n W Car( 14 inch ) 9     FF Sachet + Grass</v>
          </cell>
          <cell r="P56" t="str">
            <v>O Asiatic ( 15 Inch ) 2     Grass</v>
          </cell>
          <cell r="Q56" t="str">
            <v>Sunflower ( 12 Inch ) 2     FF Sachet + Grass</v>
          </cell>
          <cell r="R56" t="str">
            <v>P n W Glad ( 14 Inch ) 9     Grass</v>
          </cell>
          <cell r="S56" t="str">
            <v xml:space="preserve">Mix Alstroemeria ( 12 Inch ) 9    FF Sachet + Grass </v>
          </cell>
          <cell r="T56" t="str">
            <v>P n W Car ( 14 Inch ) 9     FF aschet + Grass</v>
          </cell>
        </row>
        <row r="57">
          <cell r="A57">
            <v>2708</v>
          </cell>
          <cell r="B57" t="str">
            <v>Monica Bakshi</v>
          </cell>
          <cell r="C57">
            <v>9730543073</v>
          </cell>
          <cell r="D57" t="str">
            <v>K-1005, Palm Drive</v>
          </cell>
          <cell r="E57" t="str">
            <v>Badshahpur</v>
          </cell>
          <cell r="F57" t="str">
            <v>Friday</v>
          </cell>
          <cell r="G57" t="str">
            <v>9 AM - 12 PM</v>
          </cell>
          <cell r="H57">
            <v>999</v>
          </cell>
          <cell r="I57">
            <v>249.75</v>
          </cell>
          <cell r="J57" t="str">
            <v>Delight</v>
          </cell>
          <cell r="K57" t="str">
            <v>No Gerbera (02/12)</v>
          </cell>
          <cell r="L57" t="str">
            <v xml:space="preserve">GERBERA </v>
          </cell>
          <cell r="N57" t="str">
            <v>3  del of this cycle   -  0-cycles pmnt   Completed - Collect 0</v>
          </cell>
          <cell r="O57" t="str">
            <v>P Asiatic ( 15 inch ) 3     Grass</v>
          </cell>
          <cell r="P57" t="str">
            <v>P n W Glad ( 14 Inch ) 9     Grass</v>
          </cell>
          <cell r="Q57" t="str">
            <v>Y Spray Daisy ( 14 Inch ) 3     FF Sachet + Grass</v>
          </cell>
          <cell r="R57" t="str">
            <v>Pur n P Car ( 14 Inch ) 9     FF Sachet + Grass</v>
          </cell>
          <cell r="S57" t="str">
            <v xml:space="preserve">Mix Alstroemeria ( 12 Inch ) 9    FF Sachet + Grass </v>
          </cell>
          <cell r="T57" t="str">
            <v>O Asiatic ( 14 Inch ) 2     Grass</v>
          </cell>
        </row>
        <row r="58">
          <cell r="A58">
            <v>2190</v>
          </cell>
          <cell r="B58" t="str">
            <v>Vismit Sharma</v>
          </cell>
          <cell r="C58">
            <v>9205393464</v>
          </cell>
          <cell r="D58" t="str">
            <v>R-164, DLF Ultima, Sec 81</v>
          </cell>
          <cell r="E58" t="str">
            <v>Manesar</v>
          </cell>
          <cell r="F58" t="str">
            <v>Friday</v>
          </cell>
          <cell r="G58" t="str">
            <v>4 Pm to 7 PM</v>
          </cell>
          <cell r="H58">
            <v>1950</v>
          </cell>
          <cell r="I58">
            <v>487.5</v>
          </cell>
          <cell r="J58" t="str">
            <v>Joy</v>
          </cell>
          <cell r="K58" t="str">
            <v>Skip 2 week (22/02) Skip 1 week (12/03) Skip 1 week (10/03) Skip 1 week (24/07) Skip 1 week (04/09) Skip 2 week (25/09) Hold n start from Jan (12/12)</v>
          </cell>
          <cell r="N58" t="str">
            <v>3  del of this cycle   -  0-cycles pmnt   Completed - Collect 0</v>
          </cell>
          <cell r="O58" t="str">
            <v>P n W Glad ( 14 inch ) 22     FF Sachet + Grass</v>
          </cell>
          <cell r="P58" t="str">
            <v>Y Orchid  7     FF Sachet + Grass</v>
          </cell>
          <cell r="Q58" t="str">
            <v>P n Y Spray Daisy ( 14 Inch ) 7     FF Sachet + Grass</v>
          </cell>
          <cell r="R58" t="str">
            <v>Pur n P Car ( 14 Inch ) 22     FF Sachet + Grass</v>
          </cell>
          <cell r="S58" t="str">
            <v>P Asiatic ( 14 Inch ) 4     Grass</v>
          </cell>
          <cell r="T58" t="str">
            <v>P n W Glad ( 14 Inch ) 22     Grass</v>
          </cell>
        </row>
        <row r="59">
          <cell r="A59">
            <v>3337</v>
          </cell>
          <cell r="B59" t="str">
            <v>Shweta Bajpai</v>
          </cell>
          <cell r="C59">
            <v>9205184535</v>
          </cell>
          <cell r="D59" t="str">
            <v>288, Tatvam Villa</v>
          </cell>
          <cell r="E59" t="str">
            <v>Sohna Road 2</v>
          </cell>
          <cell r="F59" t="str">
            <v>Friday</v>
          </cell>
          <cell r="G59" t="str">
            <v>4 Pm to 7 PM</v>
          </cell>
          <cell r="H59">
            <v>1450</v>
          </cell>
          <cell r="I59">
            <v>1450</v>
          </cell>
          <cell r="J59" t="str">
            <v>Bliss</v>
          </cell>
          <cell r="K59" t="str">
            <v>Hold tOday (12/06) Today Returned (19/06)</v>
          </cell>
          <cell r="N59" t="str">
            <v>4  del of this cycle   -  0-cycles pmnt   Completed - Collect 0</v>
          </cell>
          <cell r="O59" t="str">
            <v>P Asiatic ( 15 inch ) 3     Grass</v>
          </cell>
          <cell r="P59" t="str">
            <v>R n W Car ( 14 Inch ) 16     FF Sachet + Grass</v>
          </cell>
          <cell r="Q59" t="str">
            <v>P n Y Spray Daisy ( 14 Inch ) 5     FF Sachet + Grass</v>
          </cell>
          <cell r="R59" t="str">
            <v>Mix Alstroemeria ( 12 Inch ) 16     FF Sachet + Grass</v>
          </cell>
          <cell r="S59" t="str">
            <v xml:space="preserve">Pur Eustom ( 12 Inch ) 3    FF Sachet + Grass </v>
          </cell>
          <cell r="T59" t="str">
            <v>O Asiatic ( 14 Inch ) 3     Grass</v>
          </cell>
        </row>
        <row r="60">
          <cell r="A60">
            <v>72</v>
          </cell>
          <cell r="B60" t="str">
            <v>Mrs. Raman-- AFTER 4:30 PM</v>
          </cell>
          <cell r="C60">
            <v>9810235092</v>
          </cell>
          <cell r="D60" t="str">
            <v>1519, Sector-17 C</v>
          </cell>
          <cell r="E60" t="str">
            <v>Old Gurgaon</v>
          </cell>
          <cell r="F60" t="str">
            <v>Friday</v>
          </cell>
          <cell r="G60" t="str">
            <v>4 PM to 7PM</v>
          </cell>
          <cell r="H60">
            <v>999</v>
          </cell>
          <cell r="I60">
            <v>249.75</v>
          </cell>
          <cell r="J60" t="str">
            <v>Delight</v>
          </cell>
          <cell r="K60" t="str">
            <v>No Rajni n Daisy(22/05)Next Del on 12th June(08/06) Send cheque back to get a new one(11/06)Skip tomorrow and send on Friday this week(21/11) 1 Stick extra in next del(06/12) 1 Stick extra in next Del(06/12) 500 added for bouquet sent to Nupur n Karthik(29/12) After 24th skip n send on 14th Feb(10/01) Rses Next(10/01) Next Del on 14th Feb(24/01) Return-send tom(04/04) Send Next Del in Evening slot(01/05) Day Chnaged to Friday(26/06) Change day to sunday(10/07) FF Sold today(21/07) Return-send tom(03/11) PLS SEND 15TH DEL ON 14TH(27/11) Send sat this week before 11:30 AM(12/12) Today hold send on sat(20/08/20) Only Chrysanthemum till they are in good shape(12/11) Skip tom and send on friday(27/01) Skip 1 week(21/03) Shift to Delight and 8 stick every week(15/09) Always 8 sticks(10/12) Send on Sat this week(16/02)  Holy Change(16/03) Send on sat this week(23/03) Send this week on 8th (04/10) Skip tom and send on sunday (05/01) Hold today n send tom (03/03) Dont send on 30th June-- Send on 1st July with Pink n Yellow Gerbera (23/06) Hold today and send on sunday (27/10) Send a vase tom (25/01) Hold today n send tom (09/02) Hold today (07/06) Skip friday and send on sunday (08/08) Skip friday n start from sunday (30/01) Skip 1 week (11/03) Hold today n send on sunday (16/05) Hold till 1th June (25/05) Hold till 8th Feb (18/01)</v>
          </cell>
          <cell r="N60" t="str">
            <v>4  del of this cycle   -  0-cycles pmnt   Completed - Collect 0</v>
          </cell>
          <cell r="O60" t="str">
            <v>P Spray Daisy ( 15 inch ) 3     FF Sachet + Grass</v>
          </cell>
          <cell r="P60" t="str">
            <v>R n W Car ( 14 Inch ) 9     FF Sachet + Grass</v>
          </cell>
          <cell r="Q60" t="str">
            <v>O Asiatic ( 14 Inch ) 2     FF Sachet + Grass</v>
          </cell>
          <cell r="R60" t="str">
            <v>P n W Glad ( 14 Inch ) 9     Grass</v>
          </cell>
          <cell r="S60" t="str">
            <v xml:space="preserve">Mix Alstroemeria ( 12 Inch ) 9    FF Sacget + Grass </v>
          </cell>
          <cell r="T60" t="str">
            <v>P n W Car ( 14 Inch ) 9     FF aschet + Grass</v>
          </cell>
        </row>
        <row r="61">
          <cell r="A61">
            <v>1147</v>
          </cell>
          <cell r="B61" t="str">
            <v xml:space="preserve">Reena </v>
          </cell>
          <cell r="C61">
            <v>9811157690</v>
          </cell>
          <cell r="D61" t="str">
            <v>31/1, Ixia, Vatika City</v>
          </cell>
          <cell r="E61" t="str">
            <v>Sohna Road 1</v>
          </cell>
          <cell r="F61" t="str">
            <v>Tuesday</v>
          </cell>
          <cell r="G61" t="str">
            <v>9 AM to 2 PM</v>
          </cell>
          <cell r="H61">
            <v>1600</v>
          </cell>
          <cell r="I61">
            <v>200</v>
          </cell>
          <cell r="J61" t="str">
            <v>Bloom</v>
          </cell>
          <cell r="K61" t="str">
            <v>Tuesday and Friday//NO Rose/Rajni and ORCHID(30/10) Pink car Next(08/11) No Rose/No Rajni/No Orchids(30/11  NO RAJNI n HELICONIA (30/12) Star From Sunday (24/08) Skip coming Friday (07/12) Skip 1 week (18/01) Shift tom del to Sunday (20/06) Skip Friday Del (15/08) Today Returned(03/09) Skip 27th Del (22/12) Skip tom (30/01) Today Returned-send again (04/04) Hold n start from 15th (07/04) Skip friday (26/06) Skip 1 week (07/08) Skip tom del (11/09) Skip 1 week (01/11) Skip tom (30/04)</v>
          </cell>
          <cell r="L61" t="str">
            <v>RAJNI n HELICONIA</v>
          </cell>
          <cell r="N61" t="str">
            <v>6  del of this cycle   -  0-cycles pmnt   Completed - Collect 0</v>
          </cell>
          <cell r="O61" t="str">
            <v>P n W Car ( 14 inch ) 7     FF Sachet + Grass</v>
          </cell>
          <cell r="P61" t="str">
            <v>Mix Alstroemeria ( 12 Inch ) 7     FF Sachet + Grass</v>
          </cell>
          <cell r="Q61" t="str">
            <v>W Spray Daisy ( 14 Inch ) 2     FF Sachet + Grass</v>
          </cell>
          <cell r="R61" t="str">
            <v>Pink White Car ( 12 Inch ) 7     Grass</v>
          </cell>
          <cell r="S61" t="str">
            <v>Rajni ( 14 Inch ) 7     Grass</v>
          </cell>
          <cell r="T61" t="str">
            <v>P Spray Daisy ( 14 Inch ) 2     FF sachet + Grass</v>
          </cell>
        </row>
        <row r="62">
          <cell r="A62" t="str">
            <v>B56269</v>
          </cell>
          <cell r="B62">
            <v>9910591103</v>
          </cell>
          <cell r="C62">
            <v>9910591103</v>
          </cell>
          <cell r="D62" t="str">
            <v>A-95, GF, Palladians, Sec 47</v>
          </cell>
          <cell r="E62" t="str">
            <v>Sohna Road 1</v>
          </cell>
          <cell r="F62" t="str">
            <v>Friday</v>
          </cell>
          <cell r="G62" t="str">
            <v>By 1 PM</v>
          </cell>
          <cell r="H62">
            <v>2500</v>
          </cell>
          <cell r="I62">
            <v>2500</v>
          </cell>
          <cell r="J62" t="str">
            <v>Bouquet</v>
          </cell>
          <cell r="K62" t="str">
            <v>5 P Oriental and 12 B daisy in Brown Wrap from Neha N Kohli // Happy 70th Dadi 
Wishing you all very Happy Birthday 
Loadsa love,
Ana, Poppins, Mumma and Papa</v>
          </cell>
          <cell r="N62" t="str">
            <v>1  del of this cycle   -  0-cycles pmnt   In Process - Collect 0</v>
          </cell>
          <cell r="O62" t="e">
            <v>#N/A</v>
          </cell>
          <cell r="P62" t="e">
            <v>#N/A</v>
          </cell>
          <cell r="Q62" t="e">
            <v>#N/A</v>
          </cell>
          <cell r="R62" t="e">
            <v>#N/A</v>
          </cell>
          <cell r="S62" t="e">
            <v>#N/A</v>
          </cell>
          <cell r="T62" t="str">
            <v xml:space="preserve">P Oriental + B Daisy 5 + 12 Full Brown Wrap  Message   </v>
          </cell>
        </row>
        <row r="63">
          <cell r="A63" t="str">
            <v>B56267</v>
          </cell>
          <cell r="B63" t="str">
            <v>Dr. Manisha</v>
          </cell>
          <cell r="C63">
            <v>9753785932</v>
          </cell>
          <cell r="D63" t="str">
            <v>C K Birla Hospital</v>
          </cell>
          <cell r="E63" t="str">
            <v>Nirvana Country</v>
          </cell>
          <cell r="F63" t="str">
            <v>Friday</v>
          </cell>
          <cell r="G63" t="str">
            <v>By 1 PM</v>
          </cell>
          <cell r="H63">
            <v>1100</v>
          </cell>
          <cell r="I63">
            <v>1100</v>
          </cell>
          <cell r="J63" t="str">
            <v>Bouquet</v>
          </cell>
          <cell r="K63" t="str">
            <v>From Simon Tully // Dear Doctors and Warrior Gods
Thank you! If my soul and mind could write my gratitude and blessings any better, they would. 
Always, be blessed! You’re the valour that pulls humanity and humankind through… your noble spirits are the highest devotion for me. 
In gratitude and love 
Simone Tully</v>
          </cell>
          <cell r="N63" t="str">
            <v>1  del of this cycle   -  0-cycles pmnt   In Process - Collect 0</v>
          </cell>
          <cell r="O63" t="e">
            <v>#N/A</v>
          </cell>
          <cell r="P63" t="e">
            <v>#N/A</v>
          </cell>
          <cell r="Q63" t="e">
            <v>#N/A</v>
          </cell>
          <cell r="R63" t="e">
            <v>#N/A</v>
          </cell>
          <cell r="S63" t="e">
            <v>#N/A</v>
          </cell>
          <cell r="T63" t="str">
            <v xml:space="preserve">P Rose 25 Walkin Tissue Wrap Message   </v>
          </cell>
        </row>
        <row r="64">
          <cell r="A64">
            <v>3178</v>
          </cell>
          <cell r="B64" t="str">
            <v>Disha Gopal</v>
          </cell>
          <cell r="C64">
            <v>8588003677</v>
          </cell>
          <cell r="D64" t="str">
            <v>T-10/4A, Central Park Resorts, Sec 48</v>
          </cell>
          <cell r="E64" t="str">
            <v>Sohna Road 2</v>
          </cell>
          <cell r="F64" t="str">
            <v>Friday</v>
          </cell>
          <cell r="G64" t="str">
            <v>4 PM to 7 PM</v>
          </cell>
          <cell r="H64">
            <v>1950</v>
          </cell>
          <cell r="I64">
            <v>487.5</v>
          </cell>
          <cell r="J64" t="str">
            <v>Joy</v>
          </cell>
          <cell r="K64" t="str">
            <v>Micxed Flowers // Hold till 8th Jan (24/12)</v>
          </cell>
          <cell r="M64" t="str">
            <v>Mixed Flowers</v>
          </cell>
          <cell r="N64" t="str">
            <v>2  del of this cycle   -  0-cycles pmnt   Completed - Collect 0</v>
          </cell>
          <cell r="O64" t="str">
            <v>P n Y Spray Daisy ( 15 inch ) 4 P n W Glad ( 14 inch ) 11   FF Sachet + Grass</v>
          </cell>
          <cell r="P64" t="str">
            <v>O Asiatic ( 15 Inch ) 2 R n W Car ( 14 Inch ) 11   Grass</v>
          </cell>
          <cell r="Q64" t="str">
            <v>P Eustoma ( 14 Inch ) 2 Mix Alstroemeria ( 12 Inch ) 11   FF Sachet + Grass</v>
          </cell>
          <cell r="R64" t="str">
            <v>Sunflower ( 12 Inch ) 3 P n W Car ( 14 Inch ) 11   FF Sachet + Grass</v>
          </cell>
          <cell r="S64" t="str">
            <v>P Asiatic ( 14 Inch ) 2 P n W Glad ( 14 Inch ) 11   Grass</v>
          </cell>
          <cell r="T64" t="str">
            <v>P n Y Spray Daisy ( 14 Inch ) 4 Pink And White Car 11   FF Sachet + Grass</v>
          </cell>
        </row>
        <row r="65">
          <cell r="A65">
            <v>2652</v>
          </cell>
          <cell r="B65" t="str">
            <v>Shilpi Samantray</v>
          </cell>
          <cell r="C65">
            <v>8527486150</v>
          </cell>
          <cell r="D65" t="str">
            <v>Q-294, DLF Ultima</v>
          </cell>
          <cell r="E65" t="str">
            <v>Manesar</v>
          </cell>
          <cell r="F65" t="str">
            <v>Friday</v>
          </cell>
          <cell r="G65" t="str">
            <v>4 Pm to 7 PM</v>
          </cell>
          <cell r="H65">
            <v>1450</v>
          </cell>
          <cell r="I65">
            <v>362.5</v>
          </cell>
          <cell r="J65" t="str">
            <v>Bliss</v>
          </cell>
          <cell r="K65" t="str">
            <v>Flower Food next (21/05) Do not count todays delivery (30/05) Skip 1 week (26/06) Skip 1 week (09/07) No asiatic Lilies (07/08) No glad now (25/09) Replacement tom (24/10) Skip 1 week (08/11) Skip 2 week (12/12) Skip 1 week (21/01) HDTNP (27/02) Skip 1 week (09/04) HDTNP (15/05) Next del on 5th JUne (18/05)</v>
          </cell>
          <cell r="L65" t="str">
            <v>lilies n Glad</v>
          </cell>
          <cell r="M65" t="str">
            <v>More Eustoams</v>
          </cell>
          <cell r="N65" t="str">
            <v>1  del of this cycle   -   0 -cycles pmnt  Completed - Collect 0</v>
          </cell>
          <cell r="O65" t="e">
            <v>#N/A</v>
          </cell>
          <cell r="P65" t="e">
            <v>#N/A</v>
          </cell>
          <cell r="Q65" t="str">
            <v>O Asiatic ( 14 Inch ) 2 P n W Glad ( 14 Inch ) 7   Grass</v>
          </cell>
          <cell r="R65" t="str">
            <v>Pur Eustoma ( 12 Inch ) 2 Mix Alstroemeria ( 12 Inch ) 7   FF Sachet + Grass</v>
          </cell>
          <cell r="S65" t="str">
            <v xml:space="preserve">P Spray Daisy ( 14 Inch ) 3 Pur n P Car ( 14 Inch ) 7  FF Sachet + Grass </v>
          </cell>
          <cell r="T65" t="str">
            <v>P Asiatic ( 14 Inch ) 2 p Car ( 14 inch ) 7   FF sachet + Grass</v>
          </cell>
        </row>
        <row r="66">
          <cell r="A66">
            <v>2927</v>
          </cell>
          <cell r="B66" t="str">
            <v>Anshita</v>
          </cell>
          <cell r="C66">
            <v>8085480356</v>
          </cell>
          <cell r="D66" t="str">
            <v>H. No. 3107, 2nd Flor, Ansal Versalia, Sec 67 A</v>
          </cell>
          <cell r="E66" t="str">
            <v>Badshahpur</v>
          </cell>
          <cell r="F66" t="str">
            <v>Friday</v>
          </cell>
          <cell r="G66" t="str">
            <v>9:30 Am to 2 PM</v>
          </cell>
          <cell r="H66">
            <v>1450</v>
          </cell>
          <cell r="I66">
            <v>362.5</v>
          </cell>
          <cell r="J66" t="str">
            <v>Bliss</v>
          </cell>
          <cell r="K66" t="str">
            <v>sent one del today (11/12) Skip 1 week (15/01) Skip today (20/02) Today returned (06/03) Skip 1 week (26/03) Hold for 2 week (22/04)</v>
          </cell>
          <cell r="N66" t="str">
            <v>2  del of this cycle   -  1-cycles pmnt   Pending - Collect 1450</v>
          </cell>
          <cell r="O66" t="str">
            <v>Sunflower ( 15 inch ) 2     Grass</v>
          </cell>
          <cell r="P66" t="str">
            <v>Mix Alstroemeria ( 12 Inch ) 9     FF Sachet + Grass</v>
          </cell>
          <cell r="Q66" t="str">
            <v>P n W Car ( 14 Inch ) 9     FF Sachet + Grass</v>
          </cell>
          <cell r="R66" t="str">
            <v>Y Asiatic ( 14 Inch ) 2     Grass</v>
          </cell>
          <cell r="S66" t="str">
            <v xml:space="preserve">P n W Glad ( 14 Inch ) 16  ensure collection  Pese Na  Mile To Call Karna  Grass </v>
          </cell>
          <cell r="T66" t="str">
            <v>Sunflower ( 12 Inch ) 4     FF sachet + Grass</v>
          </cell>
        </row>
        <row r="67">
          <cell r="A67">
            <v>2427</v>
          </cell>
          <cell r="B67" t="str">
            <v>Amrita Jain</v>
          </cell>
          <cell r="C67">
            <v>9560706242</v>
          </cell>
          <cell r="D67" t="str">
            <v>Flat 72, Emilia C2, Gardenia Street</v>
          </cell>
          <cell r="E67" t="str">
            <v>Sohna Road 1</v>
          </cell>
          <cell r="F67" t="str">
            <v>Friday</v>
          </cell>
          <cell r="G67" t="str">
            <v>9 AM - 12 PM</v>
          </cell>
          <cell r="H67">
            <v>1450</v>
          </cell>
          <cell r="I67">
            <v>362.5</v>
          </cell>
          <cell r="J67" t="str">
            <v>Bliss</v>
          </cell>
          <cell r="K67" t="str">
            <v>Referred By Mohar Ray Dahiya // Replacement tom (23/03) No Rose n Orchid (14/04) Send replacement tom of Car (29/07) Payment from Amrita  Das Gupta (20/09) Today Returned (24/10) Do not count last fdel (29/10) Hold due to non payment (26/12) Skip due to non payment (01/01/26) Send one del tom (04/01) HDTNP (27/02)</v>
          </cell>
          <cell r="L67" t="str">
            <v>Rose n Orchid</v>
          </cell>
          <cell r="N67" t="str">
            <v>2  del of this cycle   -  0-cycles pmnt   Completed - Collect 0</v>
          </cell>
          <cell r="O67" t="str">
            <v>Sunflower ( 15 inch ) 2 B Daisy ( 12 inch ) 7   Grass</v>
          </cell>
          <cell r="P67" t="str">
            <v>Pur Eustoma 2 P n W Car ( 14 Inch ) 7   FF Sachet + Grass</v>
          </cell>
          <cell r="Q67" t="str">
            <v>Y Spray Daisy ( 14 Inch ) 3 P n W Glad ( 14 Inch ) 7   FF Sachet + Grass</v>
          </cell>
          <cell r="R67" t="str">
            <v>P Asiatic ( 14 Inch ) 2 Mix Alstroemeria ( 12 Inch ) 7   Grass</v>
          </cell>
          <cell r="S67" t="str">
            <v xml:space="preserve">Sunflower ( 12 Inch ) 2 Pur n P Car ( 14 Inch ) 7  FF Sachet + Grass </v>
          </cell>
          <cell r="T67" t="str">
            <v>P Eustoma ( 12 Inch ) 2 P n W Glad ( 14 Inch ) 7   FF sachet + Grass</v>
          </cell>
        </row>
        <row r="68">
          <cell r="A68">
            <v>1268</v>
          </cell>
          <cell r="B68" t="str">
            <v>Shweta Malhotra</v>
          </cell>
          <cell r="C68">
            <v>9810290780</v>
          </cell>
          <cell r="D68" t="str">
            <v>B-001, Park View Spa Next, Sec 67</v>
          </cell>
          <cell r="E68" t="str">
            <v>Badshahpur</v>
          </cell>
          <cell r="F68" t="str">
            <v>Friday</v>
          </cell>
          <cell r="G68" t="str">
            <v>9 AM to 2 PM</v>
          </cell>
          <cell r="H68">
            <v>1950</v>
          </cell>
          <cell r="I68">
            <v>487.5</v>
          </cell>
          <cell r="J68" t="str">
            <v>Joy</v>
          </cell>
          <cell r="K68" t="str">
            <v>Friday n MOnday//Thursday and Sunday//Oriental//Rajni//BOP//Pink car(13/01) For Next 3 Del-- Rajni//Orchid//Oriental(14/02) This Cycle-- Asiatic//Rajni//P Oriental//P car(07/03) Asiatic Lily Twice and Rest Gerbera and Orchids(10/04) Flower Food Next(17/04) Received Rs.250/-(18/04) lilie sfor next 2 del pls(03/09) Change to Joy Now(18/09) Next Car or Lilies-- NO GULDAWARI(31/10) Oriental Or Spray Daisy next(21/12) NO Rose-- Send Tom(09/01)  Holy Change(16/03) Send a replacement tom(15/04) Replacement tom(08/05) Either single or double color only -- NO Multicolor(30/10) No GULDAWARI n GERBERA (05/01) SEnt a replacement (12/04) Sent replacement today (13/05) Sent replacement today (26/06) No Anthurium (17/05) In Pooja's Account // Send Replacement tom (05/07) Send Replacement tom (09/08) Send replacement tom (22/11) Send Replacement tom (11/04) No But HDTNP (12/06)ton Daisy (02/05)</v>
          </cell>
          <cell r="L68" t="str">
            <v>ANTHURIUM n GULDAWARI n Button Daisy</v>
          </cell>
          <cell r="N68" t="str">
            <v>1  del of this cycle   -  1-cycles pmnt   Pending - Collect 1950</v>
          </cell>
          <cell r="O68" t="str">
            <v>Sunflower ( 15 inch ) 5     Grass</v>
          </cell>
          <cell r="P68" t="str">
            <v>P n W Glad ( 14 Inch ) 22     Grass</v>
          </cell>
          <cell r="Q68" t="str">
            <v>Mix Alstroemeria ( 12 Inch ) 22     FF Sachet + Grass</v>
          </cell>
          <cell r="R68" t="e">
            <v>#N/A</v>
          </cell>
          <cell r="S68" t="str">
            <v>O Asiatic ( 14 Inch ) 4     Grass</v>
          </cell>
          <cell r="T68" t="str">
            <v>Pur n P Car ( 14 Inch ) 22     FF Sachet + Grass</v>
          </cell>
        </row>
        <row r="69">
          <cell r="A69">
            <v>3312</v>
          </cell>
          <cell r="B69" t="str">
            <v>Pallabi Dey</v>
          </cell>
          <cell r="C69">
            <v>9953755297</v>
          </cell>
          <cell r="D69" t="str">
            <v>T-2/403, Uniworld Gardens 1</v>
          </cell>
          <cell r="E69" t="str">
            <v>Sohna Road 1</v>
          </cell>
          <cell r="F69" t="str">
            <v>Monday</v>
          </cell>
          <cell r="G69" t="str">
            <v>4 Pm to 7 PM</v>
          </cell>
          <cell r="H69">
            <v>1950</v>
          </cell>
          <cell r="I69">
            <v>487.5</v>
          </cell>
          <cell r="J69" t="str">
            <v>Joy</v>
          </cell>
          <cell r="N69" t="str">
            <v>3  del of this cycle   -  0-cycles pmnt   Completed - Collect 0</v>
          </cell>
          <cell r="O69" t="str">
            <v>Sunflower ( 15 inch ) 5     Grass</v>
          </cell>
          <cell r="P69" t="str">
            <v>P n W Glad ( 14 Inch ) 22 Collect 1375 Carry Receipt Book Collect 1375 Carry Receipt Book Grass</v>
          </cell>
          <cell r="Q69" t="str">
            <v>P n Y Spray Daisy ( 14 Inch ) 7     FF Sachet + Grass</v>
          </cell>
          <cell r="R69" t="str">
            <v>W Asiatic ( 14 inch ) 4     Grass</v>
          </cell>
          <cell r="S69" t="str">
            <v>R n P Car ( 14 Inch ) 22     FF sachet + Grass</v>
          </cell>
          <cell r="T69" t="str">
            <v>Pur n P Eustoma ( 12 Inch ) 4     FF Sachet + Grass</v>
          </cell>
        </row>
        <row r="70">
          <cell r="B70" t="str">
            <v>Rupinder kaur</v>
          </cell>
          <cell r="C70">
            <v>9313292209</v>
          </cell>
          <cell r="D70" t="str">
            <v>325 Deerwood,Nirvana country,Near south city2,sector 50,Gurgaon.Haryana122018.</v>
          </cell>
          <cell r="G70" t="str">
            <v xml:space="preserve">Before 3Pm </v>
          </cell>
          <cell r="H70">
            <v>2000</v>
          </cell>
          <cell r="J70" t="str">
            <v>Bouquet</v>
          </cell>
          <cell r="K70" t="str">
            <v>Pls send mix eustoma bouquet in walkin tissue wrap today before 3pm , use 10 mix eustoma and make this in walkin tissue wrap 
Rupinder kaur.325 Deerwood,Nirvana country,Near south city2,sector 50,Gurgaon.Haryana122018.Ph no 9313292209</v>
          </cell>
          <cell r="T70" t="str">
            <v xml:space="preserve">Mix eustoma 10 walkin tissue wrap     </v>
          </cell>
        </row>
        <row r="71">
          <cell r="A71">
            <v>1996</v>
          </cell>
          <cell r="B71" t="str">
            <v>Ankita Sethi</v>
          </cell>
          <cell r="C71">
            <v>9899660037</v>
          </cell>
          <cell r="D71" t="str">
            <v>C1/202, Vatika City, Sec 49</v>
          </cell>
          <cell r="E71" t="str">
            <v>Sohna Road 1</v>
          </cell>
          <cell r="F71" t="str">
            <v>Friday</v>
          </cell>
          <cell r="G71" t="str">
            <v>9 AM - 12 PM</v>
          </cell>
          <cell r="H71">
            <v>1450</v>
          </cell>
          <cell r="I71">
            <v>362.5</v>
          </cell>
          <cell r="J71" t="str">
            <v>Bliss</v>
          </cell>
          <cell r="K71" t="str">
            <v>NO GLAD (22/12) Upgrade to Joy (19/01) NO HELICONIA ALSO (20/01) Hold today-send tom (03/02) Skip today (31/03) Send replacement tom (09/04) Sent replacement today and sent 1 replacement today (04/06) Skip today (09/06) Sent replacement today (26/-06) Skip 1 week (29/06) Skip 1 week (11/08) 1 Flower food next (04/11) Flower food next (24/11) Skip 1 week (22/12) Skip 1 week (04/01) Skip 1 week (09/05) Skip Tom (16/05) Add changed (24/05) Return today (31/05) Skip 1 week (16/01) Skip tom (06/02)  Hold today (18/04) Skip 1 week (02/07) Skip 1 week (11/09) Today returned as guldwari sent which was not restricted (21/11) Hold due to non payment (26/12) HDTNP ((24/04) Send one del Tom (26/04)</v>
          </cell>
          <cell r="L71" t="str">
            <v>GLAD n HELICONIA</v>
          </cell>
          <cell r="N71" t="str">
            <v>4  del of this cycle   -  0-cycles pmnt   Completed - Collect 0</v>
          </cell>
          <cell r="O71" t="str">
            <v>Glad 16     FF Sachet + Grass</v>
          </cell>
          <cell r="P71" t="str">
            <v>P Asiatic ( 15 Inch ) 3     Grass</v>
          </cell>
          <cell r="Q71" t="str">
            <v>P n Y Spray Daisy ( 14 Inch ) 5     FF Sachet + Grass</v>
          </cell>
          <cell r="R71" t="str">
            <v>Sunflower ( 12 Inch ) 4     FF Sachet + Grass</v>
          </cell>
          <cell r="S71" t="str">
            <v xml:space="preserve">Pur Eustom ( 12 Inch ) 3    FF Sachet + Grass </v>
          </cell>
          <cell r="T71" t="str">
            <v>P n W Car ( 14 Inch ) 16     FF sachet + Grass</v>
          </cell>
        </row>
        <row r="72">
          <cell r="A72">
            <v>2678</v>
          </cell>
          <cell r="B72" t="str">
            <v>Saachi Satyaarth</v>
          </cell>
          <cell r="C72">
            <v>9643712005</v>
          </cell>
          <cell r="D72" t="str">
            <v>H-1504, Microtek Greenburg, Sec 86</v>
          </cell>
          <cell r="E72" t="str">
            <v>Manesar</v>
          </cell>
          <cell r="F72" t="str">
            <v>Friday</v>
          </cell>
          <cell r="G72" t="str">
            <v>4 PM to 7 PM</v>
          </cell>
          <cell r="H72">
            <v>1450</v>
          </cell>
          <cell r="I72">
            <v>362.5</v>
          </cell>
          <cell r="J72" t="str">
            <v>Bliss</v>
          </cell>
          <cell r="K72" t="str">
            <v>Skip 1 week (04/06) Do not count last Del (28/03) 1 Sunflower Extra next (03/04)</v>
          </cell>
          <cell r="M72" t="str">
            <v>1 Sunflower Extra Next (03/04)</v>
          </cell>
          <cell r="N72" t="str">
            <v>4  del of this cycle   -  0-cycles pmnt   Completed - Collect 0</v>
          </cell>
          <cell r="O72" t="str">
            <v>Sunflower ( 15 inch ) 2 P n W Glad ( 14 inch ) 7   Grass</v>
          </cell>
          <cell r="P72" t="str">
            <v>O Asiatic ( 15 Inch ) 2 R n W Car ( 14 Inch ) 7   Grass</v>
          </cell>
          <cell r="Q72" t="str">
            <v>P Eustoma ( 14 Inch ) 2 Mix Alstroemeria ( 12 Inch ) 7   FF Sachet + Grass</v>
          </cell>
          <cell r="R72" t="str">
            <v>P Spray Daisy ( 14 Inch ) 3 P n W Glad ( 14 Inch ) 7   FF Sachet + Grass</v>
          </cell>
          <cell r="S72" t="str">
            <v xml:space="preserve">Sunflower ( 12 Inch ) 2 Pur n P Car ( 14 Inch ) 7  FF Sachet + Grass </v>
          </cell>
          <cell r="T72" t="str">
            <v>P Asiatic ( 14 Inch ) 2 Alstomeria( 12 Inch ) 7   Grass</v>
          </cell>
        </row>
        <row r="73">
          <cell r="A73">
            <v>3047</v>
          </cell>
          <cell r="B73" t="str">
            <v>Meenal</v>
          </cell>
          <cell r="C73">
            <v>9811222881</v>
          </cell>
          <cell r="D73" t="str">
            <v>168, Deerwood</v>
          </cell>
          <cell r="E73" t="str">
            <v>Badshahpur</v>
          </cell>
          <cell r="F73" t="str">
            <v>Friday</v>
          </cell>
          <cell r="G73" t="str">
            <v>4 PM to 7PM</v>
          </cell>
          <cell r="H73">
            <v>999</v>
          </cell>
          <cell r="I73">
            <v>249.75</v>
          </cell>
          <cell r="J73" t="str">
            <v>Delight</v>
          </cell>
          <cell r="K73" t="str">
            <v>Skip Friday and sned on Monday (07/01) HDTNP (24/04) Skip 2 week (27/05) Today returned (19/06)</v>
          </cell>
          <cell r="N73" t="str">
            <v>4  del of this cycle   -  0-cycles pmnt   Completed - Collect 0</v>
          </cell>
          <cell r="O73" t="str">
            <v>Sunflower ( 15 inch ) 2     Grass</v>
          </cell>
          <cell r="P73" t="e">
            <v>#N/A</v>
          </cell>
          <cell r="Q73" t="e">
            <v>#N/A</v>
          </cell>
          <cell r="R73" t="str">
            <v>P Asiatic ( 14 Inch ) 2     Grass</v>
          </cell>
          <cell r="S73" t="str">
            <v xml:space="preserve">Pur n P Car ( 14 Inch ) 9    FF Sachet + Grass </v>
          </cell>
          <cell r="T73" t="str">
            <v>P n W Glad ( 14 Inch ) 9     Grass</v>
          </cell>
        </row>
        <row r="74">
          <cell r="A74">
            <v>2018</v>
          </cell>
          <cell r="B74" t="str">
            <v>Lakshmi Shankaran</v>
          </cell>
          <cell r="C74">
            <v>9818054747</v>
          </cell>
          <cell r="D74" t="str">
            <v>C2/202,  Sovereign Vatika City</v>
          </cell>
          <cell r="E74" t="str">
            <v>Sohna Road 1</v>
          </cell>
          <cell r="F74" t="str">
            <v>Friday</v>
          </cell>
          <cell r="G74" t="str">
            <v>9 AM - 12 PM</v>
          </cell>
          <cell r="H74">
            <v>1450</v>
          </cell>
          <cell r="I74">
            <v>362.5</v>
          </cell>
          <cell r="J74" t="str">
            <v>Bliss</v>
          </cell>
          <cell r="K74" t="str">
            <v>Friday n Monday//Skip 1 week n send 1 Flower foo with next del (11/01) Skip 1 week and send 1 Flowers food box next (21/01) Send 1 FF Tom (05/02) Red n Yel Gerbera Tom (06/04) Sent a replacement today (08/04) same bliss package (27/04) Send change tom (01/06) Send replacement today due to Glad (17/07) No Bliss (27/07) Skip 1 week (29/11) Skip 1 week (23/03) Hold - start from 7th June (16/05) do not count last del (01/11) Today received 900 extra (05/12) Skip 1 week (09/01) Skip 1 week (21/01) Skip tom (22/05) Skip 2 weeks after 8th June (04/06) Today returned (27/06) Skip 1 week (05/11) Skip tom (15/01) Skip 1 week (13/95) Skip 1 week (28/05) Skip 1 week (16/06)</v>
          </cell>
          <cell r="L74" t="str">
            <v>GERBERA n GLAD</v>
          </cell>
          <cell r="N74" t="str">
            <v>3  del of this cycle   -  0-cycles pmnt   Completed - Collect 0</v>
          </cell>
          <cell r="O74" t="str">
            <v>P n Y Spray Daisy ( 15 inch ) 5     FF Sachet + Grass</v>
          </cell>
          <cell r="P74" t="e">
            <v>#N/A</v>
          </cell>
          <cell r="Q74" t="str">
            <v>Mix Alstroemeria ( 12 Inch ) 16     FF Sachet + Grass</v>
          </cell>
          <cell r="R74" t="str">
            <v>W Asiatic ( 14 inch ) 3     Grass</v>
          </cell>
          <cell r="S74" t="e">
            <v>#N/A</v>
          </cell>
          <cell r="T74" t="str">
            <v>Pur n P Car ( 14 Inch ) 16     FF sachet + Grass</v>
          </cell>
        </row>
        <row r="75">
          <cell r="A75">
            <v>1974</v>
          </cell>
          <cell r="B75" t="str">
            <v>Suruchi Maitra</v>
          </cell>
          <cell r="C75">
            <v>9810239177</v>
          </cell>
          <cell r="D75" t="str">
            <v>D-98, Vipul World</v>
          </cell>
          <cell r="E75" t="str">
            <v>Sohna Road 2</v>
          </cell>
          <cell r="F75" t="str">
            <v>Friday</v>
          </cell>
          <cell r="G75" t="str">
            <v>9 AM - 12 PM</v>
          </cell>
          <cell r="H75">
            <v>2750</v>
          </cell>
          <cell r="I75">
            <v>687.5</v>
          </cell>
          <cell r="J75" t="str">
            <v>Elation</v>
          </cell>
          <cell r="K75" t="str">
            <v>No Spray Daisy (03/10) Now upgrade to Elation (14/10) Hold n start from 6th Jan (17/12) Hold n strat from 30th June (10/06) Hold n start from 5th Jan (30/12) Skip 1 week (06/06) Skip 1 week (22/06) Hold today and send after 29th (20'/12) Skip 2 week (21/06) Skip 2 week (18/12)</v>
          </cell>
          <cell r="N75" t="str">
            <v>4  del of this cycle   -  0-cycles pmnt   Completed - Collect 0</v>
          </cell>
          <cell r="O75" t="str">
            <v>P Asiatic ( 15 inch ) 6     2 Gypsola</v>
          </cell>
          <cell r="P75" t="str">
            <v>P n W Spray Daisy ( 15 Inch ) 10     2 Limonium + Ff Sachet</v>
          </cell>
          <cell r="Q75" t="str">
            <v>Pur n P Eustoma ( 14 Inch ) 6     2 Gypsola + FF Sachet</v>
          </cell>
          <cell r="R75" t="str">
            <v>Pur n P Car ( 14 Inch ) 32     2 Limonium + FF sachet</v>
          </cell>
          <cell r="S75" t="str">
            <v>P n Pur Eustoma ( 12 Inch ) 6     FF sachet + Grass</v>
          </cell>
          <cell r="T75" t="str">
            <v>O Asiatic ( 14 Inch ) 6     2 Gypaols</v>
          </cell>
        </row>
        <row r="76">
          <cell r="A76">
            <v>3011</v>
          </cell>
          <cell r="B76" t="str">
            <v>Nandita Sharma</v>
          </cell>
          <cell r="C76">
            <v>9702930000</v>
          </cell>
          <cell r="D76" t="str">
            <v>Sovereign-2/102, Vatila City</v>
          </cell>
          <cell r="E76" t="str">
            <v>Sohna Road 1</v>
          </cell>
          <cell r="F76" t="str">
            <v>Friday</v>
          </cell>
          <cell r="G76" t="str">
            <v>9 AM to 2 PM</v>
          </cell>
          <cell r="H76">
            <v>1450</v>
          </cell>
          <cell r="I76">
            <v>362.5</v>
          </cell>
          <cell r="J76" t="str">
            <v>Bliss</v>
          </cell>
          <cell r="K76" t="str">
            <v>Hld till 8th Mar (22/02)</v>
          </cell>
          <cell r="N76" t="str">
            <v>3  del of this cycle   -  0-cycles pmnt   Completed - Collect 0</v>
          </cell>
          <cell r="O76" t="str">
            <v>Sunflower ( 15 inch ) 2 P n W Car ( 14 inch ) 7   FF Sachet + Grass</v>
          </cell>
          <cell r="P76" t="str">
            <v>O Asiatic ( 15 Inch ) 2 Mix Alstroemeria ( 12 Inch )  7   Grass</v>
          </cell>
          <cell r="Q76" t="str">
            <v>P Spray Daisy ( 14 Inch ) 3 P n W Glad ( 14 Inch ) 7   FF Sachet + Grass</v>
          </cell>
          <cell r="R76" t="str">
            <v>Pur Eustoma ( 12 Inch ) 2 Pur n P Car ( 14 Inch ) 7   FF Sachet + Grass</v>
          </cell>
          <cell r="S76" t="str">
            <v xml:space="preserve">Sunflower ( 12 Inch ) 2 Mix Alstroemeria (  12 Inch ) 7  FF Sachet + Grass </v>
          </cell>
          <cell r="T76" t="str">
            <v>P Asiatic ( 14 Inch ) 2 Rajni ( 14 Inch ) 7   Grass</v>
          </cell>
        </row>
        <row r="77">
          <cell r="A77">
            <v>3109</v>
          </cell>
          <cell r="B77" t="str">
            <v>Dr. Apoorva Batra</v>
          </cell>
          <cell r="C77">
            <v>9896166336</v>
          </cell>
          <cell r="D77" t="str">
            <v>T-40/002, Emaar Emerald Floors Premiers, Sec 65</v>
          </cell>
          <cell r="E77" t="str">
            <v>Badshahpur</v>
          </cell>
          <cell r="F77" t="str">
            <v>Friday</v>
          </cell>
          <cell r="G77" t="str">
            <v>4 Pm to 7 PM</v>
          </cell>
          <cell r="H77">
            <v>999</v>
          </cell>
          <cell r="I77">
            <v>249.75</v>
          </cell>
          <cell r="J77" t="str">
            <v>Delight</v>
          </cell>
          <cell r="K77" t="str">
            <v>HDTNP (22/05) Skip 1 week (11/06) Hold after current cycle (20/06)</v>
          </cell>
          <cell r="N77" t="str">
            <v>3  del of this cycle   -  0-cycles pmnt   Completed - Collect 0</v>
          </cell>
          <cell r="O77" t="e">
            <v>#N/A</v>
          </cell>
          <cell r="P77" t="str">
            <v>O Asiatic ( 15 Inch ) 2     Grass</v>
          </cell>
          <cell r="Q77" t="str">
            <v>P n W Glad ( 14 Inch ) 9     Grass</v>
          </cell>
          <cell r="R77" t="e">
            <v>#N/A</v>
          </cell>
          <cell r="S77" t="str">
            <v xml:space="preserve">Mix Car 9    FF Sachet + Grass </v>
          </cell>
          <cell r="T77" t="str">
            <v>P Spray Daisy ( 14 Inch ) 3     FF aschet + Grass</v>
          </cell>
        </row>
        <row r="78">
          <cell r="A78">
            <v>296</v>
          </cell>
          <cell r="B78" t="str">
            <v>Madhu Thapliyal</v>
          </cell>
          <cell r="C78">
            <v>9999364696</v>
          </cell>
          <cell r="D78" t="str">
            <v>2/201, Sovereign, Vatika City</v>
          </cell>
          <cell r="E78" t="str">
            <v>Sohna Road 1</v>
          </cell>
          <cell r="F78" t="str">
            <v>Friday</v>
          </cell>
          <cell r="G78" t="str">
            <v>9 AM - 12 PM</v>
          </cell>
          <cell r="H78">
            <v>1450</v>
          </cell>
          <cell r="I78">
            <v>362.5</v>
          </cell>
          <cell r="J78" t="str">
            <v>Bliss</v>
          </cell>
          <cell r="K78" t="str">
            <v xml:space="preserve">  Orchids tom(11/10) Pls sned on thursday with Lilies(27/10) Orchids next(22/11) Orchids Next(06/12) Skip n send Chrysanthemum on Momday(17/01) Skip 1 week and  Orchids Next(24/01) Lilies Next(31/01) Orchids nxt(07/02) Paytm from Chandresh(08/02) P n W Chrysanthemum Tom(14/02) NO R Orchids next(21/02)  NO RAJNI N GLAD(25/02)  No Red Daisy (13/10) Skip 1 week (20/10) 1 Spray Daisy Next (30/10) Skip 1 week (07/11) NO GLAD (02/12) Skip 1 week (08/12) Upgrade to Joy (16/12) NO GLAD  AND NO HELICONIA(22/12) Skip 1 week (05/01) P n W Gerbera Next (09/01) SEnt repolacement today (16/01) Skip 1 week (25/01) Spray Daisy Next (16/02) Spray Daisy next (06/04) Sent replacement (09/04) skip 1 wek (13/04) Skip 1 week (20/04) Change to Bliss and send flower food -- No BOP n Glad (18/05) Skip 1 week (31/05) Return today and skip 2 week (09/06) Skip 1 week (14/06) Sent replacement today (26/06) Skip 1 week (29/06) Skip 1 week (08/11) Skip 1 week (18/12) Skip 1 week (25/01) Skip 1 week (08/02) Skip 2 week (21/03) Hold tom (16/05) Skip 2 week (10/096) Sent replacement today (15/07) Skip 1 week (22/07) Spray Daisy next (15/08) Hold today (25/10) Skip this week (25/10) Return today n hold next week also (03/01) Skip 1 week (23/01) Hold today (28/03) Skip 1 week (10/04) Skip tom (19/06) Skip 1 week (02/07) Skip 1 week (24/07) Skip 1 week (01/08) Skip 1 week (15/10) Skip 1 week (19/11) Skip 1 week (05/01) Skip 1 week (17/01) Skip 1 week (29/01) Skip 1 week (22/03) Statice next (19/04)</v>
          </cell>
          <cell r="L78" t="str">
            <v>GLAD n BOP</v>
          </cell>
          <cell r="M78" t="str">
            <v>Statice next (19/04)</v>
          </cell>
          <cell r="N78" t="str">
            <v>3  del of this cycle   -  0-cycles pmnt   Completed - Collect 0</v>
          </cell>
          <cell r="O78" t="str">
            <v>Sunflower ( 15 inch ) 4     Grass</v>
          </cell>
          <cell r="P78" t="str">
            <v>Mix Alstroemeria ( 12 Inch ) 16     FF Sachet + Grass</v>
          </cell>
          <cell r="Q78" t="str">
            <v>P n W Spray Daisy ( 14 Inch ) 5     FF Sachet + Grass</v>
          </cell>
          <cell r="R78" t="str">
            <v>Pur n P Car ( 14 Inch ) 16     FF Sachet + Grass</v>
          </cell>
          <cell r="S78" t="str">
            <v xml:space="preserve">O Asiatic ( 14 Inch ) 3    Grass </v>
          </cell>
          <cell r="T78" t="str">
            <v>Mix Alstroemeria 16     FF sachet + Grass</v>
          </cell>
        </row>
        <row r="79">
          <cell r="A79">
            <v>833</v>
          </cell>
          <cell r="B79" t="str">
            <v>Parul Mahajan</v>
          </cell>
          <cell r="C79">
            <v>9560889949</v>
          </cell>
          <cell r="D79" t="str">
            <v>T-5/1002, Vipul Greens,Sec 48</v>
          </cell>
          <cell r="E79" t="str">
            <v>Sohna Road 2</v>
          </cell>
          <cell r="F79" t="str">
            <v>Friday</v>
          </cell>
          <cell r="G79" t="str">
            <v>9 AM - 12 PM</v>
          </cell>
          <cell r="H79">
            <v>3500</v>
          </cell>
          <cell r="I79">
            <v>875</v>
          </cell>
          <cell r="J79" t="str">
            <v>Customized</v>
          </cell>
          <cell r="K79" t="str">
            <v>Tuesday and saturday//Sunday and Thursday//Paytm From Parul Kaistha(23/04) Hold n send now from 2nd July(01/06) Start from tomorrow(28/06) FF sold n received 80 today(27/07) Skip 1 week(16/08) Send FF Next(07/09) FF Tom(13/09) Hold today n skip next week(26/10) Hold n start after 15th jan(20/12) START AND SWITCH TO SATURDAY ONCE LOCKDOWN IS OVER(27/08/20) Day Changed to Sunday(26/11) Upgrade to 1250 pack and send remaining flower of last del(08/02) Senmd Pending Flowers(15/02) Change to Charm Package(03/04) Flower Food Next(16/04) Today Missed-send flower food next(18/04) Received paytm of 250 today(23/04) Sunday and Thursday(20/06) Skip n start from 13th(08/09) Upgrade to Grace(02/10) Send Sunday del tom with Orchids(15/10) NOW Savor(17/11) Payment from Fun times with rhea, send remaining flowers in next del(17/11) Hold n start after 16th Jan(16/12)  Holy Change(16/03) Skip 1 week(14/04) Skip 1 week(27/07) Hold today (10/11) Skip 1 week n wait for new Add (05/02) Hold till 26th June (22/05) Skip 1 week (14/08) Skip 2 week (02/10) Skip 1 week (22/11) Skip 1 week (21/01) Hold till she confirm (25/05) Hold till 26th (16/10) Paytm from Parul Kayastha (20/03)</v>
          </cell>
          <cell r="N79" t="str">
            <v>1  del of this cycle   -  0-cycles pmnt   Completed - Collect 0</v>
          </cell>
          <cell r="O79" t="str">
            <v>P Asiatic ( 15 inch ) 3 P n W Car ( 14 inch ) 18   2 Limonium + FF aschet</v>
          </cell>
          <cell r="P79" t="str">
            <v>P n W Eustoma ( 14 Inch ) 4 P n W Glad ( 14 Inch ) 18   2 Gypsola + FF Sachet</v>
          </cell>
          <cell r="Q79" t="str">
            <v>P n Y Spray Daisy ( 14 Inch ) 5 Mix Alstroemeria ( 12 Inch ) 18   2 Limonium + FF Sachet</v>
          </cell>
          <cell r="R79" t="e">
            <v>#N/A</v>
          </cell>
          <cell r="S79" t="e">
            <v>#N/A</v>
          </cell>
          <cell r="T79" t="str">
            <v>O Asiatic ( 14 Inch ) 4 Pur n p Car ( 14 inch ) 18   2 Gypsola</v>
          </cell>
        </row>
        <row r="80">
          <cell r="A80">
            <v>148</v>
          </cell>
          <cell r="B80" t="str">
            <v>Ruchi Kathpalia</v>
          </cell>
          <cell r="C80">
            <v>9899052574</v>
          </cell>
          <cell r="D80" t="str">
            <v>227, Lane 6B,Sector17,Gurgaon</v>
          </cell>
          <cell r="E80" t="str">
            <v>Old Gurgaon</v>
          </cell>
          <cell r="F80" t="str">
            <v>Friday</v>
          </cell>
          <cell r="G80" t="str">
            <v>4 PM to 7PM</v>
          </cell>
          <cell r="H80">
            <v>999</v>
          </cell>
          <cell r="I80">
            <v>249.75</v>
          </cell>
          <cell r="J80" t="str">
            <v>Delight</v>
          </cell>
          <cell r="K80" t="str">
            <v>Pls send some Extra flowers(22/08)Send glad on Friday this week only(27/09) Gifted 1 subscription of 450 to her mother(16/12) NO ROSE(21/12) Upgrade to 650 Plan n NO ORCHID(02/05) NO ASIATIC n ORCHID(04/05) FF Sold Today(20/07) FF Sold today(24/08) GLAD Next(26/09) paytm recvd of 150 from Aditya Kathpalia(11/01) Glad next(03/09/20) Sending Del tom due to Diwali(11/11) Preferred Flowers-- Glad+Chrysanthemum + Tuberose + Car(30/11) NO ROSE(05/02) Holy Change(16/03) NO ROSE (26/04) Pooja's Account (07/07) Send tom (06/02)</v>
          </cell>
          <cell r="L80" t="str">
            <v>ROSE</v>
          </cell>
          <cell r="N80" t="str">
            <v>4  del of this cycle   -  0-cycles pmnt   Completed - Collect 0</v>
          </cell>
          <cell r="O80" t="str">
            <v>Mix Glad 9     Grass</v>
          </cell>
          <cell r="P80" t="str">
            <v>Mix Alstroemeria ( 12 Inch ) 9     FF Sachet + Grass</v>
          </cell>
          <cell r="Q80" t="str">
            <v>O Asiatic ( 14 Inch ) 2     Grass</v>
          </cell>
          <cell r="R80" t="str">
            <v>Pur n P Car ( 14 Inch ) 9     FF Sachet + Grass</v>
          </cell>
          <cell r="S80" t="str">
            <v xml:space="preserve">Rajni 9    Grass </v>
          </cell>
          <cell r="T80" t="str">
            <v>P n W Glad ( 14 Inch ) 9     Grass</v>
          </cell>
        </row>
        <row r="81">
          <cell r="A81">
            <v>3307</v>
          </cell>
          <cell r="B81" t="str">
            <v>Amit Jindal</v>
          </cell>
          <cell r="C81">
            <v>8860400001</v>
          </cell>
          <cell r="D81" t="str">
            <v>T-5/1401, Vipul Greens</v>
          </cell>
          <cell r="E81" t="str">
            <v>Sohna Road 2</v>
          </cell>
          <cell r="F81" t="str">
            <v>Friday</v>
          </cell>
          <cell r="G81" t="str">
            <v>9:30 AM to 2 PM</v>
          </cell>
          <cell r="H81">
            <v>2626</v>
          </cell>
          <cell r="I81">
            <v>656.5</v>
          </cell>
          <cell r="J81" t="str">
            <v>Customized</v>
          </cell>
          <cell r="K81" t="str">
            <v>3 Oriental every week // Today Hold n returned (12/06)</v>
          </cell>
          <cell r="N81" t="str">
            <v>3  del of this cycle   -  0-cycles pmnt   Completed - Collect 0</v>
          </cell>
          <cell r="O81" t="str">
            <v>W Oriental ( 16 Inch ) 3     1 Limonium + FF aschet</v>
          </cell>
          <cell r="P81" t="str">
            <v>P Oriental ( 15 Inch ) 3     1 gypsola</v>
          </cell>
          <cell r="Q81" t="str">
            <v>P Oriental ( 16 Inch ) 3     1 Limonium</v>
          </cell>
          <cell r="R81" t="str">
            <v>W Oriental ( 15 Inch ) 3     1 Gypsola</v>
          </cell>
          <cell r="S81" t="str">
            <v>P Oriental ( 15 Inch ) 3     1 Limonium</v>
          </cell>
          <cell r="T81" t="str">
            <v>W Oriental 3     1 gypaols</v>
          </cell>
        </row>
        <row r="82">
          <cell r="A82">
            <v>1571</v>
          </cell>
          <cell r="B82" t="str">
            <v>Mohar Ray Dahiya</v>
          </cell>
          <cell r="C82">
            <v>9910019898</v>
          </cell>
          <cell r="D82" t="str">
            <v>Sovereign-3/201, Vatika City</v>
          </cell>
          <cell r="E82" t="str">
            <v>Sohna Road 1</v>
          </cell>
          <cell r="F82" t="str">
            <v>Friday</v>
          </cell>
          <cell r="G82" t="str">
            <v>9 AM to 2 PM</v>
          </cell>
          <cell r="H82">
            <v>1600</v>
          </cell>
          <cell r="I82">
            <v>200</v>
          </cell>
          <cell r="J82" t="str">
            <v>Bloom</v>
          </cell>
          <cell r="K82" t="str">
            <v>Friday and Monday(29/06)Chamged to Friday//NO Tape Usage(10/12) Rajni and Car next -- No Red Car(14/01)  Glad and Rose-- Pref both Red(11/02) Spray Daisy and Guldawari this week(24/02) Send Mix of BOP and anthurium(28/02) Mix of Orchid and Lily next(10/03)   NO BOP AND ANTHURIUM(18/04)NO BOP/ANTHURIUM/HELICONIA AND ORIENTAL(01/06) Spray Daisy Next(10/07) Mix Glad Next(30/08) Lilies if they are good else  any other flower in Red/Orange or Yellow (19/10) Yellow Glad Next (27/11) No Joy Package and sned Rose and Guldawari Tom (15/12) Send mix of Red n W Car anmd Guldawari tom (22/12) Pls send on sunday this week instead of friday (08/01) Guldawari and Orchids Next (16/01) NO RAJNI til they become better(04/08) Send replacement today(23/09) Aster in Subscription (19/10) Glad Next (08/11) No Delivery between (5th Jan to 16th Jan (28/12) NO BOP n GERBERA (23/02) Hold till 23rd Jan (30/12) Rs. 725 added against referal credit of Amrita Jain Subscription (08/03) Do not count last del (19/04) Friday missed (16/06) Skip this friday (25/06) Hold from 5th to 12th (04/01)</v>
          </cell>
          <cell r="L82" t="str">
            <v>BOP n GERBERA</v>
          </cell>
          <cell r="N82" t="str">
            <v>1  del of this cycle   -  1-cycles pmnt   Pending - Collect 1600</v>
          </cell>
          <cell r="O82" t="str">
            <v>Rajni ( 16 inch ) 7     Grass</v>
          </cell>
          <cell r="P82" t="str">
            <v>P n W Glad ( 14 Inch ) 7     Grass</v>
          </cell>
          <cell r="Q82" t="str">
            <v>R n W Car ( 14 Inch ) 7     FF Sachet + Grass</v>
          </cell>
          <cell r="R82" t="str">
            <v>Rajni ( 14 Inch ) 7     Grass</v>
          </cell>
          <cell r="S82" t="str">
            <v>P n W Glad ( 14 Inch ) 7     Grass</v>
          </cell>
          <cell r="T82" t="str">
            <v>P n W Car ( 14 Inch ) 7     FF sachet + Grass</v>
          </cell>
        </row>
        <row r="83">
          <cell r="A83">
            <v>2066</v>
          </cell>
          <cell r="B83" t="str">
            <v>Shilpi Tibrewal</v>
          </cell>
          <cell r="C83">
            <v>9999103067</v>
          </cell>
          <cell r="D83" t="str">
            <v>Tower-A/3803, Ireo Victory Valley, Sec 67</v>
          </cell>
          <cell r="E83" t="str">
            <v>Badshahpur</v>
          </cell>
          <cell r="F83" t="str">
            <v>Friday</v>
          </cell>
          <cell r="G83" t="str">
            <v>4 Pm to 7 PM</v>
          </cell>
          <cell r="H83">
            <v>1450</v>
          </cell>
          <cell r="I83">
            <v>362.5</v>
          </cell>
          <cell r="J83" t="str">
            <v>Bliss</v>
          </cell>
          <cell r="K83" t="str">
            <v>Either Rose or Car// Normal Flowers (04/05) Sent replacement today (26/08) Return yesterday (17/08) Today returned (25/07)</v>
          </cell>
          <cell r="N83" t="str">
            <v>3  del of this cycle   -  0-cycles pmnt   CompletedNO COLLECTION-we have extra money - Collect -50</v>
          </cell>
          <cell r="O83" t="str">
            <v>P Asiatic ( 15 inch ) 3     Grass</v>
          </cell>
          <cell r="P83" t="str">
            <v>R n W Car ( 14 Inch ) 16     FF Sachet + Grass</v>
          </cell>
          <cell r="Q83" t="str">
            <v>Pur Eustom ( 14 Inch ) 3     FF Sachet + Grass</v>
          </cell>
          <cell r="R83" t="str">
            <v>P n Y Spray Daisy ( 14 Inch ) 5     FF Sachet + Grass</v>
          </cell>
          <cell r="S83" t="str">
            <v xml:space="preserve">P n W Glad ( 14 Inch ) 16    Grass </v>
          </cell>
          <cell r="T83" t="str">
            <v>O Asiatic ( 14 Inch ) 3     Grass</v>
          </cell>
        </row>
        <row r="84">
          <cell r="A84">
            <v>3076</v>
          </cell>
          <cell r="B84" t="str">
            <v>Aishwarya -- Acacia</v>
          </cell>
          <cell r="C84">
            <v>8454952029</v>
          </cell>
          <cell r="D84" t="str">
            <v>11/2, Acacia, Vatika City</v>
          </cell>
          <cell r="E84" t="str">
            <v>Sohna Road 1</v>
          </cell>
          <cell r="F84" t="str">
            <v>Friday</v>
          </cell>
          <cell r="G84" t="str">
            <v>9 AM - 12 PM</v>
          </cell>
          <cell r="H84">
            <v>2750</v>
          </cell>
          <cell r="I84">
            <v>687.5</v>
          </cell>
          <cell r="J84" t="str">
            <v>Elation</v>
          </cell>
          <cell r="K84" t="str">
            <v>Upgrade to elation (06/11) Hold due to non payment (18/12) hold due to non payment (16/01)</v>
          </cell>
          <cell r="N84" t="str">
            <v>4  del of this cycle   -  0-cycles pmnt   Completed - Collect 0</v>
          </cell>
          <cell r="O84" t="str">
            <v>Sunflower ( 15 inch ) 4 P n W Glad ( 14 inch ) 15   2 Gypsola</v>
          </cell>
          <cell r="P84" t="str">
            <v>P n Y Spray Daisy ( 15 Inch ) 5 P n W Car ( 14 Inch ) 16   2 Limonium + Ff Sachet</v>
          </cell>
          <cell r="Q84" t="str">
            <v>Pur Eustom ( 14 Inch ) 3 Mix Alstroemeria ( 12 Inch ) 16   2 Gypsola + FF Sachet</v>
          </cell>
          <cell r="R84" t="str">
            <v>Y Asiatic ( 14 Inch ) 3 P n W Glad ( 14 Inch ) 16   2 Limonium</v>
          </cell>
          <cell r="S84" t="str">
            <v>Sunflower ( 12 Inch ) 4 Pur n P Car ( 14 Inch ) 16   FF sachet + Grass</v>
          </cell>
          <cell r="T84" t="str">
            <v>P n Y Spray Daisy ( 14 Inch ) 5 P n W Glad ( 14 Inch ) 15   2 Gypsola + FF Sachet</v>
          </cell>
        </row>
        <row r="85">
          <cell r="A85">
            <v>359</v>
          </cell>
          <cell r="B85" t="str">
            <v>Sudipta Karnik</v>
          </cell>
          <cell r="C85">
            <v>9810266546</v>
          </cell>
          <cell r="D85" t="str">
            <v>Tower 4, Flat 6A, Bellevue, Central Park,Sector-48    Sec 48 Gurgoan  122001</v>
          </cell>
          <cell r="E85" t="str">
            <v>Sohna Road 2</v>
          </cell>
          <cell r="F85" t="str">
            <v>Friday</v>
          </cell>
          <cell r="G85" t="str">
            <v>9 AM - 12 PM</v>
          </cell>
          <cell r="H85">
            <v>1950</v>
          </cell>
          <cell r="I85">
            <v>487.5</v>
          </cell>
          <cell r="J85" t="str">
            <v>Joy</v>
          </cell>
          <cell r="K85" t="str">
            <v>Pls send diff flowers in both package(24/07)Pls send only white color flowers other that Rajni till Nov-18(19/10)NO ROSE(20/12) FLOWER FOOD(10/04) Rs.80/- received against Special Pack(13/04) Send 1 pack of spaecial pack(18/05)  ONLY ASIATIC TILL NEXT INSTR(07/06) Return-send tom(29/06) Sent 2 del today with 40 Car(16/09) Return-send tom(30/11) Change day to Friday(22/02) Hold today-sent next week(10/07/20) Today hold-send tom(04/09/20) Gerbera Next(23/09/20) Sending del Tom due to Diwali(11/11) Skip 1 week(09/07) Skip 1 week(15/09) NO HELICONIA(24/12) Holy Change(16/03) Send replacement tom (03/06)</v>
          </cell>
          <cell r="N85" t="str">
            <v>4  del of this cycle   -  0-cycles pmnt   Completed - Collect 0</v>
          </cell>
          <cell r="O85" t="str">
            <v>Glad 22     Grass</v>
          </cell>
          <cell r="P85" t="str">
            <v>Y Orchid  7     FF Sachet + Grass</v>
          </cell>
          <cell r="Q85" t="str">
            <v>O Asiatic ( 14 Inch ) 4     Grass</v>
          </cell>
          <cell r="R85" t="str">
            <v>Sunflower ( 12 Inch ) 5     FF Sachet + Grass</v>
          </cell>
          <cell r="S85" t="str">
            <v>R n P Car ( 14 Inch ) 22     FF sachet + Grass</v>
          </cell>
          <cell r="T85" t="str">
            <v>Mix Alstroemeria 20     FF Sachet + Grass</v>
          </cell>
        </row>
        <row r="86">
          <cell r="A86" t="str">
            <v>B56266</v>
          </cell>
          <cell r="B86" t="str">
            <v>Dr. Neha</v>
          </cell>
          <cell r="C86">
            <v>9753785932</v>
          </cell>
          <cell r="D86" t="str">
            <v>C K Birla Hospital</v>
          </cell>
          <cell r="E86" t="str">
            <v>Nirvana Country</v>
          </cell>
          <cell r="F86" t="str">
            <v>Friday</v>
          </cell>
          <cell r="G86" t="str">
            <v>By 1 PM</v>
          </cell>
          <cell r="H86">
            <v>1100</v>
          </cell>
          <cell r="I86">
            <v>1100</v>
          </cell>
          <cell r="J86" t="str">
            <v>Bouquet</v>
          </cell>
          <cell r="K86" t="str">
            <v>From Simon Tully // Dear Doctors and Warrior Gods
Thank you! If my soul and mind could write my gratitude and blessings any better, they would. 
Always, be blessed! You’re the valour that pulls humanity and humankind through… your noble spirits are the highest devotion for me. 
In gratitude and love 
Simone Tully</v>
          </cell>
          <cell r="N86" t="str">
            <v>1  del of this cycle   -  0-cycles pmnt   In Process - Collect 0</v>
          </cell>
          <cell r="O86" t="e">
            <v>#N/A</v>
          </cell>
          <cell r="P86" t="e">
            <v>#N/A</v>
          </cell>
          <cell r="Q86" t="e">
            <v>#N/A</v>
          </cell>
          <cell r="R86" t="e">
            <v>#N/A</v>
          </cell>
          <cell r="S86" t="e">
            <v>#N/A</v>
          </cell>
          <cell r="T86" t="str">
            <v xml:space="preserve">P Rose 25 Walkin Tissue Wrap Message   </v>
          </cell>
        </row>
        <row r="87">
          <cell r="A87" t="str">
            <v>B56268</v>
          </cell>
          <cell r="B87" t="str">
            <v>Dr. Rohan Khandelewal</v>
          </cell>
          <cell r="C87">
            <v>9753785932</v>
          </cell>
          <cell r="D87" t="str">
            <v>C K Birla Hospital</v>
          </cell>
          <cell r="E87" t="str">
            <v>Nirvana Country</v>
          </cell>
          <cell r="F87" t="str">
            <v>Friday</v>
          </cell>
          <cell r="G87" t="str">
            <v>By 1 PM</v>
          </cell>
          <cell r="H87">
            <v>1100</v>
          </cell>
          <cell r="I87">
            <v>1100</v>
          </cell>
          <cell r="J87" t="str">
            <v>Bouquet</v>
          </cell>
          <cell r="K87" t="str">
            <v>From Simon Tully // Dear Doctors and Warrior Gods
Thank you! If my soul and mind could write my gratitude and blessings any better, they would. 
Always, be blessed! You’re the valour that pulls humanity and humankind through… your noble spirits are the highest devotion for me. 
In gratitude and love 
Simone Tully</v>
          </cell>
          <cell r="N87" t="str">
            <v>1  del of this cycle   -  0-cycles pmnt   In Process - Collect 0</v>
          </cell>
          <cell r="O87" t="e">
            <v>#N/A</v>
          </cell>
          <cell r="P87" t="e">
            <v>#N/A</v>
          </cell>
          <cell r="Q87" t="e">
            <v>#N/A</v>
          </cell>
          <cell r="R87" t="e">
            <v>#N/A</v>
          </cell>
          <cell r="S87" t="e">
            <v>#N/A</v>
          </cell>
          <cell r="T87" t="str">
            <v xml:space="preserve">Yel Rose 25 Walkin Tissue Wrap Message   </v>
          </cell>
        </row>
        <row r="88">
          <cell r="B88" t="str">
            <v>Rashmi Mehta</v>
          </cell>
          <cell r="C88" t="str">
            <v>96192 02856</v>
          </cell>
          <cell r="D88" t="str">
            <v>Flat 1802 Tower 14 The Close South Nirvana country</v>
          </cell>
          <cell r="H88">
            <v>3410</v>
          </cell>
          <cell r="J88" t="str">
            <v>Bouquet</v>
          </cell>
          <cell r="K88" t="str">
            <v>Rashmi Mehta tomorrow morning 
Here is my final order: 
4 oriental Lilies (long stalk with most flowers) 
1 blue orchid 
12 Rajnigandha - long stalk (my vase is very long) 
1 preserved hydrangea (pink only if available) 
12 Carnations - pink and white (long stem) 
palm leaves, greens
2 Gypso
+91 96192 02856</v>
          </cell>
          <cell r="T88" t="str">
            <v>W Oriental Lilies+Blue Orchid+Rajni+Pink n White Car+preserved hydrangea  4+1+12+12+1     palm leaves, greens
2 Gypso</v>
          </cell>
        </row>
        <row r="89">
          <cell r="B89" t="str">
            <v xml:space="preserve"> Dhara and Parveen</v>
          </cell>
          <cell r="C89">
            <v>9910317963</v>
          </cell>
          <cell r="D89" t="str">
            <v xml:space="preserve">C1-702,Vatika City </v>
          </cell>
          <cell r="H89">
            <v>600</v>
          </cell>
          <cell r="J89" t="str">
            <v>Bouquet</v>
          </cell>
          <cell r="K89" t="str">
            <v>Pls send this bouquet for my friend's anniversary 
Name: Dhara and Parveen
Address: C1-702,Vatika City 
Msg: Wishing you both a lifetime of bliss and happiness 
With love, From:
Lakshmi and Prashant
Dhara- +919910317963
Send today from Lakshmi Shankara a</v>
          </cell>
          <cell r="T89" t="str">
            <v xml:space="preserve">Red n White Car 10 Korean Wrap Message   </v>
          </cell>
        </row>
        <row r="90">
          <cell r="A90">
            <v>3309</v>
          </cell>
          <cell r="B90" t="str">
            <v>Tahzeeb Mohammad</v>
          </cell>
          <cell r="C90">
            <v>9986608474</v>
          </cell>
          <cell r="D90" t="str">
            <v>Natura Tower -1, N 2105, M3M Marina, Sec 68</v>
          </cell>
          <cell r="E90" t="str">
            <v>Badshahpur</v>
          </cell>
          <cell r="F90" t="str">
            <v>Friday</v>
          </cell>
          <cell r="G90" t="str">
            <v>9 AM - 12 PM</v>
          </cell>
          <cell r="H90">
            <v>2550</v>
          </cell>
          <cell r="I90">
            <v>318.75</v>
          </cell>
          <cell r="J90" t="str">
            <v>Bi weekly Customised</v>
          </cell>
          <cell r="K90" t="str">
            <v>Gerbera // Rajni // Sunflowers // Eustoma // Orchid // Skip Monday (15/05)</v>
          </cell>
          <cell r="N90" t="str">
            <v>6  del of this cycle   -  0-cycles pmnt   Completed - Collect 0</v>
          </cell>
          <cell r="O90" t="str">
            <v>Rajni ( 16 inch ) 11     Grass</v>
          </cell>
          <cell r="P90" t="str">
            <v>P Eustoma ( 14 Inch ) 3     FF Sachet + Grass</v>
          </cell>
          <cell r="Q90" t="str">
            <v>G Orchid 4     Grass</v>
          </cell>
          <cell r="R90" t="str">
            <v>Rajni ( 14 Inch ) 11     Grass</v>
          </cell>
          <cell r="S90" t="str">
            <v>Pur Eustom ( 12 Inch ) 3     FF Sachet + Grass</v>
          </cell>
          <cell r="T90" t="str">
            <v>Pur Eustoma ( 12 Inch ) 3     FF sachet + Grass</v>
          </cell>
        </row>
        <row r="91">
          <cell r="B91" t="str">
            <v>Malvika Samnani</v>
          </cell>
          <cell r="C91" t="str">
            <v>98181 12646</v>
          </cell>
          <cell r="D91" t="str">
            <v>402 A Hamilton court</v>
          </cell>
          <cell r="H91">
            <v>1150</v>
          </cell>
          <cell r="J91" t="str">
            <v>Bouquet</v>
          </cell>
          <cell r="K91" t="str">
            <v>402 A Hamilton court
Malvika Samnani
+91 98181 12646
Pls send 5 sunflowers and 10 Rajnigandha with areca palm n greens today..</v>
          </cell>
          <cell r="T91" t="str">
            <v xml:space="preserve">Sunflowers and Rajnigandha 5+10     areca palm n greens </v>
          </cell>
        </row>
        <row r="92">
          <cell r="A92">
            <v>1467</v>
          </cell>
          <cell r="B92" t="str">
            <v>Priyanka Chaturvedi</v>
          </cell>
          <cell r="C92">
            <v>7838930274</v>
          </cell>
          <cell r="D92" t="str">
            <v xml:space="preserve">Flat No. A-303, The Peaceful Homes, Sec 70-A
</v>
          </cell>
          <cell r="E92" t="str">
            <v>Badshahpur</v>
          </cell>
          <cell r="F92" t="str">
            <v>Friday</v>
          </cell>
          <cell r="G92" t="str">
            <v>9 AM - 12 PM</v>
          </cell>
          <cell r="H92">
            <v>1600</v>
          </cell>
          <cell r="I92">
            <v>200</v>
          </cell>
          <cell r="J92" t="str">
            <v>Bloom</v>
          </cell>
          <cell r="K92" t="str">
            <v>Friday and Sunday//Saturday evening slot and Sunday morning Slot(06/08) Send 100 Gm Mogra also(03/09) Received cash of 100 today(04/09) Skip coming week(20/09) Skip 1 week(15/10) Skip tom n send on comong fridayu this week(29/01) W Car next(26/02)  Holy Change(16/03) Return today(15/04) Hold n start from July (01/05) Skip 13th Delivery (10/01) NO ROSE (29/01) Sent replacement today (05/02) Send bothe deliveries together on sunday (12/05) Skip 1 week (25/05) Send both deliveries on Sunday only (01/06) Double Delivery only on Sunday (10/06) Paytm From Gaurav Chaturvedi (26/03) Hold til next saturday (20/06) Skip this sunday (11/10) No Spray Daisy (22/11) Today REturned (12/01) Skip 2nd week (03/04) No Del between 7th to 14th (05/04) Skip this sunday (18/06) Skip tom (04/10) Skip 1 week (10/12) Today Returned (04/01)</v>
          </cell>
          <cell r="L92" t="str">
            <v>ROSE n SPRAY DAISY</v>
          </cell>
          <cell r="N92" t="str">
            <v>2  del of this cycle   -  1-cycles pmnt   Pending - Collect 1600</v>
          </cell>
          <cell r="O92" t="str">
            <v>Rajni ( 16 inch ) 7     Grass</v>
          </cell>
          <cell r="P92" t="e">
            <v>#N/A</v>
          </cell>
          <cell r="Q92" t="e">
            <v>#N/A</v>
          </cell>
          <cell r="R92" t="str">
            <v>Glad ( 12 Inch ) 7     Grass</v>
          </cell>
          <cell r="S92" t="str">
            <v>P n W Glad ( 14 Inch ) 11     Grass</v>
          </cell>
          <cell r="T92" t="str">
            <v>P n W Car  ( 14 Inch ) 7     FF sachet + Grass</v>
          </cell>
        </row>
        <row r="93">
          <cell r="A93">
            <v>3381</v>
          </cell>
          <cell r="B93" t="str">
            <v>Swati Gaur</v>
          </cell>
          <cell r="C93">
            <v>9769021701</v>
          </cell>
          <cell r="D93" t="str">
            <v>T-5/2617, Center court by County, Sec 88 A</v>
          </cell>
          <cell r="E93" t="str">
            <v>Manesar</v>
          </cell>
          <cell r="F93" t="str">
            <v>Friday</v>
          </cell>
          <cell r="G93" t="str">
            <v>4 Pm to 7 PM</v>
          </cell>
          <cell r="H93">
            <v>2750</v>
          </cell>
          <cell r="I93">
            <v>687.5</v>
          </cell>
          <cell r="J93" t="str">
            <v>Elation</v>
          </cell>
          <cell r="N93" t="str">
            <v>2  del of this cycle   -  0-cycles pmnt   Completed - Collect 0</v>
          </cell>
          <cell r="O93" t="e">
            <v>#N/A</v>
          </cell>
          <cell r="P93" t="e">
            <v>#N/A</v>
          </cell>
          <cell r="Q93" t="e">
            <v>#N/A</v>
          </cell>
          <cell r="R93" t="e">
            <v>#N/A</v>
          </cell>
          <cell r="S93" t="str">
            <v>R n P Car ( 14 Inch ) 32     FF sachet + Grass</v>
          </cell>
          <cell r="T93" t="str">
            <v>O Asiatic ( 14 Inch ) 6     2 Gypaols</v>
          </cell>
        </row>
        <row r="94">
          <cell r="A94">
            <v>3013</v>
          </cell>
          <cell r="B94" t="str">
            <v>Surabhi Sukriti</v>
          </cell>
          <cell r="C94">
            <v>8652750573</v>
          </cell>
          <cell r="D94" t="str">
            <v>D-804, Bestech Park Viw Spa Next, Sec 67</v>
          </cell>
          <cell r="E94" t="str">
            <v>Badshahpur</v>
          </cell>
          <cell r="F94" t="str">
            <v>Friday</v>
          </cell>
          <cell r="G94" t="str">
            <v>4 PM to 7 PM</v>
          </cell>
          <cell r="H94">
            <v>1450</v>
          </cell>
          <cell r="I94">
            <v>362.5</v>
          </cell>
          <cell r="J94" t="str">
            <v>Bliss</v>
          </cell>
          <cell r="K94" t="str">
            <v>Skip 1 week (01/10) Add changed (05/04)</v>
          </cell>
          <cell r="N94" t="str">
            <v>1  del of this cycle   -  1-cycles pmnt   Pending - Collect 1450</v>
          </cell>
          <cell r="O94" t="str">
            <v>Sunflower ( 15 inch ) 2 P n W Car ( 14 inch ) 7   FF Sachet + Grass</v>
          </cell>
          <cell r="P94" t="str">
            <v>O Asiatic ( 15 Inch ) 2 Mix Alstroemeria ( 12 Inch )  7   Grass</v>
          </cell>
          <cell r="Q94" t="str">
            <v>P Spray Daisy ( 14 Inch ) 3 P n W Glad ( 14 Inch ) 7   FF Sachet + Grass</v>
          </cell>
          <cell r="R94" t="str">
            <v>Pur Eustoma ( 12 Inch ) 2 Pur n P Car ( 14 Inch ) 7   FF Sachet + Grass</v>
          </cell>
          <cell r="S94" t="str">
            <v xml:space="preserve">Sunflower ( 12 Inch ) 2 Mix Alstroemeria (  12 Inch ) 7  FF Sachet + Grass </v>
          </cell>
          <cell r="T94" t="str">
            <v>P Asiatic ( 14 Inch ) 2 Glad ( 14 Inch ) 7   Grass</v>
          </cell>
        </row>
        <row r="95">
          <cell r="A95">
            <v>3185</v>
          </cell>
          <cell r="B95" t="str">
            <v>Kamla Anand</v>
          </cell>
          <cell r="C95">
            <v>9711216660</v>
          </cell>
          <cell r="D95" t="str">
            <v>83  Jasminium 1,Vatika city 
Sec 49</v>
          </cell>
          <cell r="E95" t="str">
            <v>Sohna Road 1</v>
          </cell>
          <cell r="F95" t="str">
            <v>Friday</v>
          </cell>
          <cell r="G95" t="str">
            <v>9 AM - 12 PM</v>
          </cell>
          <cell r="H95">
            <v>999</v>
          </cell>
          <cell r="I95">
            <v>249.75</v>
          </cell>
          <cell r="J95" t="str">
            <v>Delight</v>
          </cell>
          <cell r="K95" t="str">
            <v>Skip tom (09/04)</v>
          </cell>
          <cell r="N95" t="str">
            <v>3  del of this cycle   -  0-cycles pmnt   Completed - Collect 0</v>
          </cell>
          <cell r="O95" t="str">
            <v>Sunflower ( 15 inch ) 2     Grass</v>
          </cell>
          <cell r="P95" t="str">
            <v>R n W Car ( 14 Inch ) 9     FF Sachet + Grass</v>
          </cell>
          <cell r="Q95" t="str">
            <v>P Spray Daisy ( 14 Inch ) 3     FF Sachet + Grass</v>
          </cell>
          <cell r="R95" t="str">
            <v>P n W Glad ( 14 Inch ) 9     Grass</v>
          </cell>
          <cell r="S95" t="str">
            <v xml:space="preserve">O Asiatic ( 14 Inch ) 2    Grass </v>
          </cell>
          <cell r="T95" t="str">
            <v>Rajni ( 14 Inch ) 9     Grass</v>
          </cell>
        </row>
        <row r="96">
          <cell r="A96">
            <v>3338</v>
          </cell>
          <cell r="B96" t="str">
            <v>Richa Khullar</v>
          </cell>
          <cell r="C96">
            <v>9871797835</v>
          </cell>
          <cell r="D96" t="str">
            <v>A3/1101, Tulip Yellow</v>
          </cell>
          <cell r="E96" t="str">
            <v>Badshahpur</v>
          </cell>
          <cell r="F96" t="str">
            <v>Friday</v>
          </cell>
          <cell r="G96" t="str">
            <v>4 Pm to 7 PM</v>
          </cell>
          <cell r="H96">
            <v>1450</v>
          </cell>
          <cell r="I96">
            <v>362.5</v>
          </cell>
          <cell r="J96" t="str">
            <v>Bliss</v>
          </cell>
          <cell r="K96" t="str">
            <v>Love Alstroemeria  // Skip 1 week (16/06)</v>
          </cell>
          <cell r="N96" t="str">
            <v>1  del of this cycle   -  1-cycles pmnt   Pending - Collect 1450</v>
          </cell>
          <cell r="O96" t="str">
            <v>P n W Glad ( 16 Inch) 16     Grass</v>
          </cell>
          <cell r="P96" t="str">
            <v>R n W Car ( 14 Inch ) 16     FF Sachet + Grass</v>
          </cell>
          <cell r="Q96" t="str">
            <v>O Asiatic ( 14 Inch ) 3     Grass</v>
          </cell>
          <cell r="R96" t="str">
            <v>P n W Spray Daisy ( 14 Inch ) 5     FF Sachet + Grass</v>
          </cell>
          <cell r="S96" t="e">
            <v>#N/A</v>
          </cell>
          <cell r="T96" t="str">
            <v>P n W Glad ( 14 Inch ) 16     Grass</v>
          </cell>
        </row>
        <row r="97">
          <cell r="A97">
            <v>2311</v>
          </cell>
          <cell r="B97" t="str">
            <v>Ranjeeta Sanghvi</v>
          </cell>
          <cell r="C97">
            <v>9986593206</v>
          </cell>
          <cell r="D97" t="str">
            <v>T-3/TH-B, Bellevue. Central Park 2</v>
          </cell>
          <cell r="E97" t="str">
            <v>Sohna Road 2</v>
          </cell>
          <cell r="F97" t="str">
            <v>Friday</v>
          </cell>
          <cell r="G97" t="str">
            <v>9 AM - 12 PM</v>
          </cell>
          <cell r="H97">
            <v>1450</v>
          </cell>
          <cell r="I97">
            <v>362.5</v>
          </cell>
          <cell r="J97" t="str">
            <v>Bliss</v>
          </cell>
          <cell r="N97" t="str">
            <v>2  del of this cycle   -  0-cycles pmnt   Completed - Collect 0</v>
          </cell>
          <cell r="O97" t="str">
            <v>P Spray Daisy ( 15 inch ) 3 P n W Glad ( 14 inch ) 9   FF Sachet + Grass</v>
          </cell>
          <cell r="P97" t="str">
            <v>Mix Alstroemeria ( 12 Inch ) 9     FF Sachet + Grass</v>
          </cell>
          <cell r="Q97" t="str">
            <v>P n W Glad ( 14 Inch ) 9     Grass</v>
          </cell>
          <cell r="R97" t="str">
            <v>Pur n P Car ( 14 Inch ) 9     FF Sachet + Grass</v>
          </cell>
          <cell r="S97" t="str">
            <v xml:space="preserve">O Asiatic ( 14 Inch ) 3    Grass </v>
          </cell>
          <cell r="T97" t="str">
            <v>Pur Eustoma ( 12 Inch ) 3     FF sachet + Grass</v>
          </cell>
        </row>
        <row r="98">
          <cell r="A98">
            <v>152</v>
          </cell>
          <cell r="B98" t="str">
            <v xml:space="preserve">
Manisha Kahai
</v>
          </cell>
          <cell r="C98">
            <v>9810013410</v>
          </cell>
          <cell r="D98" t="str">
            <v xml:space="preserve">Flat number 41, Jasminium 1, Vatika City, Sector 49 (Sohna Road)    Sec 49 Gurgaon  122001 
</v>
          </cell>
          <cell r="E98" t="str">
            <v>Sohna Road 1</v>
          </cell>
          <cell r="F98" t="str">
            <v>Friday</v>
          </cell>
          <cell r="G98" t="str">
            <v>9 AM - 12 PM</v>
          </cell>
          <cell r="H98">
            <v>1450</v>
          </cell>
          <cell r="I98">
            <v>362.5</v>
          </cell>
          <cell r="J98" t="str">
            <v>Bliss</v>
          </cell>
          <cell r="K98" t="str">
            <v>Day changed to Sat (25/02)Return-send tomorrow(03/11)Hold and start from 11th may(06/04) FF Sold today(03/08) FF Sold today n payment recvd(07/09) Holy Change(16/03) FF Next(20/03) Paytm from Manisha Singh (09/06) 250 returned via paytm (03/.11) Today Returned (18/07)</v>
          </cell>
          <cell r="N98" t="str">
            <v>3  del of this cycle   -  0-cycles pmnt   Completed - Collect 0</v>
          </cell>
          <cell r="O98" t="str">
            <v>P Asiatic ( 15 inch ) 3     Grass</v>
          </cell>
          <cell r="P98" t="str">
            <v>R n W Car ( 14 Inch ) 16     FF Sachet + Grass</v>
          </cell>
          <cell r="Q98" t="str">
            <v>P n W Glad ( 14 Inch ) 16     Grass</v>
          </cell>
          <cell r="R98" t="str">
            <v>Sunflower ( 12 Inch ) 4     FF Sachet + Grass</v>
          </cell>
          <cell r="S98" t="str">
            <v xml:space="preserve">Pur Eustom ( 12 Inch ) 3    FF Sachet + Grass </v>
          </cell>
          <cell r="T98" t="str">
            <v>O Asiatic ( 14 Inch ) 3     Grass</v>
          </cell>
        </row>
        <row r="99">
          <cell r="A99">
            <v>3388</v>
          </cell>
          <cell r="B99" t="str">
            <v>Malvika Anand</v>
          </cell>
          <cell r="C99">
            <v>9811822238</v>
          </cell>
          <cell r="D99" t="str">
            <v>A1, Cloud 9 Cottages, Vill Dhumaspur, Sec 67 A</v>
          </cell>
          <cell r="E99" t="str">
            <v>Badshahpur</v>
          </cell>
          <cell r="F99" t="str">
            <v>Friday</v>
          </cell>
          <cell r="G99" t="str">
            <v>9 AM - 12 PM</v>
          </cell>
          <cell r="H99">
            <v>1950</v>
          </cell>
          <cell r="I99">
            <v>487.5</v>
          </cell>
          <cell r="J99" t="str">
            <v>Joy</v>
          </cell>
          <cell r="N99" t="str">
            <v>1  del of this cycle   -  0-cycles pmnt   Completed - Collect 0</v>
          </cell>
          <cell r="O99" t="e">
            <v>#N/A</v>
          </cell>
          <cell r="P99" t="e">
            <v>#N/A</v>
          </cell>
          <cell r="Q99" t="e">
            <v>#N/A</v>
          </cell>
          <cell r="R99" t="e">
            <v>#N/A</v>
          </cell>
          <cell r="S99" t="e">
            <v>#N/A</v>
          </cell>
          <cell r="T99" t="str">
            <v>Pur n P Car ( 14 Inch ) 22     FF Sachet + Grass</v>
          </cell>
        </row>
        <row r="100">
          <cell r="A100">
            <v>113</v>
          </cell>
          <cell r="B100" t="str">
            <v>Subhadra Chatterjee</v>
          </cell>
          <cell r="C100">
            <v>8826368500</v>
          </cell>
          <cell r="D100" t="str">
            <v>Tower -E, Flat 10B, Central Park Resort</v>
          </cell>
          <cell r="E100" t="str">
            <v>Sohna Road 2</v>
          </cell>
          <cell r="F100" t="str">
            <v>Friday</v>
          </cell>
          <cell r="G100" t="str">
            <v>9 AM - 12 PM</v>
          </cell>
          <cell r="H100">
            <v>1950</v>
          </cell>
          <cell r="I100">
            <v>487.5</v>
          </cell>
          <cell r="J100" t="str">
            <v>Joy</v>
          </cell>
          <cell r="K100" t="str">
            <v>Friday n Monday//NO GLAD EVER(12/11)  Rajni and Orchid Half Half next(13/12)  Send Orchid and Rajni OR Rose/Lilies/Rajni Next(24/12) PLEASE SEND ORCHID/LILIES/RAJNI/ROSE this cycle(26/12)  Pls send Rose/Rajni and Lilies in coming cycle too(19/01)Gpay from Saunak Ghosh(23/12) Now Asiatic and Rose and no orange asiatic and only pink, yellow and whitte rose only OR White, Pink or blue orchids(14/01) Asiatic and Orchids Next(16/02) P n Y Asiatic Next(23/02) Asiatic n Rajni next(13/03) Send this cycle on monday only(25/03) Orchid n Rajni now(28/03) Spray Daisy and Rajni(11/04) Hold Till 30th June(15/06) Hold till 17th Aug(08/08) Orchid with Lily or Car(19/08) Car/Rose/Gerbera/Anthurium/Orchid/Guldawari and rajni(30/08)  After tom no del till 26th (17/10) NO RED ROSE(14/11) Hold till 10th Jan (29/12) Skip 1 week (02/02) Skip1 week (16/03) Hold today n send on sunday (19/05) Hold till 10th Oct (04/10) Hold till 15th Jan (20/12) Hold till 1st April (06/03) Hold till 20th June (20/05) Hold till 16th Oct (07/10) Return today n hold (03/01) Skip from 20th to 30th Matr (11/03) Hold till 7th JUly (19/06) Hold due to non payment (10/10) Hold n start from 26th (14/10) Hold due to non payment (26/12) No Red Rose (30/12) Hold till 16th Jan (08/01) HDTNP (13/03) Hold till 4th Apr (25/03) Hold till 12th JUne (04/06)</v>
          </cell>
          <cell r="L100" t="str">
            <v>GULDAWARI n ROSE</v>
          </cell>
          <cell r="N100" t="str">
            <v>2  del of this cycle   -  1-cycles pmnt   Pending - Collect 1950</v>
          </cell>
          <cell r="O100" t="str">
            <v>P Asiatic ( 15 inch ) 4     Grass</v>
          </cell>
          <cell r="P100" t="str">
            <v>Y Orchid  7     FF Sachet + Grass</v>
          </cell>
          <cell r="Q100" t="e">
            <v>#N/A</v>
          </cell>
          <cell r="R100" t="e">
            <v>#N/A</v>
          </cell>
          <cell r="S100" t="str">
            <v>B Orchid  7     FF sachet + Grass</v>
          </cell>
          <cell r="T100" t="str">
            <v>O Asiatic ( 14 Inch ) 4     Grass</v>
          </cell>
        </row>
        <row r="101">
          <cell r="B101" t="str">
            <v>Ruchi mathure</v>
          </cell>
          <cell r="C101">
            <v>9871265555</v>
          </cell>
          <cell r="D101" t="str">
            <v>D-013, Westend height, DLF-5</v>
          </cell>
          <cell r="H101">
            <v>760</v>
          </cell>
          <cell r="J101" t="str">
            <v>Bouquet</v>
          </cell>
          <cell r="K101" t="str">
            <v>Pls send 4 pink Asiatic and 4 Rajnigandha with areca palm n greens today to Ruchi Mathure — +91 98712 65555</v>
          </cell>
          <cell r="T101" t="str">
            <v>Pink Asiatic and  Rajnigandha 4+4     areca palm n greens</v>
          </cell>
        </row>
        <row r="102">
          <cell r="A102">
            <v>2712</v>
          </cell>
          <cell r="B102" t="str">
            <v>Ankita Aeron</v>
          </cell>
          <cell r="C102">
            <v>8860253167</v>
          </cell>
          <cell r="D102" t="str">
            <v>D-701, Shree Vardhman Victoria, Sec 70</v>
          </cell>
          <cell r="E102" t="str">
            <v>Badshahpur</v>
          </cell>
          <cell r="F102" t="str">
            <v>Friday</v>
          </cell>
          <cell r="G102" t="str">
            <v>9:30 Am to 2 PM</v>
          </cell>
          <cell r="H102">
            <v>1450</v>
          </cell>
          <cell r="I102">
            <v>362.5</v>
          </cell>
          <cell r="J102" t="str">
            <v>Bliss</v>
          </cell>
          <cell r="K102" t="str">
            <v>Car Next (27/06) Do not send on 8th and 15th Aug (31/07) Skip 1 week (18/09) Skip 2 week (15/10) Skip 1 week (09/06)</v>
          </cell>
          <cell r="M102" t="str">
            <v>Car Next (27/06)</v>
          </cell>
          <cell r="N102" t="str">
            <v>1  del of this cycle   -  1-cycles pmnt   Pending - Collect 1450</v>
          </cell>
          <cell r="O102" t="str">
            <v>W Eustoma ( 14 inch ) 2 P n W Car ( 14 inch ) 7   FF Sachet + Grass</v>
          </cell>
          <cell r="P102" t="str">
            <v>O Asiatic ( 15 Inch ) 2 P n W Glad ( 14 Inch ) 7   Grass</v>
          </cell>
          <cell r="Q102" t="str">
            <v>Sunflower ( 12 Inch ) 2 Mix Alstroemeria ( 12 Inch ) 7   FF Sachet + Grass</v>
          </cell>
          <cell r="R102" t="e">
            <v>#N/A</v>
          </cell>
          <cell r="S102" t="str">
            <v xml:space="preserve">P Spray Daisy ( 14 Inch ) 3 Pur n P Car ( 14 Inch ) 7  FF Sachet + Grass </v>
          </cell>
          <cell r="T102" t="str">
            <v>P Asiatic ( 14 Inch ) 2 P n W Glad ( 14 Inch ) 7   Grass</v>
          </cell>
        </row>
        <row r="103">
          <cell r="A103">
            <v>3081</v>
          </cell>
          <cell r="B103" t="str">
            <v xml:space="preserve">Nikhat </v>
          </cell>
          <cell r="C103" t="str">
            <v>90044 52898‬</v>
          </cell>
          <cell r="D103" t="str">
            <v>Tower B, flat 074, DLF regal gardens , sector 90</v>
          </cell>
          <cell r="E103" t="str">
            <v>Manesar</v>
          </cell>
          <cell r="F103" t="str">
            <v>Friday</v>
          </cell>
          <cell r="G103" t="str">
            <v>4 PM to 7 PM</v>
          </cell>
          <cell r="H103">
            <v>1450</v>
          </cell>
          <cell r="I103">
            <v>362.5</v>
          </cell>
          <cell r="J103" t="str">
            <v>Bliss</v>
          </cell>
          <cell r="K103" t="str">
            <v>Paytm From Puneet Pundora (06/03) Hold today (20/03)</v>
          </cell>
          <cell r="N103" t="str">
            <v>4  del of this cycle   -  0-cycles pmnt   Completed - Collect 0</v>
          </cell>
          <cell r="O103" t="str">
            <v>P Asiatic ( 15 inch ) 2 P n W Car ( 14 inch ) 7   Grass</v>
          </cell>
          <cell r="P103" t="str">
            <v>Sunflower ( 14 Inch ) 2 Mix Alstroemeria ( 12 Inch )  7   FF Sachet + Grass</v>
          </cell>
          <cell r="Q103" t="str">
            <v>Pur Eustom ( 14 Inch ) 2 P n W Glad ( 14 Inch ) 7   FF Sachet + Grass</v>
          </cell>
          <cell r="R103" t="str">
            <v>W Asiatic ( 14 inch ) 2 Pur n P Car ( 14 Inch ) 7   Grass</v>
          </cell>
          <cell r="S103" t="str">
            <v xml:space="preserve">P Spray Daisy ( 14 Inch ) 3 Mix Alstroemeria (  12 Inch ) 7  FF Sachet + Grass </v>
          </cell>
          <cell r="T103" t="str">
            <v>Eustoma  2 P n W Glad ( 14 Inch ) 7   FF sachet + Grass</v>
          </cell>
        </row>
        <row r="104">
          <cell r="A104">
            <v>3389</v>
          </cell>
          <cell r="B104" t="str">
            <v>Ritika -- DLF Regal</v>
          </cell>
          <cell r="C104">
            <v>9975423958</v>
          </cell>
          <cell r="D104" t="str">
            <v>E-144, DLF Regal Garden, Sec 90</v>
          </cell>
          <cell r="E104" t="str">
            <v>Manesar</v>
          </cell>
          <cell r="F104" t="str">
            <v>Friday</v>
          </cell>
          <cell r="G104" t="str">
            <v>4 Pm to 7 PM</v>
          </cell>
          <cell r="H104">
            <v>1950</v>
          </cell>
          <cell r="I104">
            <v>487.5</v>
          </cell>
          <cell r="J104" t="str">
            <v>Joy</v>
          </cell>
          <cell r="K104" t="str">
            <v>From Ritika Hatanagdy</v>
          </cell>
          <cell r="N104" t="str">
            <v>1  del of this cycle   -  0-cycles pmnt   Completed - Collect 0</v>
          </cell>
          <cell r="O104" t="e">
            <v>#N/A</v>
          </cell>
          <cell r="P104" t="e">
            <v>#N/A</v>
          </cell>
          <cell r="Q104" t="e">
            <v>#N/A</v>
          </cell>
          <cell r="R104" t="e">
            <v>#N/A</v>
          </cell>
          <cell r="S104" t="e">
            <v>#N/A</v>
          </cell>
          <cell r="T104" t="str">
            <v>Alstromeria 22     FF Sachet + Grass</v>
          </cell>
        </row>
        <row r="105">
          <cell r="A105">
            <v>3099</v>
          </cell>
          <cell r="B105" t="str">
            <v>Manisha Mishra</v>
          </cell>
          <cell r="C105">
            <v>9910993142</v>
          </cell>
          <cell r="D105" t="str">
            <v>E-1202, maceo appartmnet, sector 91</v>
          </cell>
          <cell r="E105" t="str">
            <v>Dwarka Expressway</v>
          </cell>
          <cell r="F105" t="str">
            <v>Friday</v>
          </cell>
          <cell r="G105" t="str">
            <v>4 PM to 7 PM</v>
          </cell>
          <cell r="H105">
            <v>1950</v>
          </cell>
          <cell r="I105">
            <v>487.5</v>
          </cell>
          <cell r="J105" t="str">
            <v>Joy</v>
          </cell>
          <cell r="K105" t="str">
            <v>Paytm from Rohit Ahuja</v>
          </cell>
          <cell r="N105" t="str">
            <v>4  del of this cycle   -  0-cycles pmnt   Completed - Collect 0</v>
          </cell>
          <cell r="O105" t="str">
            <v>P Asiatic ( 15 inch ) 2 R n W Car( 14 inch ) 11   Grass</v>
          </cell>
          <cell r="P105" t="str">
            <v>Sunflower ( 14 Inch ) 3  Spray Carnation  10   FF Sachet + Grass</v>
          </cell>
          <cell r="Q105" t="str">
            <v>Pur Eustom ( 14 Inch ) 2 P n W Glad ( 14 Inch ) 11   FF Sachet + Grass</v>
          </cell>
          <cell r="R105" t="str">
            <v>P n Y Spray Daisy ( 14 Inch ) 4 Mix Alstroemeria ( 12 Inch ) 11   FF Sachet + Grass</v>
          </cell>
          <cell r="S105" t="str">
            <v>O Asiatic ( 14 Inch ) 2 Pur n P Car ( 14 Inch ) 11   Grass</v>
          </cell>
          <cell r="T105" t="str">
            <v>Asiatic 2 Alstromeria 11   FF Sachet + Grass</v>
          </cell>
        </row>
        <row r="106">
          <cell r="A106">
            <v>2435</v>
          </cell>
          <cell r="B106" t="str">
            <v>Manisha Aswani</v>
          </cell>
          <cell r="C106">
            <v>7426027603</v>
          </cell>
          <cell r="D106" t="str">
            <v>4-I/302, Orris Aster Court. Sec 85</v>
          </cell>
          <cell r="E106" t="str">
            <v>Manesar</v>
          </cell>
          <cell r="F106" t="str">
            <v>Friday</v>
          </cell>
          <cell r="G106" t="str">
            <v>After 5:30 PM</v>
          </cell>
          <cell r="H106">
            <v>1450</v>
          </cell>
          <cell r="I106">
            <v>362.5</v>
          </cell>
          <cell r="J106" t="str">
            <v>Bliss</v>
          </cell>
          <cell r="K106" t="str">
            <v>Insta // Sent replacement today (05/04) Sent Replacement today (19/04) Do Not Count last Del (06/05) Hold she will confirm (14/05) Payment confussion(29/06) Skip 1 week (22/04) Today Hold and skip (15/05) HDTNP (29/05)</v>
          </cell>
          <cell r="M106" t="str">
            <v>Premium Flowers Extra next (16/08)</v>
          </cell>
          <cell r="N106" t="str">
            <v>2  del of this cycle   -  1-cycles pmnt   Pending - Collect 1450</v>
          </cell>
          <cell r="O106" t="e">
            <v>#N/A</v>
          </cell>
          <cell r="P106" t="str">
            <v xml:space="preserve">Collect 725 Carry Receipt Book Collect 725 with Change Carry Receipt Book Collect 725 with Change Carry Receipt Book </v>
          </cell>
          <cell r="Q106" t="str">
            <v>O Asiatic ( 14 Inch ) 3     Grass</v>
          </cell>
          <cell r="R106" t="str">
            <v>P n W Glad ( 14 Inch ) 16     Grass</v>
          </cell>
          <cell r="S106" t="str">
            <v xml:space="preserve">P Eustoma ( 12 Inch ) 3    FF Sachet + Grass </v>
          </cell>
          <cell r="T106" t="str">
            <v>Alstromeria 16     FF sachet + Grass</v>
          </cell>
        </row>
        <row r="107">
          <cell r="A107">
            <v>2674</v>
          </cell>
          <cell r="B107" t="str">
            <v>Jaspreet Dhillon</v>
          </cell>
          <cell r="C107">
            <v>9971159399</v>
          </cell>
          <cell r="D107" t="str">
            <v>T-2/204, Uniworld Garden -1</v>
          </cell>
          <cell r="E107" t="str">
            <v>Sohna Road 1</v>
          </cell>
          <cell r="F107" t="str">
            <v>Friday</v>
          </cell>
          <cell r="G107" t="str">
            <v>9 AM - 12 PM</v>
          </cell>
          <cell r="H107">
            <v>999</v>
          </cell>
          <cell r="I107">
            <v>249.75</v>
          </cell>
          <cell r="J107" t="str">
            <v>Delight</v>
          </cell>
          <cell r="K107" t="str">
            <v>Send a message on Sunday to start // Start next cycle from Friday (19/09) Today Returned (26/09) No Sunflower (08/11) Hold today (28/11) Hold tom (11/12) Skip 1 week (16/12) Skip 1 week (11/01) Hold due to non payment (30/01 Hold due to non payment (06/02) Hold due to non payment (13/02) HDTNP (20/02) Skip 1 week (02/04) Skip 1 week (23/04) HDTNP (08/05) Skip 1 week (17/05)</v>
          </cell>
          <cell r="L107" t="str">
            <v>Sunflower</v>
          </cell>
          <cell r="N107" t="str">
            <v>3  del of this cycle   -  0-cycles pmnt   Completed - Collect 0</v>
          </cell>
          <cell r="O107" t="e">
            <v>#N/A</v>
          </cell>
          <cell r="P107" t="str">
            <v>P n W Glad ( 14 Inch ) 9     Grass</v>
          </cell>
          <cell r="Q107" t="str">
            <v>P Asiatic ( 14 Inch ) 2     Grass</v>
          </cell>
          <cell r="R107" t="str">
            <v>Mix Alstroemeria ( 12 Inch ) 9     FF Sachet + Grass</v>
          </cell>
          <cell r="S107" t="str">
            <v xml:space="preserve">P Spray Daisy ( 14 Inch ) 3    FF Sachet + Grass </v>
          </cell>
          <cell r="T107" t="str">
            <v>Pur Eustoma ( 12 Inch ) 9     FF aschet + Grass</v>
          </cell>
        </row>
        <row r="108">
          <cell r="A108">
            <v>2448</v>
          </cell>
          <cell r="B108" t="str">
            <v>Sonali Srivastava -- 1450 Pack</v>
          </cell>
          <cell r="C108">
            <v>8510051543</v>
          </cell>
          <cell r="D108" t="str">
            <v>T2/25A, SS, The Leaf, Sec 85</v>
          </cell>
          <cell r="E108" t="str">
            <v>Manesar</v>
          </cell>
          <cell r="F108" t="str">
            <v>Friday</v>
          </cell>
          <cell r="G108" t="str">
            <v>9:30 Am to 2 PM</v>
          </cell>
          <cell r="H108">
            <v>999</v>
          </cell>
          <cell r="I108">
            <v>249.75</v>
          </cell>
          <cell r="J108" t="str">
            <v>Delight</v>
          </cell>
          <cell r="K108" t="str">
            <v>Insta // 1st Del on Monday and then Friday morning (17/07) Skip tom n send on Monday (24/08) Hold due to non payment (16/01) HDTNP(20/02) HDTNP (24/04) Skip 2 week (13/05)</v>
          </cell>
          <cell r="N108" t="str">
            <v>4  del of this cycle   -  0-cycles pmnt   Completed - Collect 0</v>
          </cell>
          <cell r="O108" t="e">
            <v>#N/A</v>
          </cell>
          <cell r="P108" t="e">
            <v>#N/A</v>
          </cell>
          <cell r="Q108" t="e">
            <v>#N/A</v>
          </cell>
          <cell r="R108" t="e">
            <v>#N/A</v>
          </cell>
          <cell r="S108" t="str">
            <v xml:space="preserve">P n W Glad ( 14 Inch ) 9    Grass </v>
          </cell>
          <cell r="T108" t="str">
            <v>P Asiatic ( 14 Inch ) 2     Grass</v>
          </cell>
        </row>
        <row r="109">
          <cell r="A109">
            <v>3391</v>
          </cell>
          <cell r="B109" t="str">
            <v>Prabudh Vaidya</v>
          </cell>
          <cell r="C109">
            <v>9013524554</v>
          </cell>
          <cell r="D109" t="str">
            <v>T-B/503, Shree Vardhman Mantra, Sec 67</v>
          </cell>
          <cell r="E109" t="str">
            <v>Badshahpur</v>
          </cell>
          <cell r="F109" t="str">
            <v>Friday</v>
          </cell>
          <cell r="G109" t="str">
            <v>9 AM - 12 PM</v>
          </cell>
          <cell r="H109">
            <v>1450</v>
          </cell>
          <cell r="I109">
            <v>362.5</v>
          </cell>
          <cell r="J109" t="str">
            <v>Bliss</v>
          </cell>
          <cell r="N109" t="str">
            <v>1  del of this cycle   -  0-cycles pmnt   Completed - Collect 0</v>
          </cell>
          <cell r="O109" t="e">
            <v>#N/A</v>
          </cell>
          <cell r="P109" t="e">
            <v>#N/A</v>
          </cell>
          <cell r="Q109" t="e">
            <v>#N/A</v>
          </cell>
          <cell r="R109" t="e">
            <v>#N/A</v>
          </cell>
          <cell r="S109" t="e">
            <v>#N/A</v>
          </cell>
          <cell r="T109" t="str">
            <v>Pur n P Car ( 14 Inch ) 16     FF sachet + Grass</v>
          </cell>
        </row>
        <row r="110">
          <cell r="A110">
            <v>2858</v>
          </cell>
          <cell r="B110" t="str">
            <v>Devika Tandon</v>
          </cell>
          <cell r="C110">
            <v>8527991304</v>
          </cell>
          <cell r="D110" t="str">
            <v>A-293, AIPL The Peaceful Homes</v>
          </cell>
          <cell r="E110" t="str">
            <v>Badshahpur</v>
          </cell>
          <cell r="F110" t="str">
            <v>Friday</v>
          </cell>
          <cell r="G110" t="str">
            <v>4 PM to 7PM</v>
          </cell>
          <cell r="H110">
            <v>1450</v>
          </cell>
          <cell r="I110">
            <v>362.5</v>
          </cell>
          <cell r="J110" t="str">
            <v>Bliss</v>
          </cell>
          <cell r="N110" t="str">
            <v>2  del of this cycle   -  1-cycles pmnt   Pending - Collect 1450</v>
          </cell>
          <cell r="O110" t="str">
            <v>R n W Car ( 14 inch ) 16     FF Sachet + Grass</v>
          </cell>
          <cell r="P110" t="str">
            <v>O Asiatic ( 15 Inch ) 3     Grass</v>
          </cell>
          <cell r="Q110" t="str">
            <v>P n W Glad ( 14 Inch ) 16     Grass</v>
          </cell>
          <cell r="R110" t="str">
            <v>P n Y Spray Daisy ( 14 Inch ) 5     FF Sachet + Grass</v>
          </cell>
          <cell r="S110" t="str">
            <v xml:space="preserve">P Eustoma ( 12 Inch ) 3    FF Sachet + Grass </v>
          </cell>
          <cell r="T110" t="str">
            <v>P n W Car ( 14 Inch ) 16     FF sachet + Grass</v>
          </cell>
        </row>
        <row r="111">
          <cell r="A111">
            <v>139</v>
          </cell>
          <cell r="B111" t="str">
            <v>Mr. Pramod Narula 2</v>
          </cell>
          <cell r="C111">
            <v>9899048440</v>
          </cell>
          <cell r="D111" t="str">
            <v>Ww-57, Ground floor, Malibu Town, Sohna Road    Sohna Road Gurgaon  </v>
          </cell>
          <cell r="E111" t="str">
            <v>Sohna Road 1</v>
          </cell>
          <cell r="F111" t="str">
            <v>Friday</v>
          </cell>
          <cell r="G111" t="str">
            <v>9 AM - 12 PM</v>
          </cell>
          <cell r="H111">
            <v>4750</v>
          </cell>
          <cell r="I111">
            <v>1187.5</v>
          </cell>
          <cell r="J111" t="str">
            <v>Enchantment</v>
          </cell>
          <cell r="K111" t="str">
            <v>3 Stick extra in next del(31/08)Send this Tuesday n then Saturday(07/09)Send on 6th This week(05/11)  Today return-send next week(25/01) Send replacement of Daisy(01/02) Send always on Friday(17/03) Rs.240/- Received today against special pack(12/04) Long stick always(26/04) Flower food next(31/05) NO GERBERA(14/06) Send 1 stick extra next(16/08) 2 Stick extra next(23/08) Send extra flower(20/09) NO GERBERA N NO BOP(11/10) Collect Payment(29/02) Send replacement(11/08/20) Hold for 2 weeks and confirm before sending(19/09/20) Skip 1 more week(08/10/20) Sending Del tom due to Diwali(11/11) No Lily and Sunflower(04/07) Upgrade to 4000 and increase 6 more sticks(01/10) Send 2nd Del on 4th(27/10) Send 5th Del on 4th(29/10) Send remaining flowers(19/11) Hold today and skip 1 week(10/12) Skip 1 week(24/02)  Holy Change(16/03) Hold today--send on sunday (22/12) Hold today n send on Monday (20/12) Skip 1 week (02/01) Skip 1 week (11/03) Hold n start after 5th June (04/05) Send flowers on sunday (16/10) Skip 1 week (18/12) Send on Wednesday instead of Friday this week (22/12) No Lilies (07/05)</v>
          </cell>
          <cell r="L111" t="str">
            <v>lilies n Glad</v>
          </cell>
          <cell r="N111" t="str">
            <v>4  del of this cycle   -  0-cycles pmnt   Completed - Collect 0</v>
          </cell>
          <cell r="O111" t="str">
            <v>Y Asiatic ( 15 inch ) 6 P n W Glad ( 14 inch ) 18 Rajni ( 14 Inch ) 18 Grass</v>
          </cell>
          <cell r="P111" t="str">
            <v>Sunflower ( 14 Inch ) 6 R n W Car ( 14 Inch ) 18 Mix Alstroemeria ( 12 Inch ) 18 FF Sachet + Grass</v>
          </cell>
          <cell r="Q111" t="str">
            <v>P n Y Spray Daisy ( 14 Inch ) 10 P n W Glad ( 14 Inch ) 18 P n W Car ( 14 Inch ) 18 Grass</v>
          </cell>
          <cell r="R111" t="str">
            <v>W Asiatic ( 14 inch ) 6 Mix Alstroemeria ( 12 Inch ) 18 Pur n P Car ( 14 Inch ) 18 Grass</v>
          </cell>
          <cell r="S111" t="str">
            <v>Sunflower ( 12 Inch ) 6 P n W Glad ( 14 Inch ) 18 Rajni ( 14 Inch ) 18 Grass</v>
          </cell>
          <cell r="T111" t="str">
            <v>P n W Spray Daisy 8 P n W Car ( 14 Inch ) 18 Glad ( 14 Inch ) 18 Grass</v>
          </cell>
        </row>
        <row r="112">
          <cell r="A112" t="str">
            <v>CP00001</v>
          </cell>
          <cell r="B112" t="str">
            <v>Nidhi Sharma Malhotra -- BPTP -- Centra 1</v>
          </cell>
          <cell r="C112">
            <v>9999016333</v>
          </cell>
          <cell r="D112" t="str">
            <v>BPTP, Sec 61</v>
          </cell>
          <cell r="E112" t="str">
            <v>Ghata</v>
          </cell>
          <cell r="F112" t="str">
            <v>Thursday</v>
          </cell>
          <cell r="G112" t="str">
            <v>By 5 PM</v>
          </cell>
          <cell r="H112">
            <v>24600</v>
          </cell>
          <cell r="I112">
            <v>24600</v>
          </cell>
          <cell r="J112" t="str">
            <v>Corporate</v>
          </cell>
          <cell r="T112" t="str">
            <v xml:space="preserve">G n W Car + G n W Spray Daisy + G Orchid + W Asiatic + W Oriental  240 + 40 + 40 + 8 + 8 G Anthurium + G Eustoma 15 + 20   </v>
          </cell>
        </row>
        <row r="113">
          <cell r="A113" t="str">
            <v>B00000</v>
          </cell>
          <cell r="B113" t="str">
            <v>BPTP Astire</v>
          </cell>
          <cell r="D113" t="str">
            <v>BPTP Astire, Sec 71</v>
          </cell>
          <cell r="E113" t="str">
            <v>Badshahpur</v>
          </cell>
          <cell r="F113" t="str">
            <v>Sunday</v>
          </cell>
          <cell r="G113" t="str">
            <v>By 10 AM</v>
          </cell>
          <cell r="H113">
            <v>0</v>
          </cell>
          <cell r="I113">
            <v>0</v>
          </cell>
          <cell r="J113" t="str">
            <v>Flower Workshop</v>
          </cell>
          <cell r="K113" t="str">
            <v>30 People</v>
          </cell>
          <cell r="N113" t="str">
            <v>1  del of this cycle   -  0-cycles pmnt   In Process - Collect 0</v>
          </cell>
          <cell r="O113" t="str">
            <v xml:space="preserve">Visit      </v>
          </cell>
          <cell r="P113" t="e">
            <v>#N/A</v>
          </cell>
          <cell r="Q113" t="e">
            <v>#N/A</v>
          </cell>
          <cell r="R113" t="e">
            <v>#N/A</v>
          </cell>
          <cell r="S113" t="e">
            <v>#N/A</v>
          </cell>
          <cell r="T113" t="str">
            <v xml:space="preserve">      </v>
          </cell>
        </row>
        <row r="114">
          <cell r="A114" t="str">
            <v>B00000</v>
          </cell>
          <cell r="B114" t="str">
            <v>BPTP Pride</v>
          </cell>
          <cell r="D114" t="str">
            <v>BPTP Pride , Faridabad</v>
          </cell>
          <cell r="E114" t="str">
            <v>Faridabad</v>
          </cell>
          <cell r="F114" t="str">
            <v>Sunday</v>
          </cell>
          <cell r="G114" t="str">
            <v>By 10 AM</v>
          </cell>
          <cell r="H114">
            <v>0</v>
          </cell>
          <cell r="I114">
            <v>0</v>
          </cell>
          <cell r="J114" t="str">
            <v>Flower Workshop</v>
          </cell>
          <cell r="K114" t="str">
            <v>30 People</v>
          </cell>
          <cell r="N114" t="str">
            <v>1  del of this cycle   -  0-cycles pmnt   In Process - Collect 0</v>
          </cell>
          <cell r="O114" t="str">
            <v xml:space="preserve">Visit      </v>
          </cell>
          <cell r="P114" t="e">
            <v>#N/A</v>
          </cell>
          <cell r="Q114" t="e">
            <v>#N/A</v>
          </cell>
          <cell r="R114" t="e">
            <v>#N/A</v>
          </cell>
          <cell r="S114" t="e">
            <v>#N/A</v>
          </cell>
          <cell r="T114" t="str">
            <v xml:space="preserve">      </v>
          </cell>
        </row>
        <row r="115">
          <cell r="A115">
            <v>3335</v>
          </cell>
          <cell r="B115" t="str">
            <v>Aman Batra</v>
          </cell>
          <cell r="C115">
            <v>8826778738</v>
          </cell>
          <cell r="D115" t="str">
            <v>Tower-F/702, The Ivy, Block A, Sushant Lok-1</v>
          </cell>
          <cell r="E115" t="str">
            <v>DLF Phase 4</v>
          </cell>
          <cell r="F115" t="str">
            <v>Saturday</v>
          </cell>
          <cell r="G115" t="str">
            <v>10 AM to 2:30 PM</v>
          </cell>
          <cell r="H115">
            <v>4750</v>
          </cell>
          <cell r="I115">
            <v>1187.5</v>
          </cell>
          <cell r="J115" t="str">
            <v>Enchantment</v>
          </cell>
          <cell r="K115" t="str">
            <v>Hold n start from 30th May // Sen this week on Friday (25/06) No Glad (25/06)</v>
          </cell>
          <cell r="L115" t="str">
            <v>Glad</v>
          </cell>
          <cell r="N115" t="str">
            <v>1  del of this cycle   -  1-cycles pmnt   Pending - Collect 4750</v>
          </cell>
          <cell r="O115" t="e">
            <v>#N/A</v>
          </cell>
          <cell r="P115" t="e">
            <v>#N/A</v>
          </cell>
          <cell r="Q115" t="e">
            <v>#N/A</v>
          </cell>
          <cell r="R115" t="e">
            <v>#N/A</v>
          </cell>
          <cell r="S115" t="e">
            <v>#N/A</v>
          </cell>
          <cell r="T115" t="str">
            <v>BOP 6 Pur n p Car ( 14 inch ) 30   3 Areca palm + 3 Gyspola</v>
          </cell>
        </row>
        <row r="116">
          <cell r="A116">
            <v>3357</v>
          </cell>
          <cell r="B116" t="str">
            <v>Yamini Sharma</v>
          </cell>
          <cell r="C116">
            <v>9958582708</v>
          </cell>
          <cell r="D116" t="str">
            <v>Solace 253, AIPL Peaceful Homes, Sec 70 A</v>
          </cell>
          <cell r="E116" t="str">
            <v>Manesar</v>
          </cell>
          <cell r="F116" t="str">
            <v>Friday</v>
          </cell>
          <cell r="G116" t="str">
            <v>4 Pm to 7 PM</v>
          </cell>
          <cell r="H116">
            <v>1450</v>
          </cell>
          <cell r="I116">
            <v>362.5</v>
          </cell>
          <cell r="J116" t="str">
            <v>Bliss</v>
          </cell>
          <cell r="K116" t="str">
            <v>Skip 1 week (28/05) Today returned (19/06)</v>
          </cell>
          <cell r="N116" t="str">
            <v>2  del of this cycle   -  1-cycles pmnt   Pending - Collect 1450</v>
          </cell>
          <cell r="O116" t="str">
            <v>P n W Glad ( 16 Inch) 16     Grass</v>
          </cell>
          <cell r="P116" t="e">
            <v>#N/A</v>
          </cell>
          <cell r="Q116" t="str">
            <v>O Asiatic ( 14 Inch ) 3     Grass</v>
          </cell>
          <cell r="R116" t="str">
            <v>Mix Alstroemeria ( 12 Inch ) 16     FF Sachet + Grass</v>
          </cell>
          <cell r="S116" t="str">
            <v xml:space="preserve">P Eustoma ( 12 Inch ) 3    FF Sachet + Grass </v>
          </cell>
          <cell r="T116" t="str">
            <v>Pur n P Car ( 14 Inch ) 16     FF sachet + Grass</v>
          </cell>
        </row>
        <row r="117">
          <cell r="B117" t="str">
            <v>Himantika Sethi</v>
          </cell>
          <cell r="C117">
            <v>9773856005</v>
          </cell>
          <cell r="D117" t="str">
            <v>A-5/402, World Spa East</v>
          </cell>
          <cell r="H117">
            <v>1480</v>
          </cell>
          <cell r="J117" t="str">
            <v>Bouquet</v>
          </cell>
          <cell r="K117" t="str">
            <v>Himantika Sethi
+91 97738 56005
Pls send 4 white oriental lily and 7 white carnations with 2 stem of baby’s breath for 1480 today..</v>
          </cell>
          <cell r="T117" t="str">
            <v xml:space="preserve">W oriental+ W Car 4+7  with 2 stem of baby’s breath    </v>
          </cell>
        </row>
        <row r="118">
          <cell r="B118" t="str">
            <v xml:space="preserve">Vani Maullick </v>
          </cell>
          <cell r="C118" t="str">
            <v>98730 10016</v>
          </cell>
          <cell r="D118" t="str">
            <v>A tower, flat 702
Ireo uptown
Sector 66</v>
          </cell>
          <cell r="H118">
            <v>1030</v>
          </cell>
          <cell r="J118" t="str">
            <v>Bouquet</v>
          </cell>
          <cell r="K118" t="str">
            <v>Send today Vani Maullick 
+91 98730 10016
Address: 
A tower, flat 702
Ireo uptown
Sector 66
3 oriental lilies - 2 pink and one white semi bloomed and 7 red carnations in tissue wrap 
neeche sponge achche se laga dena
collect 1030 on delivery</v>
          </cell>
          <cell r="T118" t="str">
            <v xml:space="preserve">3 oriental lilies - 2 pink and one white semi bloomed and 7 red carnations in tissue wrap       </v>
          </cell>
        </row>
        <row r="119">
          <cell r="A119">
            <v>3119</v>
          </cell>
          <cell r="B119" t="str">
            <v>Rachna Prasad</v>
          </cell>
          <cell r="C119">
            <v>9811106435</v>
          </cell>
          <cell r="D119" t="str">
            <v>N-3/202, Paras Irene Appartments, Sec 70 A</v>
          </cell>
          <cell r="E119" t="str">
            <v>Badshahpur</v>
          </cell>
          <cell r="F119" t="str">
            <v>Friday</v>
          </cell>
          <cell r="G119" t="str">
            <v>4 Pm to 7 PM</v>
          </cell>
          <cell r="H119">
            <v>1450</v>
          </cell>
          <cell r="I119">
            <v>362.5</v>
          </cell>
          <cell r="J119" t="str">
            <v>Bliss</v>
          </cell>
          <cell r="K119" t="str">
            <v>1000 cash and 450 via paytm (01/11) This week send on Sunday (09/02) Paytm From Outside Edge (28/02) Replacement tom (09/03)</v>
          </cell>
          <cell r="M119" t="str">
            <v>No Flowers on 13th -send on 15th Feb (09/02)</v>
          </cell>
          <cell r="N119" t="str">
            <v>3  del of this cycle   -  0-cycles pmnt   Completed - Collect 0</v>
          </cell>
          <cell r="O119" t="str">
            <v>P Eustoma ( 14 Inch ) 2 P n W Car ( 14 inch ) 7   FF Sachet + Grass</v>
          </cell>
          <cell r="P119" t="str">
            <v>O Asiatic ( 15 Inch ) 2 Mix Alstroemeria ( 12 Inch )  7   Grass</v>
          </cell>
          <cell r="Q119" t="str">
            <v>Y Spray Daisy ( 14 Inch ) 3 P n W Glad ( 14 Inch ) 7   FF Sachet + Grass</v>
          </cell>
          <cell r="R119" t="str">
            <v>Sunflower ( 12 Inch ) 2 Pur n P Car ( 14 Inch ) 7   FF Sachet + Grass</v>
          </cell>
          <cell r="S119" t="str">
            <v xml:space="preserve">Pur Eustom ( 12 Inch ) 2 Mix Alstroemeria (  12 Inch ) 7  FF Sachet + Grass </v>
          </cell>
          <cell r="T119" t="str">
            <v>P Asiatic ( 14 Inch ) 2 Glad ( 14 Inch ) 7   Grass</v>
          </cell>
        </row>
        <row r="120">
          <cell r="A120" t="str">
            <v>B56275</v>
          </cell>
          <cell r="B120" t="str">
            <v>Pooja Ma'am -- Jasbir Singh</v>
          </cell>
          <cell r="C120" t="str">
            <v>9997092561 // 999453496</v>
          </cell>
          <cell r="D120" t="str">
            <v>Amber, 4th Floor, Universal Trade Centre</v>
          </cell>
          <cell r="E120" t="str">
            <v>Sohna Road 1</v>
          </cell>
          <cell r="F120" t="str">
            <v>Friday</v>
          </cell>
          <cell r="G120" t="str">
            <v>By 8:30 AM</v>
          </cell>
          <cell r="H120">
            <v>4800</v>
          </cell>
          <cell r="I120">
            <v>4800</v>
          </cell>
          <cell r="J120" t="str">
            <v>Bouquet</v>
          </cell>
          <cell r="N120" t="str">
            <v>1  del of this cycle   -  0-cycles pmnt   In Process - Collect 0</v>
          </cell>
          <cell r="O120" t="e">
            <v>#N/A</v>
          </cell>
          <cell r="P120" t="e">
            <v>#N/A</v>
          </cell>
          <cell r="Q120" t="e">
            <v>#N/A</v>
          </cell>
          <cell r="R120" t="e">
            <v>#N/A</v>
          </cell>
          <cell r="S120" t="e">
            <v>#N/A</v>
          </cell>
          <cell r="T120" t="str">
            <v xml:space="preserve">Sunflower + B daisy  6 Bunch    </v>
          </cell>
        </row>
        <row r="121">
          <cell r="B121" t="str">
            <v xml:space="preserve"> Nehant</v>
          </cell>
          <cell r="D121" t="str">
            <v>T15/401 Vipul Greens</v>
          </cell>
          <cell r="H121">
            <v>1250</v>
          </cell>
          <cell r="J121" t="str">
            <v>Bouquet</v>
          </cell>
          <cell r="K121" t="str">
            <v>Send today from Amit Jindal
5 semi bloomed pink oriental lilies in tissue wrap to 
T15/401 Vipul Greens
Message 
Happy 21st Wedding Anniversary “ Nehant”
From 
Sarika Amit Jindal</v>
          </cell>
          <cell r="T121" t="str">
            <v xml:space="preserve">semi bloomed pink oriental lilies 5 tissue wrap msg   </v>
          </cell>
        </row>
      </sheetData>
      <sheetData sheetId="26"/>
      <sheetData sheetId="27"/>
      <sheetData sheetId="28"/>
      <sheetData sheetId="29"/>
      <sheetData sheetId="30"/>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01-07-26"/>
      <sheetName val="02-07-26"/>
      <sheetName val="03-07-26"/>
      <sheetName val="04-07-26"/>
      <sheetName val="05-07-26"/>
      <sheetName val="06-07-26"/>
      <sheetName val="07-07-26"/>
      <sheetName val="08-07-26"/>
      <sheetName val="09-07-26"/>
    </sheetNames>
    <sheetDataSet>
      <sheetData sheetId="0"/>
      <sheetData sheetId="1"/>
      <sheetData sheetId="2">
        <row r="2">
          <cell r="A2">
            <v>2389</v>
          </cell>
          <cell r="B2" t="str">
            <v>Sreyoshi  Maitra</v>
          </cell>
          <cell r="C2">
            <v>9711760109</v>
          </cell>
          <cell r="D2" t="str">
            <v>T-1/1706, M3M Heights, Sec 65</v>
          </cell>
          <cell r="E2" t="str">
            <v>Badshahpur</v>
          </cell>
          <cell r="F2" t="str">
            <v>Friday</v>
          </cell>
          <cell r="G2" t="str">
            <v>9 AM - 12 PM</v>
          </cell>
          <cell r="H2">
            <v>1950</v>
          </cell>
          <cell r="I2">
            <v>487.5</v>
          </cell>
          <cell r="J2" t="str">
            <v>Joy</v>
          </cell>
          <cell r="K2" t="str">
            <v>No Spray Daisy and Rajni // Payment from Mrittika Maitra (12/03) Send replacement of orchds tom (11/05) Today Returned (04/07) No eustoma (17/08) Hold today (24/10) Pls Send sunflowers on 9th Jan (12/12) HDTNP (13/03) Sent one del today (16/03) No Orchids (30/04) Today Returned (29/05)</v>
          </cell>
          <cell r="L2" t="str">
            <v>Orchids n Rajnigandha</v>
          </cell>
          <cell r="M2" t="str">
            <v>Sunflower on 9th Jan (12/12)</v>
          </cell>
          <cell r="N2" t="str">
            <v>1  del of this cycle   -  1-cycles pmnt   Pending - Collect 1950</v>
          </cell>
          <cell r="O2" t="str">
            <v>R n W Car ( 14 Inch ) 22     FF Sachet + Grass</v>
          </cell>
          <cell r="P2" t="str">
            <v>Pur n P Eustoma ( 14 Inch ) 4     FF Sachet + Grass</v>
          </cell>
          <cell r="Q2" t="str">
            <v>P n Y Spray Daisy ( 14 Inch ) 7     FF Sachet + Grass</v>
          </cell>
          <cell r="R2" t="str">
            <v>P n W Glad ( 14 Inch ) 22     Grass</v>
          </cell>
          <cell r="S2" t="str">
            <v>O Asiatic ( 14 Inch ) 4     Grass</v>
          </cell>
          <cell r="T2" t="str">
            <v>Pur n P Car ( 14 Inch ) 22     FF Sachet + Grass</v>
          </cell>
        </row>
        <row r="3">
          <cell r="A3">
            <v>3062</v>
          </cell>
          <cell r="B3" t="str">
            <v>Shilpa Ravikumar</v>
          </cell>
          <cell r="C3">
            <v>9400305164</v>
          </cell>
          <cell r="D3" t="str">
            <v>A-902, Palm Premier, Emaar Palm Hills, OPP Hyatt Regency, Sec 77</v>
          </cell>
          <cell r="E3" t="str">
            <v>Manesar</v>
          </cell>
          <cell r="F3" t="str">
            <v>Friday</v>
          </cell>
          <cell r="G3" t="str">
            <v>4 Pm to 7 PM</v>
          </cell>
          <cell r="H3">
            <v>1450</v>
          </cell>
          <cell r="I3">
            <v>362.5</v>
          </cell>
          <cell r="J3" t="str">
            <v>Bliss</v>
          </cell>
          <cell r="K3" t="str">
            <v>Hold till 7th Jan (25/01) Hold till 17th June (01/06)</v>
          </cell>
          <cell r="N3" t="str">
            <v>4  del of this cycle   -  0-cycles pmnt   Completed - Collect 0</v>
          </cell>
          <cell r="O3" t="str">
            <v>P Asiatic ( 15 Inch ) 2     Grass</v>
          </cell>
          <cell r="P3" t="e">
            <v>#N/A</v>
          </cell>
          <cell r="Q3" t="str">
            <v>Mix Carnation  16     FF Sachet + Grass</v>
          </cell>
          <cell r="R3" t="str">
            <v xml:space="preserve">Pur Eustom ( 12 Inch ) 3    FF Sachet + Grass </v>
          </cell>
          <cell r="S3" t="str">
            <v>P n W Glad ( 14 Inch ) 16     Grass</v>
          </cell>
          <cell r="T3" t="str">
            <v>Sunflower ( 12 Inch ) 4     FF Sachet + Grass</v>
          </cell>
        </row>
        <row r="4">
          <cell r="A4">
            <v>2991</v>
          </cell>
          <cell r="B4" t="str">
            <v>Smriti Singh Bhatia</v>
          </cell>
          <cell r="C4">
            <v>9818648787</v>
          </cell>
          <cell r="D4" t="str">
            <v>T-3/4201, M3M Heights, 65th Avenue, Sec 65</v>
          </cell>
          <cell r="E4" t="str">
            <v>Badshahpur</v>
          </cell>
          <cell r="F4" t="str">
            <v>Friday</v>
          </cell>
          <cell r="G4" t="str">
            <v>9 AM - 12 PM</v>
          </cell>
          <cell r="H4">
            <v>1450</v>
          </cell>
          <cell r="I4">
            <v>362.5</v>
          </cell>
          <cell r="J4" t="str">
            <v>Bliss</v>
          </cell>
          <cell r="K4" t="str">
            <v>Hold next week // Skip 2 week (22/12) Day Change to Friday (28/03) Paytm From Ravish Bhatia (17/04) HDTNP 915/05) HDTNP (22/05) HDTNP (29/05) Hold n start from July (17/06)</v>
          </cell>
          <cell r="N4" t="str">
            <v>1  del of this cycle   -  1-cycles pmnt   Pending - Collect 1450</v>
          </cell>
          <cell r="O4" t="str">
            <v xml:space="preserve">Collect 725 Carry Receipt Book Collect 725 Carry Receipt Book Collect 725 Carry Receipt Book </v>
          </cell>
          <cell r="P4" t="str">
            <v>P n W Car ( 14 Inch ) 16     FF Sachet + Grass</v>
          </cell>
          <cell r="Q4" t="str">
            <v>P n W Glad ( 14 Inch ) 16     Grass</v>
          </cell>
          <cell r="R4" t="e">
            <v>#N/A</v>
          </cell>
          <cell r="S4" t="e">
            <v>#N/A</v>
          </cell>
          <cell r="T4" t="str">
            <v>G Spray Daisy ( 14 Inch ) 5     Grass</v>
          </cell>
        </row>
        <row r="5">
          <cell r="A5">
            <v>2582</v>
          </cell>
          <cell r="B5" t="str">
            <v>Nidhi -- Emaar Palm</v>
          </cell>
          <cell r="C5">
            <v>9873404809</v>
          </cell>
          <cell r="D5" t="str">
            <v>T-57/101, Emaar emerakd Premier Floors, Sec 65</v>
          </cell>
          <cell r="E5" t="str">
            <v>Badshahpur</v>
          </cell>
          <cell r="F5" t="str">
            <v>Friday</v>
          </cell>
          <cell r="G5" t="str">
            <v>9:30 Am to 2 PM</v>
          </cell>
          <cell r="H5">
            <v>1450</v>
          </cell>
          <cell r="I5">
            <v>362.5</v>
          </cell>
          <cell r="J5" t="str">
            <v>Bliss</v>
          </cell>
          <cell r="K5" t="str">
            <v>From Nidhi Srivastava // No Del till 4th Oct (24/09) Hold due to non payment (26/12) Hold due to non payment (23/01) Skip 1 week (09/06)</v>
          </cell>
          <cell r="N5" t="str">
            <v>3  del of this cycle   -  0-cycles pmnt   Completed - Collect 0</v>
          </cell>
          <cell r="O5" t="str">
            <v xml:space="preserve">Collect 500 Carry Receipt Book Collect 500 Carry Receipt Book Collect 500 Carry Receipt Book </v>
          </cell>
          <cell r="P5" t="str">
            <v>Y Spray Daisy ( 14 Inch ) 3     FF Sachet + Grass</v>
          </cell>
          <cell r="Q5" t="e">
            <v>#N/A</v>
          </cell>
          <cell r="R5" t="str">
            <v xml:space="preserve">R n P Car ( 14 Inch ) 16    FF Sachet + Grass </v>
          </cell>
          <cell r="S5" t="str">
            <v>P n W Glad ( 14 Inch ) 16     Grass</v>
          </cell>
          <cell r="T5" t="str">
            <v>G Spray Daisy ( 14 Inch ) 5     Grass</v>
          </cell>
        </row>
        <row r="6">
          <cell r="A6">
            <v>2126</v>
          </cell>
          <cell r="B6" t="str">
            <v>Nidhi Sehgal</v>
          </cell>
          <cell r="C6">
            <v>9620110010</v>
          </cell>
          <cell r="D6" t="str">
            <v>D-23 Flat No 0002 Victory Valley Sec 67</v>
          </cell>
          <cell r="E6" t="str">
            <v>Badshahpur</v>
          </cell>
          <cell r="F6" t="str">
            <v>Friday</v>
          </cell>
          <cell r="G6" t="str">
            <v>9 AM - 12 PM</v>
          </cell>
          <cell r="H6">
            <v>2750</v>
          </cell>
          <cell r="I6">
            <v>687.5</v>
          </cell>
          <cell r="J6" t="str">
            <v>Elation</v>
          </cell>
          <cell r="K6" t="str">
            <v>Mixed Flowers // Always FF (15/05) Hold till 15th June (19/05) FF with all Flowers (12/06)</v>
          </cell>
          <cell r="M6" t="str">
            <v>Mixed Flowers and always FF</v>
          </cell>
          <cell r="N6" t="str">
            <v>1  del of this cycle   -  0-cycles pmnt   Completed - Collect 0</v>
          </cell>
          <cell r="O6" t="e">
            <v>#N/A</v>
          </cell>
          <cell r="P6" t="e">
            <v>#N/A</v>
          </cell>
          <cell r="Q6" t="str">
            <v>O Asiatic 3 Pur n P Car ( 14 Inch ) 16   2 Limonium + FF Sachet</v>
          </cell>
          <cell r="R6" t="str">
            <v>P Eustoma ( 12 Inch ) 4 P n W Glad ( 14 Inch ) 16  FF sachet + Grass FF sachet + Grass</v>
          </cell>
          <cell r="S6" t="str">
            <v>P n Y Spray Daisy ( 14 Inch ) 5 Mix Carnation  ( 12 Inch ) 15   FF Sachet + Grass</v>
          </cell>
          <cell r="T6" t="str">
            <v>Sunflower ( 12 Inch ) 4 Rajni ( 14 Inch ) 16   FF Sachet + Grass</v>
          </cell>
        </row>
        <row r="7">
          <cell r="A7" t="str">
            <v>G-00011</v>
          </cell>
          <cell r="B7" t="str">
            <v>Nainsee Garg</v>
          </cell>
          <cell r="C7">
            <v>9810561802</v>
          </cell>
          <cell r="D7" t="str">
            <v>A67 Rosewood City Sector 49 Gurgaon 122001</v>
          </cell>
          <cell r="E7" t="str">
            <v>Nirvana Country</v>
          </cell>
          <cell r="F7" t="str">
            <v>Friday</v>
          </cell>
          <cell r="G7" t="str">
            <v>9 AM to 2 PM</v>
          </cell>
          <cell r="H7">
            <v>2350</v>
          </cell>
          <cell r="I7">
            <v>293.75</v>
          </cell>
          <cell r="J7" t="str">
            <v>Felicity</v>
          </cell>
          <cell r="K7" t="str">
            <v>No Glad (15/-5) Skip tom n sned next del on Sunday (29/05) Skip 1 week (03/07) Skip 1 week (12/11) Send tom (01/04) Sent one del today (09/04) Skip 1 week (11/05) Skip this cdel n send on Sunday (12/06)</v>
          </cell>
          <cell r="L7" t="str">
            <v>Glad</v>
          </cell>
          <cell r="N7" t="str">
            <v>1  del of this cycle   -  1-cycles pmnt   Pending - Collect 2300</v>
          </cell>
          <cell r="O7" t="str">
            <v>P Asiatic ( 15 Inch ) 2 Mix Alstroemeria ( 12 Inch )  20   Grass</v>
          </cell>
          <cell r="P7" t="str">
            <v>R n W Car ( 14 Inch ) 11     FF Sachet + Grass</v>
          </cell>
          <cell r="Q7" t="e">
            <v>#N/A</v>
          </cell>
          <cell r="R7" t="str">
            <v>P Asiatic ( 14 Inch ) 2     Grass</v>
          </cell>
          <cell r="S7" t="str">
            <v>Y Spray Daisy ( 14 Inch ) 3     FF sachet + Grass</v>
          </cell>
          <cell r="T7" t="str">
            <v>Sunflower ( 12 Inch ) 3     FF Sachet + Grass</v>
          </cell>
        </row>
        <row r="8">
          <cell r="A8">
            <v>2394</v>
          </cell>
          <cell r="B8" t="str">
            <v>Sachi Poudiyal</v>
          </cell>
          <cell r="C8">
            <v>8420453178</v>
          </cell>
          <cell r="D8" t="str">
            <v>H. No. 901, Ground Floor, Sec 17 B, Next to St PBN School</v>
          </cell>
          <cell r="E8" t="str">
            <v>Old Gurgaon</v>
          </cell>
          <cell r="F8" t="str">
            <v>Friday</v>
          </cell>
          <cell r="G8" t="str">
            <v>4 PM to 7 PM</v>
          </cell>
          <cell r="H8">
            <v>1450</v>
          </cell>
          <cell r="I8">
            <v>362.5</v>
          </cell>
          <cell r="J8" t="str">
            <v>Bliss</v>
          </cell>
          <cell r="K8" t="str">
            <v>12 Del Payment done today (18/03) Hold n start from Aug(12/06) One Payment Received today (09/11)</v>
          </cell>
          <cell r="N8" t="str">
            <v>4  del of this cycle   -  0-cycles pmnt   Completed - Collect 0</v>
          </cell>
          <cell r="O8" t="str">
            <v>P n Y Spray Daisy ( 15 Inch ) 5     FF Sachet + Grass</v>
          </cell>
          <cell r="P8" t="str">
            <v>P n W Glad ( 14 Inch ) 16     Grass</v>
          </cell>
          <cell r="Q8" t="str">
            <v>Sunflower ( 12 Inch ) 4     FF Sachet + Grass</v>
          </cell>
          <cell r="R8" t="str">
            <v xml:space="preserve">Pur Eustom ( 12 Inch ) 3    FF Sachet + Grass </v>
          </cell>
          <cell r="S8" t="str">
            <v>P n W Car ( 14 Inch ) 16     FF sachet + Grass</v>
          </cell>
          <cell r="T8" t="str">
            <v>G Spray Daisy ( 14 Inch ) 5     Grass</v>
          </cell>
        </row>
        <row r="9">
          <cell r="A9">
            <v>2385</v>
          </cell>
          <cell r="B9" t="str">
            <v>Vasanta Poddar</v>
          </cell>
          <cell r="C9">
            <v>9899170709</v>
          </cell>
          <cell r="D9" t="str">
            <v>S-64, 2nd Floor, Uppal Southend</v>
          </cell>
          <cell r="E9" t="str">
            <v>Sohna Road 1</v>
          </cell>
          <cell r="F9" t="str">
            <v>Friday</v>
          </cell>
          <cell r="G9" t="str">
            <v>9 AM - 12 PM</v>
          </cell>
          <cell r="H9">
            <v>1950</v>
          </cell>
          <cell r="I9">
            <v>487.5</v>
          </cell>
          <cell r="J9" t="str">
            <v>Joy</v>
          </cell>
          <cell r="K9" t="str">
            <v xml:space="preserve"> Skip 1 week (11/03) Skip 2 week (29/05) Sent 1 Del today (21/08) Send tom (06/02) Skip 1 week (19/02)</v>
          </cell>
          <cell r="L9" t="str">
            <v>ORCHID</v>
          </cell>
          <cell r="N9" t="str">
            <v>3  del of this cycle   -  0-cycles pmnt   Completed - Collect 0</v>
          </cell>
          <cell r="O9" t="str">
            <v>P n W Glad ( 14 Inch ) 22     Grass</v>
          </cell>
          <cell r="P9" t="str">
            <v>W Asiatic ( 14 Inch ) 4     Grass</v>
          </cell>
          <cell r="Q9" t="str">
            <v>P Asiatic ( 14 Inch ) 4     Grass</v>
          </cell>
          <cell r="R9" t="str">
            <v>R n P Car ( 14 Inch ) 22     FF sachet + Grass</v>
          </cell>
          <cell r="S9" t="str">
            <v>P n Y Spray Daisy ( 14 Inch ) 7     FF Sachet + Grass</v>
          </cell>
          <cell r="T9" t="str">
            <v>P n W Glad ( 14 Inch ) 22     Grass</v>
          </cell>
        </row>
        <row r="10">
          <cell r="A10">
            <v>3016</v>
          </cell>
          <cell r="B10" t="str">
            <v>Divya Dwivedi</v>
          </cell>
          <cell r="C10">
            <v>7668421237</v>
          </cell>
          <cell r="D10" t="str">
            <v>T-83/402, Emaar palm Hills, Sec 77</v>
          </cell>
          <cell r="E10" t="str">
            <v>Badshahpur</v>
          </cell>
          <cell r="F10" t="str">
            <v>Friday</v>
          </cell>
          <cell r="G10" t="str">
            <v>4 Pm to 7 PM</v>
          </cell>
          <cell r="H10">
            <v>1950</v>
          </cell>
          <cell r="I10">
            <v>487.5</v>
          </cell>
          <cell r="J10" t="str">
            <v>Joy</v>
          </cell>
          <cell r="K10" t="str">
            <v>1st Del Tom and then every Friday (14/09) Skip 1 week (02/10) today hold (30/01) Skip 1 week (10/02) Four Plus 1 Pack (13/04)</v>
          </cell>
          <cell r="M10" t="str">
            <v>Oriental once in 1 cycle (13/04)</v>
          </cell>
          <cell r="N10" t="str">
            <v>4  del of this cycle   -  0-cycles pmnt   Completed - Collect 0</v>
          </cell>
          <cell r="O10" t="str">
            <v>O Asiatic ( 15 Inch ) 4     Grass</v>
          </cell>
          <cell r="P10" t="e">
            <v>#N/A</v>
          </cell>
          <cell r="Q10" t="e">
            <v>#N/A</v>
          </cell>
          <cell r="R10" t="e">
            <v>#N/A</v>
          </cell>
          <cell r="S10" t="str">
            <v>P n W Glad ( 14 Inch ) 22     Grass</v>
          </cell>
          <cell r="T10" t="str">
            <v>Pur n P Car ( 14 Inch ) 22     FF Sachet + Grass</v>
          </cell>
        </row>
        <row r="11">
          <cell r="A11">
            <v>2803</v>
          </cell>
          <cell r="B11" t="str">
            <v>Priyanka Dey</v>
          </cell>
          <cell r="C11">
            <v>9007706833</v>
          </cell>
          <cell r="D11" t="str">
            <v>D/1003, 10th Floor, Emaar Palm Heights, Sec 77</v>
          </cell>
          <cell r="E11" t="str">
            <v>Badshahpur</v>
          </cell>
          <cell r="F11" t="str">
            <v>Friday</v>
          </cell>
          <cell r="G11" t="str">
            <v>After 5 PM</v>
          </cell>
          <cell r="H11">
            <v>1450</v>
          </cell>
          <cell r="I11">
            <v>362.5</v>
          </cell>
          <cell r="J11" t="str">
            <v>Delight</v>
          </cell>
          <cell r="K11" t="str">
            <v>Lily Next (28/07) Returned and hold (15/08) Four plus 1 Pack // Today returned (16/05)</v>
          </cell>
          <cell r="N11" t="str">
            <v>2  del of this cycle   -  0-cycles pmnt   Completed - Collect 0</v>
          </cell>
          <cell r="O11" t="str">
            <v>Mix Alstroemeria ( 12 Inch ) 16     FF Sachet + Grass</v>
          </cell>
          <cell r="P11" t="str">
            <v>P n W Glad ( 14 Inch ) 16     Grass</v>
          </cell>
          <cell r="Q11" t="str">
            <v>Y Asiatic ( 14 Inch ) 3     Grass</v>
          </cell>
          <cell r="R11" t="str">
            <v xml:space="preserve">Pur Eustom ( 12 Inch ) 3    FF Sachet + Grass </v>
          </cell>
          <cell r="S11" t="str">
            <v>Alstromeria 16     FF sachet + Grass</v>
          </cell>
          <cell r="T11" t="str">
            <v>Pur n P Car ( 14 Inch ) 16     FF Sachet + Grass</v>
          </cell>
        </row>
        <row r="12">
          <cell r="A12">
            <v>163</v>
          </cell>
          <cell r="B12" t="str">
            <v>Rasmeeta Nayak</v>
          </cell>
          <cell r="C12">
            <v>8800444342</v>
          </cell>
          <cell r="D12" t="str">
            <v>H-504, Park View City - 2, Sohna Road</v>
          </cell>
          <cell r="E12" t="str">
            <v>Sohna Road 1</v>
          </cell>
          <cell r="F12" t="str">
            <v>Friday</v>
          </cell>
          <cell r="G12" t="str">
            <v>Before 10.30 Am</v>
          </cell>
          <cell r="H12">
            <v>1950</v>
          </cell>
          <cell r="I12">
            <v>487.5</v>
          </cell>
          <cell r="J12" t="str">
            <v>Joy</v>
          </cell>
          <cell r="K12" t="str">
            <v xml:space="preserve"> NO GLAD(12/04)  NO BOP(12/12)  NO HELICONIA(24/12)  Today returned-send tom(20/05) Return today and skip 1 week(09/09) Double Del tom with Lily and Rajnigandha (20/10) Today Returned -- send on 16th (14/07) Hold n start from 22nd Sep (08/08) Skip 2 week (16/03) Send 4th Del on Wednesday not on Friday (23/10) Today Returned (21/02) Skip n send on Monday (11/03) Skip 1 week (27/03) Skip 1 week (02/07) Hold n skip 2 weeks // hold she will confirm (19/12)</v>
          </cell>
          <cell r="N12" t="str">
            <v>4  del of this cycle   -  0-cycles pmnt   Completed - Collect 0</v>
          </cell>
          <cell r="O12" t="str">
            <v>Y Orchid  7     FF Sachet + Grass</v>
          </cell>
          <cell r="P12" t="str">
            <v>W Asiatic ( 14 Inch ) 4     Grass</v>
          </cell>
          <cell r="Q12" t="str">
            <v>Pur n P Car ( 14 Inch ) 22     FF Sachet + Grass</v>
          </cell>
          <cell r="R12" t="str">
            <v>Sunflower ( 12 Inch ) 5     FF sachet + Grass</v>
          </cell>
          <cell r="S12" t="str">
            <v>Pur n P Eustoma ( 12 Inch ) 4     FF Sachet + Grass</v>
          </cell>
          <cell r="T12" t="str">
            <v>P n W Glad ( 14 Inch ) 22 1st Del Tom in Route 1st Del Tom in Route 1st Del Tom in Route  Grass</v>
          </cell>
        </row>
        <row r="13">
          <cell r="A13">
            <v>3050</v>
          </cell>
          <cell r="B13" t="str">
            <v>Unnati Jain</v>
          </cell>
          <cell r="C13">
            <v>8999727355</v>
          </cell>
          <cell r="D13" t="str">
            <v>T-16/1003, Orchid Petals</v>
          </cell>
          <cell r="E13" t="str">
            <v>Sohna Road 1</v>
          </cell>
          <cell r="F13" t="str">
            <v>Monday</v>
          </cell>
          <cell r="G13" t="str">
            <v>9 AM - 12 PM</v>
          </cell>
          <cell r="H13">
            <v>1600</v>
          </cell>
          <cell r="I13">
            <v>200</v>
          </cell>
          <cell r="J13" t="str">
            <v>Bloom</v>
          </cell>
          <cell r="K13" t="str">
            <v>Hold n start From 7th Nov (16/10) Skip 1 week (13/11) Today retirned and skip next week also (28/11) Check in Feb to restart (20/12) Skip 1 week (31/05) Hold n start from July (15/06)</v>
          </cell>
          <cell r="N13" t="str">
            <v>4  del of this cycle   -  0-cycles pmnt   Completed - Collect 0</v>
          </cell>
          <cell r="O13" t="str">
            <v>Sunflower ( 14 Inch ) 2     FF Sachet + Grass</v>
          </cell>
          <cell r="P13" t="e">
            <v>#N/A</v>
          </cell>
          <cell r="Q13" t="str">
            <v>B Daisy ( 12 Inch ) 7     Grass</v>
          </cell>
          <cell r="R13" t="e">
            <v>#N/A</v>
          </cell>
          <cell r="S13" t="e">
            <v>#N/A</v>
          </cell>
          <cell r="T13" t="str">
            <v>Pur n P Car ( 14 Inch ) 7     FF Sachet + Grass</v>
          </cell>
        </row>
        <row r="14">
          <cell r="A14">
            <v>3139</v>
          </cell>
          <cell r="B14" t="str">
            <v>Ishita Chopra</v>
          </cell>
          <cell r="C14">
            <v>9810247803</v>
          </cell>
          <cell r="D14" t="str">
            <v>B-69, Ground Floor, Soutthend Floor, Sec 49</v>
          </cell>
          <cell r="E14" t="str">
            <v>Sohna Road 1</v>
          </cell>
          <cell r="F14" t="str">
            <v>Friday</v>
          </cell>
          <cell r="G14" t="str">
            <v>4 Pm to 7 PM</v>
          </cell>
          <cell r="H14">
            <v>1450</v>
          </cell>
          <cell r="I14">
            <v>362.5</v>
          </cell>
          <cell r="J14" t="str">
            <v>Bliss</v>
          </cell>
          <cell r="K14" t="str">
            <v>No Red Rose // Today returned due to timing missunderstaning (21/11) No Roses (06/01)</v>
          </cell>
          <cell r="L14" t="str">
            <v>Roses</v>
          </cell>
          <cell r="N14" t="str">
            <v>2  del of this cycle   -  0-cycles pmnt   Completed - Collect 0</v>
          </cell>
          <cell r="O14" t="str">
            <v>P n W Car 16     FF Sachet + Grass</v>
          </cell>
          <cell r="P14" t="str">
            <v>O Asiatic ( 14 Inch ) 3     Grass</v>
          </cell>
          <cell r="Q14" t="str">
            <v>P n W Glad ( 14 Inch ) 16     Grass</v>
          </cell>
          <cell r="R14" t="str">
            <v xml:space="preserve">Pur Eustom ( 12 Inch ) 3    FF Sachet + Grass </v>
          </cell>
          <cell r="S14" t="str">
            <v>P n Y Spray Daisy ( 14 Inch ) 5     FF sachet + Grass</v>
          </cell>
          <cell r="T14" t="str">
            <v>Pur n P Car ( 14 Inch ) 16     FF Sachet + Grass</v>
          </cell>
        </row>
        <row r="15">
          <cell r="A15">
            <v>1411</v>
          </cell>
          <cell r="B15" t="str">
            <v>Aarti Malhotra</v>
          </cell>
          <cell r="C15">
            <v>9810002228</v>
          </cell>
          <cell r="D15" t="str">
            <v>T-10/1402, Orchid Petals</v>
          </cell>
          <cell r="E15" t="str">
            <v>Sohna Road 1</v>
          </cell>
          <cell r="F15" t="str">
            <v>Friday</v>
          </cell>
          <cell r="G15" t="str">
            <v>9 AM - 12 PM</v>
          </cell>
          <cell r="H15">
            <v>3000</v>
          </cell>
          <cell r="I15">
            <v>375</v>
          </cell>
          <cell r="J15" t="str">
            <v>Charm</v>
          </cell>
          <cell r="K15" t="str">
            <v>Friday and Tuesday//Thursday and Sunday//Like-- Spray daisy//Rajni and guldawari(28/05) Sunday and Thursday(20/06) Shift to Joy package after this(15/09) Skip 1 week(13/01)  Holy Change(16/03) Sent 1 replacement today(05/04) Hold n start from June(04/05) Hold and start after 20th June(06/06) Sent Replacement today(05/07) Do Not Count last Delivery(18/07) NO SPRAY DAISY(23/08) Skip coming Delivery (28/09)Today flowers returned-send on next del date (09/12) Start after 31st // Replace last flowers (28/01) Skip 1 week (02/06) No Del till 28th June (11/06) Skip this friday (06/03) Skip 1 week 911/03) Paytm from Vineet R K (26/10) Hold till 2nd July (31/05)</v>
          </cell>
          <cell r="N15" t="str">
            <v>8  del of this cycle   -  0-cycles pmnt   Completed - Collect 0</v>
          </cell>
          <cell r="O15" t="str">
            <v>Mix Alstroemeria ( 12 Inch ) 15     FF Sachet + Grass</v>
          </cell>
          <cell r="P15" t="e">
            <v>#N/A</v>
          </cell>
          <cell r="Q15" t="e">
            <v>#N/A</v>
          </cell>
          <cell r="R15" t="e">
            <v>#N/A</v>
          </cell>
          <cell r="S15" t="e">
            <v>#N/A</v>
          </cell>
          <cell r="T15" t="str">
            <v>Pur n P Car ( 14 Inch ) 15     FF Sachet + Grass</v>
          </cell>
        </row>
        <row r="16">
          <cell r="A16">
            <v>3077</v>
          </cell>
          <cell r="B16" t="str">
            <v>Shweta Katiyar</v>
          </cell>
          <cell r="C16">
            <v>9999435065</v>
          </cell>
          <cell r="D16" t="str">
            <v>G-122, DLF Primus, Sec 82 A</v>
          </cell>
          <cell r="E16" t="str">
            <v>Manesar</v>
          </cell>
          <cell r="F16" t="str">
            <v>Friday</v>
          </cell>
          <cell r="G16" t="str">
            <v>4 PM to 7 PM</v>
          </cell>
          <cell r="H16">
            <v>1950</v>
          </cell>
          <cell r="I16">
            <v>487.5</v>
          </cell>
          <cell r="J16" t="str">
            <v>Joy</v>
          </cell>
          <cell r="K16" t="str">
            <v>No Eustoma// Skip tom (31/12/25) Replacement of guldawari tom (16/01)</v>
          </cell>
          <cell r="L16" t="str">
            <v>Eustoma</v>
          </cell>
          <cell r="N16" t="str">
            <v>2  del of this cycle   -  1-cycles pmnt   Pending - Collect 1950</v>
          </cell>
          <cell r="O16" t="str">
            <v>P Asiatic ( 15 Inch ) 2 P n W Car ( 14 Inch ) 11   Grass</v>
          </cell>
          <cell r="P16" t="str">
            <v>Pur Eustom ( 14 Inch ) 2 Mix Alstroemeria ( 12 Inch ) 11   FF Sachet + Grass</v>
          </cell>
          <cell r="Q16" t="str">
            <v>P n Y Spray Daisy ( 14 Inch ) 4 P n W Glad ( 14 Inch ) 11   FF Sachet + Grass</v>
          </cell>
          <cell r="R16" t="str">
            <v>Eustoma  2 Pur n P Car ( 14 Inch ) 11   FF sachet + Grass</v>
          </cell>
          <cell r="S16" t="str">
            <v>Sunflower ( 12 Inch ) 3 Alstomeria( 12 Inch ) 11   FF Sachet + Grass</v>
          </cell>
          <cell r="T16" t="str">
            <v>W Asiatic ( 14 Inch ) 2 P n W Glad ( 14 Inch ) 11   Grass</v>
          </cell>
        </row>
        <row r="17">
          <cell r="A17">
            <v>48</v>
          </cell>
          <cell r="B17" t="str">
            <v>Ms. Namrata Agarwal</v>
          </cell>
          <cell r="C17">
            <v>9873660272</v>
          </cell>
          <cell r="D17" t="str">
            <v>18/1101,Orchid Petals, Sohna Road</v>
          </cell>
          <cell r="E17" t="str">
            <v>Sohna Road 1</v>
          </cell>
          <cell r="F17" t="str">
            <v>Friday</v>
          </cell>
          <cell r="G17" t="str">
            <v>9 AM - 12 PM</v>
          </cell>
          <cell r="H17">
            <v>1950</v>
          </cell>
          <cell r="I17">
            <v>487.5</v>
          </cell>
          <cell r="J17" t="str">
            <v>Joy</v>
          </cell>
          <cell r="K17" t="str">
            <v>More Lilies n Orchids (20/05), NO ORCHID(12/10)  NO HELICONIA and send vase Next for 200(01/02) Send 1 vase for 200 tom(05/02)NO BOP(13/03) Paytm from Vipul Agarwal (09/06) Skip 3 weeks after current cycle (10/06) Paytm from Vipul Agarwal (14/07) Do not count last del (09/09) Skip 2 week (29/05) Today Returned (20/06) Hold due to non payment (16/01) Hold due to non payment (23/01) HDTNP (27/02) HDTNP (06/03) HDTNP (13/03) Skip 3 week (19/04)</v>
          </cell>
          <cell r="N17" t="str">
            <v>3  del of this cycle   -  0-cycles pmnt   Completed - Collect 0</v>
          </cell>
          <cell r="O17" t="str">
            <v>O Asiatic ( 15 Inch ) 4     Grass</v>
          </cell>
          <cell r="P17" t="str">
            <v>P n W Glad ( 14 Inch ) 22     Grass</v>
          </cell>
          <cell r="Q17" t="str">
            <v>Mix Alstroemeria ( 12 Inch ) 22     FF Sachet + Grass</v>
          </cell>
          <cell r="R17" t="str">
            <v>Sunflower ( 12 Inch ) 5     FF sachet + Grass</v>
          </cell>
          <cell r="S17" t="str">
            <v>Pur n P Car ( 14 Inch ) 22     FF Sachet + Grass</v>
          </cell>
          <cell r="T17" t="str">
            <v>G n Y Spray Daisy ( 14 Inch ) 7     Grass</v>
          </cell>
        </row>
        <row r="18">
          <cell r="A18">
            <v>2985</v>
          </cell>
          <cell r="B18" t="str">
            <v>Leena -- Orchid Petals</v>
          </cell>
          <cell r="C18">
            <v>9810768350</v>
          </cell>
          <cell r="D18" t="str">
            <v>T-24/1103, Orchid Petals</v>
          </cell>
          <cell r="E18" t="str">
            <v>Sohna Road 1</v>
          </cell>
          <cell r="F18" t="str">
            <v>Friday</v>
          </cell>
          <cell r="G18" t="str">
            <v>9 AM - 12 PM</v>
          </cell>
          <cell r="H18">
            <v>1450</v>
          </cell>
          <cell r="I18">
            <v>362.5</v>
          </cell>
          <cell r="J18" t="str">
            <v>Bliss</v>
          </cell>
          <cell r="K18" t="str">
            <v>1st del tom and then every Friday // Upgrade to Bliss (08/01) Hold today (06/02) Skip Friday and send on Sunday this week (20/05)</v>
          </cell>
          <cell r="N18" t="str">
            <v>1  del of this cycle   -  0-cycles pmnt   Completed - Collect 0</v>
          </cell>
          <cell r="O18" t="str">
            <v>R n W Car ( 14 Inch ) 16     FF Sachet + Grass</v>
          </cell>
          <cell r="P18" t="str">
            <v>O Asiatic ( 14 Inch ) 3     Grass</v>
          </cell>
          <cell r="Q18" t="str">
            <v>P n W Glad ( 14 Inch ) 16     Grass</v>
          </cell>
          <cell r="R18" t="str">
            <v xml:space="preserve">Pur Eustom ( 12 Inch ) 3    FF Sachet + Grass </v>
          </cell>
          <cell r="S18" t="str">
            <v>P n Y Spray Daisy ( 14 Inch ) 5     FF sachet + Grass</v>
          </cell>
          <cell r="T18" t="str">
            <v>Pur n P Car ( 14 Inch ) 16     FF Sachet + Grass</v>
          </cell>
        </row>
        <row r="19">
          <cell r="A19">
            <v>3301</v>
          </cell>
          <cell r="B19" t="str">
            <v>Akanksha -- Orchid Petal</v>
          </cell>
          <cell r="C19">
            <v>9953302209</v>
          </cell>
          <cell r="D19" t="str">
            <v>T-15/401, Orchid Petals</v>
          </cell>
          <cell r="E19" t="str">
            <v>Sohna Road 1</v>
          </cell>
          <cell r="F19" t="str">
            <v>Friday</v>
          </cell>
          <cell r="G19" t="str">
            <v>4 PM to 7 PM</v>
          </cell>
          <cell r="H19">
            <v>1950</v>
          </cell>
          <cell r="I19">
            <v>487.5</v>
          </cell>
          <cell r="J19" t="str">
            <v>Joy</v>
          </cell>
          <cell r="K19" t="str">
            <v>Paytm From Akanksha Jain// Skip 1 week (17/05) HDTNP (12/06)</v>
          </cell>
          <cell r="N19" t="str">
            <v>4  del of this cycle   -  0-cycles pmnt   Completed - Collect 0</v>
          </cell>
          <cell r="O19" t="str">
            <v>O Asiatic ( 15 Inch ) 4     Grass</v>
          </cell>
          <cell r="P19" t="str">
            <v>P n W Spray Daisy ( 14 Inch ) 7     FF Sachet + Grass</v>
          </cell>
          <cell r="Q19" t="e">
            <v>#N/A</v>
          </cell>
          <cell r="R19" t="str">
            <v>P n W Glad ( 14 Inch ) 22     Grass</v>
          </cell>
          <cell r="S19" t="str">
            <v>Pur n P Car ( 14 Inch ) 22     FF Sachet + Grass</v>
          </cell>
          <cell r="T19" t="str">
            <v>W Asiatic ( 14 Inch ) 4     Grass</v>
          </cell>
        </row>
        <row r="20">
          <cell r="A20">
            <v>2805</v>
          </cell>
          <cell r="B20" t="str">
            <v>Niti Beri</v>
          </cell>
          <cell r="C20">
            <v>8130432211</v>
          </cell>
          <cell r="D20" t="str">
            <v>D-92, DLF Ultima, Sec 81</v>
          </cell>
          <cell r="E20" t="str">
            <v>Manesar</v>
          </cell>
          <cell r="F20" t="str">
            <v>Friday</v>
          </cell>
          <cell r="G20" t="str">
            <v>4 PM to 8 PM</v>
          </cell>
          <cell r="H20">
            <v>2750</v>
          </cell>
          <cell r="I20">
            <v>687.5</v>
          </cell>
          <cell r="J20" t="str">
            <v>Elation</v>
          </cell>
          <cell r="K20" t="str">
            <v>2ith 15% discount // Skip 1 week (29/09) Today Hold (14/11) Hold Tom (04/12) Send one del tom (30/12) HDTNP (27/02) No Gerbera (06/05)</v>
          </cell>
          <cell r="L20" t="str">
            <v>Gerbera</v>
          </cell>
          <cell r="N20" t="str">
            <v>4  del of this cycle   -  0-cycles pmnt   Completed - Collect 0</v>
          </cell>
          <cell r="O20" t="e">
            <v>#N/A</v>
          </cell>
          <cell r="P20" t="e">
            <v>#N/A</v>
          </cell>
          <cell r="Q20" t="e">
            <v>#N/A</v>
          </cell>
          <cell r="R20" t="e">
            <v>#N/A</v>
          </cell>
          <cell r="S20" t="e">
            <v>#N/A</v>
          </cell>
          <cell r="T20" t="str">
            <v>O Asiatic ( 14 Inch ) 3 P n W Car ( 14 Inch ) 16   FF Sachet + Grass</v>
          </cell>
        </row>
        <row r="21">
          <cell r="A21">
            <v>3382</v>
          </cell>
          <cell r="B21" t="str">
            <v>Bhavna Jain</v>
          </cell>
          <cell r="C21">
            <v>8800691541</v>
          </cell>
          <cell r="D21" t="str">
            <v>D-15/301, Ireo Victory Valley, Sec 67</v>
          </cell>
          <cell r="E21" t="str">
            <v>Badshahpur</v>
          </cell>
          <cell r="F21" t="str">
            <v>Friday</v>
          </cell>
          <cell r="G21" t="str">
            <v>9:30 Am to 2 PM</v>
          </cell>
          <cell r="H21">
            <v>1450</v>
          </cell>
          <cell r="I21">
            <v>362.5</v>
          </cell>
          <cell r="J21" t="str">
            <v>Bliss</v>
          </cell>
          <cell r="N21" t="str">
            <v>3  del of this cycle   -  0-cycles pmnt   Completed - Collect 0</v>
          </cell>
          <cell r="O21" t="e">
            <v>#N/A</v>
          </cell>
          <cell r="P21" t="e">
            <v>#N/A</v>
          </cell>
          <cell r="Q21" t="e">
            <v>#N/A</v>
          </cell>
          <cell r="R21" t="str">
            <v xml:space="preserve">R n P Car ( 14 Inch ) 16    FF Sachet + Grass </v>
          </cell>
          <cell r="S21" t="str">
            <v>O Asiatic ( 14 Inch ) 3     Grass</v>
          </cell>
          <cell r="T21" t="str">
            <v>P n W Glad ( 14 Inch ) 16     Grass</v>
          </cell>
        </row>
        <row r="22">
          <cell r="A22">
            <v>2372</v>
          </cell>
          <cell r="B22" t="str">
            <v>Sumita Shahi</v>
          </cell>
          <cell r="C22">
            <v>9910955257</v>
          </cell>
          <cell r="D22" t="str">
            <v xml:space="preserve">T-A/501, Spaze I-tech Park, </v>
          </cell>
          <cell r="E22" t="str">
            <v>Sohna Road 1</v>
          </cell>
          <cell r="F22" t="str">
            <v>Friday</v>
          </cell>
          <cell r="G22" t="str">
            <v>9 AM - 12 PM</v>
          </cell>
          <cell r="H22">
            <v>1950</v>
          </cell>
          <cell r="I22">
            <v>487.5</v>
          </cell>
          <cell r="J22" t="str">
            <v>Joy</v>
          </cell>
          <cell r="K22" t="str">
            <v>Skip 1 week (04/01) Skip 1 week (25/06) Send tom (26/06) Tday returned (15/08) Hold tom (05/09) Today hold n skip 1 week (26/09) Skip tom (19/03) Upgrade to Joy and four plus 1 Pack (12/04) Hold today (01/05) Skip 1 week (23/06)</v>
          </cell>
          <cell r="N22" t="str">
            <v>1  del of this cycle   -  0-cycles pmnt   Completed - Collect 0</v>
          </cell>
          <cell r="O22" t="str">
            <v>P n W Glad ( 14 Inch ) 22     Grass</v>
          </cell>
          <cell r="P22" t="str">
            <v>Mix Alstroemeria ( 12 Inch ) 22     FF Sachet + Grass</v>
          </cell>
          <cell r="Q22" t="str">
            <v>Pur n P Eustoma ( 14 Inch ) 4     FF Sachet + Grass</v>
          </cell>
          <cell r="R22" t="str">
            <v>O Asiatic ( 14 Inch ) 4     Grass</v>
          </cell>
          <cell r="S22" t="e">
            <v>#N/A</v>
          </cell>
          <cell r="T22" t="str">
            <v>Pur n P Car ( 14 Inch ) 22     FF Sachet + Grass</v>
          </cell>
        </row>
        <row r="23">
          <cell r="A23">
            <v>815</v>
          </cell>
          <cell r="B23" t="str">
            <v>Surath Singh</v>
          </cell>
          <cell r="C23">
            <v>9717166559</v>
          </cell>
          <cell r="D23" t="str">
            <v>B-2205, Ireo Victory Valley,Sec-67</v>
          </cell>
          <cell r="E23" t="str">
            <v>Badshahpur</v>
          </cell>
          <cell r="F23" t="str">
            <v>Friday</v>
          </cell>
          <cell r="G23" t="str">
            <v>9 AM - 12 PM</v>
          </cell>
          <cell r="H23">
            <v>2750</v>
          </cell>
          <cell r="I23">
            <v>687.5</v>
          </cell>
          <cell r="J23" t="str">
            <v>Elation</v>
          </cell>
          <cell r="K23" t="str">
            <v xml:space="preserve"> NO GERBERA n CAR(11/10)  NO GULDAWARI(23/02)  Holy Change(16/03) Return-send next week(24/06) Returnedas payment was not done (28/04) Paytm From Franky Arora // Hold today as paymenht not paid (14/07) Hold due to non payment (21/07) Hold due to non payment (01/12) Today returned (21/06) Hold (20/06) Return today (27/03) Paytm From Collectosh (29/05)</v>
          </cell>
          <cell r="N23" t="str">
            <v>4  del of this cycle   -  0-cycles pmnt   Completed - Collect 0</v>
          </cell>
          <cell r="O23" t="str">
            <v xml:space="preserve">Mix Spray Daisy 10     2 Luminium +FF </v>
          </cell>
          <cell r="P23" t="str">
            <v xml:space="preserve">P Asiatic ( 14 Inch ) 6     2 Gypsola </v>
          </cell>
          <cell r="Q23" t="str">
            <v>P n W Glad ( 14 Inch ) 32     2 Limonium</v>
          </cell>
          <cell r="R23" t="str">
            <v>P n Pur Eustoma ( 12 Inch ) 6     FF sachet + Grass</v>
          </cell>
          <cell r="S23" t="str">
            <v>P n W Car ( 14 Inch ) 32     2 Gypsola + FF Sachet</v>
          </cell>
          <cell r="T23" t="str">
            <v>Sunflower ( 12 Inch ) 7     FF Sachet + Grass</v>
          </cell>
        </row>
        <row r="24">
          <cell r="A24">
            <v>1618</v>
          </cell>
          <cell r="B24" t="str">
            <v>Nidhi Sharma Malhotra</v>
          </cell>
          <cell r="C24" t="str">
            <v>8130207722//9999016333</v>
          </cell>
          <cell r="D24" t="str">
            <v>Topaz-36, First Floor, Emaar Emerald Hills, Sec 65</v>
          </cell>
          <cell r="E24" t="str">
            <v>Badshahpur</v>
          </cell>
          <cell r="F24" t="str">
            <v>Friday</v>
          </cell>
          <cell r="G24" t="str">
            <v>9 AM to 2 PM</v>
          </cell>
          <cell r="H24">
            <v>3000</v>
          </cell>
          <cell r="I24">
            <v>375</v>
          </cell>
          <cell r="J24" t="str">
            <v>Charm</v>
          </cell>
          <cell r="K24" t="str">
            <v>Friday n Monday//NO Glad(11/03)  Holy Change(16/03) Send next delivery on Monday (26/04) Heliconia Next (03/05) Now felicity (25/05) Today Returned (15/07) Paytm From sante (16/04) Date was updated from 13th july to 04th Aug -- deliveries missed-- now updated from Jule -- Still deliveries missed(05/07</v>
          </cell>
          <cell r="L24" t="str">
            <v>GLAD</v>
          </cell>
          <cell r="N24" t="str">
            <v>3  del of this cycle   -  0-cycles pmnt   Complimentary - Collect 0</v>
          </cell>
          <cell r="O24" t="str">
            <v>Mix Spray Daisy 4     FF Sachet + Grass</v>
          </cell>
          <cell r="P24" t="str">
            <v>Pur Eustom ( 14 Inch ) 3     FF Sachet + Grass</v>
          </cell>
          <cell r="Q24" t="str">
            <v>BOP ( 14 Inch ) 3     FF Sachet + Grass</v>
          </cell>
          <cell r="R24" t="str">
            <v>P Asiatic ( 14 Inch ) 3     Grass</v>
          </cell>
          <cell r="S24" t="str">
            <v>G n Y Spray Daisy ( 14 Inch ) 4     FF sachet + Grass</v>
          </cell>
          <cell r="T24" t="str">
            <v>P Oriental ( 15 Inch ) 3     Grass</v>
          </cell>
        </row>
        <row r="25">
          <cell r="A25">
            <v>1147</v>
          </cell>
          <cell r="B25" t="str">
            <v xml:space="preserve">Reena </v>
          </cell>
          <cell r="C25">
            <v>9811157690</v>
          </cell>
          <cell r="D25" t="str">
            <v>31/1, Ixia, Vatika City</v>
          </cell>
          <cell r="E25" t="str">
            <v>Sohna Road 1</v>
          </cell>
          <cell r="F25" t="str">
            <v>Tuesday</v>
          </cell>
          <cell r="G25" t="str">
            <v>9 AM to 2 PM</v>
          </cell>
          <cell r="H25">
            <v>1600</v>
          </cell>
          <cell r="I25">
            <v>200</v>
          </cell>
          <cell r="J25" t="str">
            <v>Bloom</v>
          </cell>
          <cell r="K25" t="str">
            <v>Tuesday and Friday//NO Rose/Rajni and ORCHID(30/10) Pink car Next(08/11) No Rose/No Rajni/No Orchids(30/11  NO RAJNI n HELICONIA (30/12) Star From Sunday (24/08) Skip coming Friday (07/12) Skip 1 week (18/01) Shift tom del to Sunday (20/06) Skip Friday Del (15/08) Today Returned(03/09) Skip 27th Del (22/12) Skip tom (30/01) Today Returned-send again (04/04) Hold n start from 15th (07/04) Skip friday (26/06) Skip 1 week (07/08) Skip tom del (11/09) Skip 1 week (01/11) Skip tom (30/04)</v>
          </cell>
          <cell r="L25" t="str">
            <v>RAJNI n HELICONIA</v>
          </cell>
          <cell r="N25" t="str">
            <v>8  del of this cycle   -  0-cycles pmnt   Completed - Collect 0</v>
          </cell>
          <cell r="O25" t="str">
            <v>Mix Alstroemeria ( 12 Inch ) 7     FF Sachet + Grass</v>
          </cell>
          <cell r="P25" t="str">
            <v>W Spray Daisy ( 14 Inch ) 2     FF Sachet + Grass</v>
          </cell>
          <cell r="Q25" t="str">
            <v>Pink White Car ( 12 Inch ) 7     Grass</v>
          </cell>
          <cell r="R25" t="str">
            <v>Rajni ( 14 Inch ) 7     Grass</v>
          </cell>
          <cell r="S25" t="str">
            <v>P Spray Daisy ( 14 Inch ) 2     FF sachet + Grass</v>
          </cell>
          <cell r="T25" t="str">
            <v>Pur n P Car ( 14 Inch ) 7     FF Sachet + Grass</v>
          </cell>
        </row>
        <row r="26">
          <cell r="A26">
            <v>953</v>
          </cell>
          <cell r="B26" t="str">
            <v>Nidhi Bansal</v>
          </cell>
          <cell r="C26">
            <v>9818647402</v>
          </cell>
          <cell r="D26" t="str">
            <v>03, Tatvam Villa's,Sector 48</v>
          </cell>
          <cell r="E26" t="str">
            <v>Sohna Road 2</v>
          </cell>
          <cell r="F26" t="str">
            <v>Friday</v>
          </cell>
          <cell r="G26" t="str">
            <v>9 AM - 12 PM</v>
          </cell>
          <cell r="H26">
            <v>2750</v>
          </cell>
          <cell r="I26">
            <v>687.5</v>
          </cell>
          <cell r="J26" t="str">
            <v>Elation</v>
          </cell>
          <cell r="K26" t="str">
            <v>Send Mix of Rajni and Spray Daisy next and send on Friday this week(10/02) Send Dahelia and rajni Next(19/02) Asiatic n Rajni next(26/02) Mix of rajni and daisy(19/03) Always send Lily and Some other flower(02/10) Lily and Rose next(12/11) Rajni this week(03/12) Rajni this week(08/12) Rajni next(07/01) Hold n start from April and Check before sending(28/02) Return-Send next week(17/06) Repeat flowers(10/08) Rajni next 15/12) Add changed (07/07) Send Replacement tom (05/07) Long stems (30/10) 2700 CASH AND 50 PAYTM (08/05)</v>
          </cell>
          <cell r="M26" t="str">
            <v>Long Stems (30/10)</v>
          </cell>
          <cell r="N26" t="str">
            <v>2  del of this cycle   -  0-cycles pmnt   Completed - Collect 0</v>
          </cell>
          <cell r="O26" t="str">
            <v>O Asiatic ( 15 Inch ) 3 P n W Glad ( 14 Inch ) 16   2 Limonium</v>
          </cell>
          <cell r="P26" t="str">
            <v>P n Y Spray Daisy ( 14 Inch ) 5 Mix Alstroemeria ( 12 Inch ) 16   2 Gypsola + FF Sachet</v>
          </cell>
          <cell r="Q26" t="str">
            <v>Sunflower ( 12 Inch ) 4 Pur n P Car ( 14 Inch ) 16   2 Limonium + FF sachet</v>
          </cell>
          <cell r="R26" t="str">
            <v>P Eustoma ( 12 Inch ) 4 P n W Glad ( 14 Inch ) 16   FF sachet + Grass</v>
          </cell>
          <cell r="S26" t="str">
            <v>P Asiatic ( 14 Inch ) 3 Alstomeria( 12 Inch ) 15   2 Gypaols</v>
          </cell>
          <cell r="T26" t="str">
            <v>Sunflower ( 12 Inch ) 4 Rajni ( 14 Inch ) 16   FF Sachet + Grass</v>
          </cell>
        </row>
        <row r="27">
          <cell r="A27">
            <v>2427</v>
          </cell>
          <cell r="B27" t="str">
            <v>Amrita Jain</v>
          </cell>
          <cell r="C27">
            <v>9560706242</v>
          </cell>
          <cell r="D27" t="str">
            <v>Flat 72, Emilia C2, Gardenia Street</v>
          </cell>
          <cell r="E27" t="str">
            <v>Sohna Road 1</v>
          </cell>
          <cell r="F27" t="str">
            <v>Friday</v>
          </cell>
          <cell r="G27" t="str">
            <v>9 AM - 12 PM</v>
          </cell>
          <cell r="H27">
            <v>1450</v>
          </cell>
          <cell r="I27">
            <v>362.5</v>
          </cell>
          <cell r="J27" t="str">
            <v>Bliss</v>
          </cell>
          <cell r="K27" t="str">
            <v>Referred By Mohar Ray Dahiya // Replacement tom (23/03) No Rose n Orchid (14/04) Send replacement tom of Car (29/07) Payment from Amrita  Das Gupta (20/09) Today Returned (24/10) Do not count last fdel (29/10) Hold due to non payment (26/12) Skip due to non payment (01/01/26) Send one del tom (04/01) HDTNP (27/02)</v>
          </cell>
          <cell r="L27" t="str">
            <v>Rose n Orchid</v>
          </cell>
          <cell r="N27" t="str">
            <v>3  del of this cycle   -  0-cycles pmnt   Completed - Collect 0</v>
          </cell>
          <cell r="O27" t="str">
            <v>Pur Eustoma 2 P n W Car ( 14 Inch ) 7   FF Sachet + Grass</v>
          </cell>
          <cell r="P27" t="str">
            <v>Y Spray Daisy ( 14 Inch ) 3 P n W Glad ( 14 Inch ) 7   FF Sachet + Grass</v>
          </cell>
          <cell r="Q27" t="str">
            <v>P Asiatic ( 14 Inch ) 2 Mix Alstroemeria ( 12 Inch ) 7   Grass</v>
          </cell>
          <cell r="R27" t="str">
            <v xml:space="preserve">Sunflower ( 12 Inch ) 2 Pur n P Car ( 14 Inch ) 7  FF Sachet + Grass </v>
          </cell>
          <cell r="S27" t="str">
            <v>P Eustoma ( 12 Inch ) 2 P n W Glad ( 14 Inch ) 7   FF sachet + Grass</v>
          </cell>
          <cell r="T27" t="str">
            <v>G Spray Daisy ( 14 Inch ) 3 Rajni ( 14 Inch ) 7   Grass</v>
          </cell>
        </row>
        <row r="28">
          <cell r="A28">
            <v>1996</v>
          </cell>
          <cell r="B28" t="str">
            <v>Ankita Sethi</v>
          </cell>
          <cell r="C28">
            <v>9899660037</v>
          </cell>
          <cell r="D28" t="str">
            <v>C1/202, Vatika City, Sec 49</v>
          </cell>
          <cell r="E28" t="str">
            <v>Sohna Road 1</v>
          </cell>
          <cell r="F28" t="str">
            <v>Friday</v>
          </cell>
          <cell r="G28" t="str">
            <v>9 AM - 12 PM</v>
          </cell>
          <cell r="H28">
            <v>1450</v>
          </cell>
          <cell r="I28">
            <v>362.5</v>
          </cell>
          <cell r="J28" t="str">
            <v>Bliss</v>
          </cell>
          <cell r="K28" t="str">
            <v>NO GLAD (22/12) Upgrade to Joy (19/01) NO HELICONIA ALSO (20/01) Hold today-send tom (03/02) Skip today (31/03) Send replacement tom (09/04) Sent replacement today and sent 1 replacement today (04/06) Skip today (09/06) Sent replacement today (26/-06) Skip 1 week (29/06) Skip 1 week (11/08) 1 Flower food next (04/11) Flower food next (24/11) Skip 1 week (22/12) Skip 1 week (04/01) Skip 1 week (09/05) Skip Tom (16/05) Add changed (24/05) Return today (31/05) Skip 1 week (16/01) Skip tom (06/02)  Hold today (18/04) Skip 1 week (02/07) Skip 1 week (11/09) Today returned as guldwari sent which was not restricted (21/11) Hold due to non payment (26/12) HDTNP ((24/04) Send one del Tom (26/04)</v>
          </cell>
          <cell r="L28" t="str">
            <v>GLAD n HELICONIA</v>
          </cell>
          <cell r="N28" t="str">
            <v>1  del of this cycle   -  1-cycles pmnt   Pending - Collect 1450</v>
          </cell>
          <cell r="O28" t="str">
            <v>P Asiatic ( 15 Inch ) 3     Grass</v>
          </cell>
          <cell r="P28" t="str">
            <v>P n Y Spray Daisy ( 14 Inch ) 5     FF Sachet + Grass</v>
          </cell>
          <cell r="Q28" t="str">
            <v>Sunflower ( 12 Inch ) 4     FF Sachet + Grass</v>
          </cell>
          <cell r="R28" t="str">
            <v xml:space="preserve">Pur Eustom ( 12 Inch ) 3    FF Sachet + Grass </v>
          </cell>
          <cell r="S28" t="str">
            <v>P n W Car ( 14 Inch ) 16     FF sachet + Grass</v>
          </cell>
          <cell r="T28" t="str">
            <v>O Asiatic ( 14 Inch ) 3     Grass</v>
          </cell>
        </row>
        <row r="29">
          <cell r="A29">
            <v>1238</v>
          </cell>
          <cell r="B29" t="str">
            <v>Meenakshi Dua-- Evening Only</v>
          </cell>
          <cell r="C29">
            <v>9560900277</v>
          </cell>
          <cell r="D29" t="str">
            <v>T-9/803, Orchid Petals</v>
          </cell>
          <cell r="E29" t="str">
            <v>Sohna Road 1</v>
          </cell>
          <cell r="F29" t="str">
            <v>Friday</v>
          </cell>
          <cell r="G29" t="str">
            <v>4 PM to 7PM</v>
          </cell>
          <cell r="H29">
            <v>1950</v>
          </cell>
          <cell r="I29">
            <v>487.5</v>
          </cell>
          <cell r="J29" t="str">
            <v>Joy</v>
          </cell>
          <cell r="K29" t="str">
            <v>Friday and Tuesday// Rajni Next (14/11) Upgrade to Elations and No Heliconia and BOP // Send Rajni and Guldawari next (26/12)(26/12) No Charm (25/02) Sprya Daisy or Guldawari Tom (03/04) Send any from Guldawari/Rajnior Lily (06/04) No Flowers till 28th (17/11) Send from Orienta/ Daisy or Rajni tom (21/12) Send Replacement tom (01/03). skip tomorrow (25/04)</v>
          </cell>
          <cell r="L29" t="str">
            <v xml:space="preserve">HELICONIA n BOP n GERBERA </v>
          </cell>
          <cell r="M29" t="str">
            <v>No Yel/Wht/Red in Glad and Guldawari</v>
          </cell>
          <cell r="N29" t="str">
            <v>3  del of this cycle   -  0-cycles pmnt   Completed - Collect 0</v>
          </cell>
          <cell r="O29" t="str">
            <v>R n W Car ( 14 Inch ) 22     FF Sachet + Grass</v>
          </cell>
          <cell r="P29" t="str">
            <v>Pur n P Eustoma ( 14 Inch ) 4     FF Sachet + Grass</v>
          </cell>
          <cell r="Q29" t="str">
            <v>P n Y Spray Daisy ( 14 Inch ) 7     FF Sachet + Grass</v>
          </cell>
          <cell r="R29" t="str">
            <v>Mix Car 22     FF sachet + Grass</v>
          </cell>
          <cell r="S29" t="str">
            <v>O Asiatic ( 14 Inch ) 4     Grass</v>
          </cell>
          <cell r="T29" t="str">
            <v>Baloon Flower 4     Grass</v>
          </cell>
        </row>
        <row r="30">
          <cell r="A30">
            <v>2801</v>
          </cell>
          <cell r="B30" t="str">
            <v>Noopur Gupta</v>
          </cell>
          <cell r="C30">
            <v>9810130319</v>
          </cell>
          <cell r="D30" t="str">
            <v>Topaz-186, GF, Emaar Emerald Hills</v>
          </cell>
          <cell r="E30" t="str">
            <v>Badshahpur</v>
          </cell>
          <cell r="F30" t="str">
            <v>Friday</v>
          </cell>
          <cell r="G30" t="str">
            <v>9:30 Am to 2 PM</v>
          </cell>
          <cell r="H30">
            <v>1600</v>
          </cell>
          <cell r="I30">
            <v>200</v>
          </cell>
          <cell r="J30" t="str">
            <v>Bloom</v>
          </cell>
          <cell r="K30" t="str">
            <v>Friday n Monday // Send replacement of Eustoma tom (08/09) No Orchids (23/01) Hold n start from July (27/05)</v>
          </cell>
          <cell r="L30" t="str">
            <v>Orchid</v>
          </cell>
          <cell r="M30" t="str">
            <v>Seasonal with 9 Del Only (02/04)</v>
          </cell>
          <cell r="N30" t="str">
            <v>1  del of this cycle   -  1-cycles pmnt   Pending - Collect 1600</v>
          </cell>
          <cell r="O30" t="e">
            <v>#N/A</v>
          </cell>
          <cell r="P30" t="e">
            <v>#N/A</v>
          </cell>
          <cell r="Q30" t="e">
            <v>#N/A</v>
          </cell>
          <cell r="R30" t="e">
            <v>#N/A</v>
          </cell>
          <cell r="S30" t="e">
            <v>#N/A</v>
          </cell>
          <cell r="T30" t="str">
            <v>Pur n P Car ( 14 Inch ) 7     FF Sachet + Grass</v>
          </cell>
        </row>
        <row r="31">
          <cell r="A31">
            <v>2018</v>
          </cell>
          <cell r="B31" t="str">
            <v>Lakshmi Shankaran</v>
          </cell>
          <cell r="C31">
            <v>9818054747</v>
          </cell>
          <cell r="D31" t="str">
            <v>C2/202,  Sovereign Vatika City</v>
          </cell>
          <cell r="E31" t="str">
            <v>Sohna Road 1</v>
          </cell>
          <cell r="F31" t="str">
            <v>Friday</v>
          </cell>
          <cell r="G31" t="str">
            <v>9 AM - 12 PM</v>
          </cell>
          <cell r="H31">
            <v>1450</v>
          </cell>
          <cell r="I31">
            <v>362.5</v>
          </cell>
          <cell r="J31" t="str">
            <v>Bliss</v>
          </cell>
          <cell r="K31" t="str">
            <v>Friday n Monday//Skip 1 week n send 1 Flower foo with next del (11/01) Skip 1 week and send 1 Flowers food box next (21/01) Send 1 FF Tom (05/02) Red n Yel Gerbera Tom (06/04) Sent a replacement today (08/04) same bliss package (27/04) Send change tom (01/06) Send replacement today due to Glad (17/07) No Bliss (27/07) Skip 1 week (29/11) Skip 1 week (23/03) Hold - start from 7th June (16/05) do not count last del (01/11) Today received 900 extra (05/12) Skip 1 week (09/01) Skip 1 week (21/01) Skip tom (22/05) Skip 2 weeks after 8th June (04/06) Today returned (27/06) Skip 1 week (05/11) Skip tom (15/01) Skip 1 week (13/95) Skip 1 week (28/05) Skip 1 week (16/06)</v>
          </cell>
          <cell r="L31" t="str">
            <v>GERBERA n GLAD</v>
          </cell>
          <cell r="N31" t="str">
            <v>4  del of this cycle   -  0-cycles pmnt   Completed - Collect 0</v>
          </cell>
          <cell r="O31" t="e">
            <v>#N/A</v>
          </cell>
          <cell r="P31" t="str">
            <v>Mix Alstroemeria ( 12 Inch ) 16     FF Sachet + Grass</v>
          </cell>
          <cell r="Q31" t="str">
            <v>W Asiatic ( 14 inch ) 3     Grass</v>
          </cell>
          <cell r="R31" t="e">
            <v>#N/A</v>
          </cell>
          <cell r="S31" t="str">
            <v>Pur n P Car ( 14 Inch ) 16     FF sachet + Grass</v>
          </cell>
          <cell r="T31" t="str">
            <v>Sunflower ( 12 Inch ) 4     FF Sachet + Grass</v>
          </cell>
        </row>
        <row r="32">
          <cell r="A32">
            <v>1630</v>
          </cell>
          <cell r="B32" t="str">
            <v>Nikhil Ranganathan-- Evening Only</v>
          </cell>
          <cell r="C32">
            <v>9910184448</v>
          </cell>
          <cell r="D32" t="str">
            <v>24/7, Primrose Vatika</v>
          </cell>
          <cell r="E32" t="str">
            <v>Sohna Road 1</v>
          </cell>
          <cell r="F32" t="str">
            <v>Friday</v>
          </cell>
          <cell r="G32" t="str">
            <v>4 Pm to 7 PM</v>
          </cell>
          <cell r="H32">
            <v>1450</v>
          </cell>
          <cell r="I32">
            <v>362.5</v>
          </cell>
          <cell r="J32" t="str">
            <v>Bliss</v>
          </cell>
          <cell r="K32" t="str">
            <v>Friday n Monday// Holy Change(16/03) Orchids this week(05/06) Do Not Count last Delivery(13/08) Skip 1 week (16/10) Skip 1 week (22/12) Received one more payment of 2900 today (07/01) Hold n start from 31st Mar (12/03) Monday n Friday // Send Flower food next (24/06) Skip tom Del (12/10) Skip Friday Delivery (17/10) Change to Bliss (13/12) Skip 2 week (09/01) Skip 1 week (22/02) Skip 8th Del (01/03) In Pooja's Account (01/07) Skip 1 week (09/7) Skip 1 week (14/08) Skip 1 week (27.10) Skip 2 weeks (04/06) Skip 1 week (22/01) Skip 1 week (25/03) Send vase tom (27/04)</v>
          </cell>
          <cell r="N32" t="str">
            <v>3  del of this cycle   -  0-cycles pmnt   Completed - Collect 0</v>
          </cell>
          <cell r="O32" t="str">
            <v>O Asiatic ( 15 Inch ) 3     Grass</v>
          </cell>
          <cell r="P32" t="str">
            <v>P n W Glad ( 14 Inch ) 16     Grass</v>
          </cell>
          <cell r="Q32" t="str">
            <v>P n Y Spray Daisy ( 14 Inch ) 5     FF Sachet + Grass</v>
          </cell>
          <cell r="R32" t="str">
            <v xml:space="preserve">R n P Car ( 14 Inch ) 16    FF Sachet + Grass </v>
          </cell>
          <cell r="S32" t="str">
            <v>Pur Eustoma ( 12 Inch ) 3     FF sachet + Grass</v>
          </cell>
          <cell r="T32" t="str">
            <v>Sunflower ( 12 Inch ) 4     FF Sachet + Grass</v>
          </cell>
        </row>
        <row r="33">
          <cell r="A33">
            <v>296</v>
          </cell>
          <cell r="B33" t="str">
            <v>Madhu Thapliyal</v>
          </cell>
          <cell r="C33">
            <v>9999364696</v>
          </cell>
          <cell r="D33" t="str">
            <v>2/201, Sovereign, Vatika City</v>
          </cell>
          <cell r="E33" t="str">
            <v>Sohna Road 1</v>
          </cell>
          <cell r="F33" t="str">
            <v>Friday</v>
          </cell>
          <cell r="G33" t="str">
            <v>9 AM - 12 PM</v>
          </cell>
          <cell r="H33">
            <v>1450</v>
          </cell>
          <cell r="I33">
            <v>362.5</v>
          </cell>
          <cell r="J33" t="str">
            <v>Bliss</v>
          </cell>
          <cell r="K33" t="str">
            <v xml:space="preserve">  Orchids tom(11/10) Pls sned on thursday with Lilies(27/10) Orchids next(22/11) Orchids Next(06/12) Skip n send Chrysanthemum on Momday(17/01) Skip 1 week and  Orchids Next(24/01) Lilies Next(31/01) Orchids nxt(07/02) Paytm from Chandresh(08/02) P n W Chrysanthemum Tom(14/02) NO R Orchids next(21/02)  NO RAJNI N GLAD(25/02)  No Red Daisy (13/10) Skip 1 week (20/10) 1 Spray Daisy Next (30/10) Skip 1 week (07/11) NO GLAD (02/12) Skip 1 week (08/12) Upgrade to Joy (16/12) NO GLAD  AND NO HELICONIA(22/12) Skip 1 week (05/01) P n W Gerbera Next (09/01) SEnt repolacement today (16/01) Skip 1 week (25/01) Spray Daisy Next (16/02) Spray Daisy next (06/04) Sent replacement (09/04) skip 1 wek (13/04) Skip 1 week (20/04) Change to Bliss and send flower food -- No BOP n Glad (18/05) Skip 1 week (31/05) Return today and skip 2 week (09/06) Skip 1 week (14/06) Sent replacement today (26/06) Skip 1 week (29/06) Skip 1 week (08/11) Skip 1 week (18/12) Skip 1 week (25/01) Skip 1 week (08/02) Skip 2 week (21/03) Hold tom (16/05) Skip 2 week (10/096) Sent replacement today (15/07) Skip 1 week (22/07) Spray Daisy next (15/08) Hold today (25/10) Skip this week (25/10) Return today n hold next week also (03/01) Skip 1 week (23/01) Hold today (28/03) Skip 1 week (10/04) Skip tom (19/06) Skip 1 week (02/07) Skip 1 week (24/07) Skip 1 week (01/08) Skip 1 week (15/10) Skip 1 week (19/11) Skip 1 week (05/01) Skip 1 week (17/01) Skip 1 week (29/01) Skip 1 week (22/03) Statice next (19/04)</v>
          </cell>
          <cell r="L33" t="str">
            <v>GLAD n BOP</v>
          </cell>
          <cell r="M33" t="str">
            <v>Statice next (19/04)</v>
          </cell>
          <cell r="N33" t="str">
            <v>4  del of this cycle   -  0-cycles pmnt   Completed - Collect 0</v>
          </cell>
          <cell r="O33" t="str">
            <v>Mix Alstroemeria ( 12 Inch ) 16     FF Sachet + Grass</v>
          </cell>
          <cell r="P33" t="str">
            <v>P n W Spray Daisy ( 14 Inch ) 5     FF Sachet + Grass</v>
          </cell>
          <cell r="Q33" t="str">
            <v>Pur n P Car ( 14 Inch ) 16     FF Sachet + Grass</v>
          </cell>
          <cell r="R33" t="str">
            <v xml:space="preserve">O Asiatic ( 14 Inch ) 3    Grass </v>
          </cell>
          <cell r="S33" t="str">
            <v xml:space="preserve">Mix Spray Daisy 5     </v>
          </cell>
          <cell r="T33" t="str">
            <v>Rajni ( 14 Inch ) 16     Grass</v>
          </cell>
        </row>
        <row r="34">
          <cell r="A34">
            <v>196</v>
          </cell>
          <cell r="B34" t="str">
            <v>Nipun Jain</v>
          </cell>
          <cell r="C34">
            <v>9999113554</v>
          </cell>
          <cell r="D34" t="str">
            <v>Villa-9, Tattvam Villa</v>
          </cell>
          <cell r="E34" t="str">
            <v>Sohna Road 2</v>
          </cell>
          <cell r="F34" t="str">
            <v>Friday</v>
          </cell>
          <cell r="G34" t="str">
            <v>9 AM - 12 PM</v>
          </cell>
          <cell r="H34">
            <v>3960</v>
          </cell>
          <cell r="I34">
            <v>990</v>
          </cell>
          <cell r="J34" t="str">
            <v>Customized</v>
          </cell>
          <cell r="K34" t="str">
            <v>Only Lilies(11/06)Next time 1 stick extra(08/09)Hold for 3 weeks(13/11) NO Rose(21/12) Skip 2 week(15/11) 1 Stick Extra next week (21/12) 1 Stick extra next(28/12) Hold today as payment not received(13/11) Send on Tuesday this week instead of Sunday(17/11) Received 1 more transfer of 2050 today(16/01)  Holy Change(16/03) Not sent on 8th and 15th(15/04) Add changed(29/04) Skip 2 weeks (22/12) Skip 2 weeks (20/01) 3rd Delivery put on hold as payment was not received(03/03) Today again put in hold (10/03) Add Changed-- skip n send on sunday next week (29/03) Hold due to non payment (07/04) 8 Lilies in each Delivery (05/10)  No Grens (11/10) Single color always (26/11) Skip 3 weeks (24/12) Return tiday send tom (23/06) Sent one del Today (24/08) 16 Lilies now in 2 color (27/09) Today returned - not at home (28/11) No Delivery from 24th Dec to 5th Jan (19/12) No Flowers on 15th and 22nd (03/06)</v>
          </cell>
          <cell r="N34" t="str">
            <v>1  del of this cycle   -  1-cycles pmnt   Pending - Collect 3960</v>
          </cell>
          <cell r="O34" t="str">
            <v>O Asiatic ( 15 Inch ) 8     2 Gypsola</v>
          </cell>
          <cell r="P34" t="str">
            <v>P Asiatic ( 14 Inch ) 8     2 Limonium</v>
          </cell>
          <cell r="Q34" t="str">
            <v>W Asiatic ( 14 inch ) 8     2 Gypsola</v>
          </cell>
          <cell r="R34" t="e">
            <v>#N/A</v>
          </cell>
          <cell r="S34" t="e">
            <v>#N/A</v>
          </cell>
          <cell r="T34" t="str">
            <v>O Asiatic ( 14 Inch ) 8     2 Limonium</v>
          </cell>
        </row>
        <row r="35">
          <cell r="A35">
            <v>3334</v>
          </cell>
          <cell r="B35" t="str">
            <v>Sachi Poudiyal</v>
          </cell>
          <cell r="C35">
            <v>8420453178</v>
          </cell>
          <cell r="D35" t="str">
            <v>H. No. 901, Ground Floor, Sec 17 B, Next to St PBN School</v>
          </cell>
          <cell r="E35" t="str">
            <v>Old Gurgaon</v>
          </cell>
          <cell r="F35" t="str">
            <v>Friday</v>
          </cell>
          <cell r="G35" t="str">
            <v>4 PM to 7 PM</v>
          </cell>
          <cell r="H35">
            <v>1450</v>
          </cell>
          <cell r="I35">
            <v>362.5</v>
          </cell>
          <cell r="J35" t="str">
            <v>Bliss</v>
          </cell>
          <cell r="N35" t="str">
            <v>3  del of this cycle   -  0-cycles pmnt   Completed - Collect 0</v>
          </cell>
          <cell r="O35" t="str">
            <v>P Asiatic ( 15 Inch ) 3     Grass</v>
          </cell>
          <cell r="P35" t="str">
            <v>P n W Glad ( 14 Inch ) 16     Grass</v>
          </cell>
          <cell r="Q35" t="str">
            <v>Pur n P Car ( 14 Inch ) 16     FF Sachet + Grass</v>
          </cell>
          <cell r="R35" t="str">
            <v xml:space="preserve">P n W Spray Daisy ( 14 Inch ) 5    FF Sachet + Grass </v>
          </cell>
          <cell r="S35" t="str">
            <v>Pur Eustoma ( 12 Inch ) 3     FF sachet + Grass</v>
          </cell>
          <cell r="T35" t="str">
            <v>Sunflower ( 12 Inch ) 4     FF Sachet + Grass</v>
          </cell>
        </row>
        <row r="36">
          <cell r="A36">
            <v>207</v>
          </cell>
          <cell r="B36" t="str">
            <v>Ms. Monaliza</v>
          </cell>
          <cell r="C36">
            <v>9958305888</v>
          </cell>
          <cell r="D36" t="str">
            <v>C-4/703, Sovereign, Vatika City</v>
          </cell>
          <cell r="E36" t="str">
            <v>Sohna Road 1</v>
          </cell>
          <cell r="F36" t="str">
            <v>Friday</v>
          </cell>
          <cell r="G36" t="str">
            <v>4 Pm to 7 PM</v>
          </cell>
          <cell r="H36">
            <v>1450</v>
          </cell>
          <cell r="I36">
            <v>362.5</v>
          </cell>
          <cell r="J36" t="str">
            <v>Bliss</v>
          </cell>
          <cell r="K36" t="str">
            <v>Never send Rajni, Gerbera and Daisy(17/06)Rtrnd today send tomorrow(22/07)Day chenged to Monday(23/07)Don’t send between 22nd to 30th(07/10) Returnde-send next week(25/02) Preferred Flowers-- Rose + Orchid+Oriental + Heliconia(30/11) Sent 1 del today(15/10) Sent replacement today and never colorefull roses(15/02)  Holy Change(16/03) Skip 2 weeks (26/09) Skip 1 week (24/11) Send 1  Del tom (26/11) Senty replacement today (22/05) Return-send next week (30/06) No Sunflowers (03/03) Skip 1 week (21/03) Hold she is changing house (06/05) Hold today due to non payment (02/10) Hold due to non payment (09/10) Hold due to non payment (26/12) Hold due to non payment (23/01) Hold due to non payment (30/01) From Rohit Ramani (17/02) Skip tom (28/05)</v>
          </cell>
          <cell r="L36" t="str">
            <v>Sunflower</v>
          </cell>
          <cell r="N36" t="str">
            <v>2  del of this cycle   -  1-cycles pmnt   Pending - Collect 1450</v>
          </cell>
          <cell r="O36" t="e">
            <v>#N/A</v>
          </cell>
          <cell r="P36" t="str">
            <v>P Asiatic ( 14 Inch ) 3     Grass</v>
          </cell>
          <cell r="Q36" t="str">
            <v>P n W Glad ( 14 Inch ) 16     Grass</v>
          </cell>
          <cell r="R36" t="str">
            <v xml:space="preserve">R n P Car ( 14 Inch ) 16    FF Sachet + Grass </v>
          </cell>
          <cell r="S36" t="str">
            <v>Pur Eustoma ( 12 Inch ) 3     FF sachet + Grass</v>
          </cell>
          <cell r="T36" t="str">
            <v>O Asiatic ( 14 Inch ) 3     Grass</v>
          </cell>
        </row>
        <row r="37">
          <cell r="A37">
            <v>2089</v>
          </cell>
          <cell r="B37" t="str">
            <v>Arshdeep Kaur</v>
          </cell>
          <cell r="C37">
            <v>8369995614</v>
          </cell>
          <cell r="D37" t="str">
            <v>B-3103, Ireo Victory Valley, Sec 67</v>
          </cell>
          <cell r="E37" t="str">
            <v>Badshahpur</v>
          </cell>
          <cell r="F37" t="str">
            <v>Friday</v>
          </cell>
          <cell r="G37" t="str">
            <v>9 AM - 12 PM</v>
          </cell>
          <cell r="H37">
            <v>1450</v>
          </cell>
          <cell r="I37">
            <v>362.5</v>
          </cell>
          <cell r="J37" t="str">
            <v>Bliss</v>
          </cell>
          <cell r="K37" t="str">
            <v>NO Rose (06/04) Send replacement tom (04/06) Skip next Friday delivery (23/09) Skip 1 week (28/09) Skip 1 week (27/10) Paytm From Karandeep Harjit Singh (26/01) Skip 1 week (28/03) Skip 1 week (18/04) Skip tom (07/05)  Skip 2 week (06/06)</v>
          </cell>
          <cell r="L37" t="str">
            <v>ROSE</v>
          </cell>
          <cell r="N37" t="str">
            <v>4  del of this cycle   -  0-cycles pmnt   Completed - Collect 0</v>
          </cell>
          <cell r="O37" t="str">
            <v>O Asiatic ( 15 Inch ) 3     Grass</v>
          </cell>
          <cell r="P37" t="str">
            <v>P n W Glad ( 14 Inch ) 16     Grass</v>
          </cell>
          <cell r="Q37" t="e">
            <v>#N/A</v>
          </cell>
          <cell r="R37" t="e">
            <v>#N/A</v>
          </cell>
          <cell r="S37" t="str">
            <v>Mix Alstroemeria 16     FF sachet + Grass</v>
          </cell>
          <cell r="T37" t="str">
            <v>Pur n P Car ( 14 Inch ) 16     FF Sachet + Grass</v>
          </cell>
        </row>
        <row r="38">
          <cell r="A38">
            <v>3120</v>
          </cell>
          <cell r="B38" t="str">
            <v>Pratibha Saran</v>
          </cell>
          <cell r="C38">
            <v>9953670482</v>
          </cell>
          <cell r="D38" t="str">
            <v>Topaz 124, G Floor, Emaar Emerald Hills, Sec 66</v>
          </cell>
          <cell r="E38" t="str">
            <v>Badshahpur</v>
          </cell>
          <cell r="F38" t="str">
            <v>Friday</v>
          </cell>
          <cell r="G38" t="str">
            <v>9 AM to 2 PM</v>
          </cell>
          <cell r="H38">
            <v>2750</v>
          </cell>
          <cell r="I38">
            <v>687.5</v>
          </cell>
          <cell r="J38" t="str">
            <v>Elation</v>
          </cell>
          <cell r="K38" t="str">
            <v>Hold till 28th jan (26/12) Skip 1 week (03/03) Paytm From Pratibha.libra // No Glad n BOP (03/04) start now from 03rd July (09/06)</v>
          </cell>
          <cell r="L38" t="str">
            <v>GLAD n BOP n GERBERA</v>
          </cell>
          <cell r="N38" t="str">
            <v>1  del of this cycle   -  1-cycles pmnt   Pending - Collect 2750</v>
          </cell>
          <cell r="O38" t="str">
            <v>P n Y Spray Daisy ( 15 Inch ) 5 P n W Car ( 14 Inch ) 16   2 Limonium + Ff Sachet</v>
          </cell>
          <cell r="P38" t="str">
            <v xml:space="preserve">W Asiatic ( 14 Inch ) 3 Mix Alstroemeria ( 12 Inch ) 16   2 Gypsola </v>
          </cell>
          <cell r="Q38" t="e">
            <v>#N/A</v>
          </cell>
          <cell r="R38" t="e">
            <v>#N/A</v>
          </cell>
          <cell r="S38" t="e">
            <v>#N/A</v>
          </cell>
          <cell r="T38" t="str">
            <v>Sunflower ( 12 Inch ) 4 Pur n P Car ( 14 Inch ) 16   FF Sachet + Grass</v>
          </cell>
        </row>
        <row r="39">
          <cell r="A39">
            <v>2190</v>
          </cell>
          <cell r="B39" t="str">
            <v>Vismit Sharma</v>
          </cell>
          <cell r="C39">
            <v>9205393464</v>
          </cell>
          <cell r="D39" t="str">
            <v>R-164, DLF Ultima, Sec 81</v>
          </cell>
          <cell r="E39" t="str">
            <v>Manesar</v>
          </cell>
          <cell r="F39" t="str">
            <v>Friday</v>
          </cell>
          <cell r="G39" t="str">
            <v>4 Pm to 7 PM</v>
          </cell>
          <cell r="H39">
            <v>1950</v>
          </cell>
          <cell r="I39">
            <v>487.5</v>
          </cell>
          <cell r="J39" t="str">
            <v>Joy</v>
          </cell>
          <cell r="K39" t="str">
            <v>Skip 2 week (22/02) Skip 1 week (12/03) Skip 1 week (10/03) Skip 1 week (24/07) Skip 1 week (04/09) Skip 2 week (25/09) Hold n start from Jan (12/12)</v>
          </cell>
          <cell r="N39" t="str">
            <v>4  del of this cycle   -  0-cycles pmnt   Completed - Collect 0</v>
          </cell>
          <cell r="O39" t="str">
            <v>Y Orchid  7     FF Sachet + Grass</v>
          </cell>
          <cell r="P39" t="str">
            <v>P n Y Spray Daisy ( 14 Inch ) 7     FF Sachet + Grass</v>
          </cell>
          <cell r="Q39" t="str">
            <v>Pur n P Car ( 14 Inch ) 22     FF Sachet + Grass</v>
          </cell>
          <cell r="R39" t="str">
            <v>P Asiatic ( 14 Inch ) 4     Grass</v>
          </cell>
          <cell r="S39" t="str">
            <v>P n W Glad ( 14 Inch ) 22     Grass</v>
          </cell>
          <cell r="T39" t="str">
            <v>Sunflower ( 12 Inch ) 5     FF Sachet + Grass</v>
          </cell>
        </row>
        <row r="40">
          <cell r="A40">
            <v>1477</v>
          </cell>
          <cell r="B40" t="str">
            <v>Priyanka Agarwal</v>
          </cell>
          <cell r="C40">
            <v>9810745341</v>
          </cell>
          <cell r="D40" t="str">
            <v>624-A, Fairway East, Sector 65</v>
          </cell>
          <cell r="E40" t="str">
            <v>Badshahpur</v>
          </cell>
          <cell r="F40" t="str">
            <v>Friday</v>
          </cell>
          <cell r="G40" t="str">
            <v>9 AM to 2 PM</v>
          </cell>
          <cell r="H40">
            <v>1600</v>
          </cell>
          <cell r="I40">
            <v>200</v>
          </cell>
          <cell r="J40" t="str">
            <v>Bloom</v>
          </cell>
          <cell r="K40" t="str">
            <v>Monday and Friday//Tuesday and Saturday//Change to 950 pack and sned in evebing slot of Saturday and Tuesday(09/09) NO GERBERA(15/11) Need to check foe the payment(11/12) Sent replacement today(10/04) No Del between 22nd to 29th Apr(13/04) Star after 29th Apr(22/04) Hold after this cycxle(02/08) Today Flowesr returned (24/04) Now send after 18th (13/05) Hold n start from July (22/05) No Flowers till 16th Nov (13/11) Hold today and 10 Days (19/02) Skop monday Del (22/03) Pls skip coming del (05/06) Return today send next week (23/05) Today Returned (15/08) Tiday Returned agains (18/08) Hold due to non payment (06/10) Hold due to non payment (10/10) Hold due to non payment (09/02) HDTNP (13/03) HDTNP (22/05) HDTNP (25/05)</v>
          </cell>
          <cell r="N40" t="str">
            <v>8  del of this cycle   -  0-cycles pmnt   Completed - Collect 0</v>
          </cell>
          <cell r="O40" t="str">
            <v xml:space="preserve">Collect 1400 Carry Receipt Book Collect 1400 Carry Receipt Book Collect 1400 Carry Receipt Book </v>
          </cell>
          <cell r="P40" t="str">
            <v>Mix Alstroemeria ( 12 Inch ) 7     FF Sachet + Grass</v>
          </cell>
          <cell r="Q40" t="str">
            <v>Pur n P Car ( 14 Inch ) 7     FF Sachet + Grass</v>
          </cell>
          <cell r="R40" t="str">
            <v>P Spray Daisy ( 14 Inch ) 2     FF Sachet + Grass</v>
          </cell>
          <cell r="S40" t="str">
            <v>Rajni ( 14 Inch ) 7     Grass</v>
          </cell>
          <cell r="T40" t="str">
            <v>P n W Car ( 14 Inch ) 7     FF Sachet + Grass</v>
          </cell>
        </row>
        <row r="41">
          <cell r="A41">
            <v>2404</v>
          </cell>
          <cell r="B41" t="str">
            <v>Amitt Nenwani</v>
          </cell>
          <cell r="C41">
            <v>9810444444</v>
          </cell>
          <cell r="D41" t="str">
            <v>Villa 21, Z Block, Tatvam Villas</v>
          </cell>
          <cell r="E41" t="str">
            <v>Sohna Road 2</v>
          </cell>
          <cell r="F41" t="str">
            <v>Friday</v>
          </cell>
          <cell r="G41" t="str">
            <v>9 AM - 12 PM</v>
          </cell>
          <cell r="H41">
            <v>6350</v>
          </cell>
          <cell r="I41">
            <v>793.75</v>
          </cell>
          <cell r="J41" t="str">
            <v>Elegance</v>
          </cell>
          <cell r="K41" t="str">
            <v>Friday n Monday//Mixed // Skip 1 week (17/04) Skip this week (12/11) Skip this week and send on 03rd Jan (29/12) Skip tom (15/03) Skip 1 week (26/03)</v>
          </cell>
          <cell r="M41" t="str">
            <v>Mixed Flowers// Change to enchantement from next cycle (12/1)</v>
          </cell>
          <cell r="N41" t="str">
            <v>4  del of this cycle   -  0-cycles pmnt   In Process - Collect 0</v>
          </cell>
          <cell r="O41" t="str">
            <v>P Asiatic ( 15 Inch ) 3 P n Y Spray Daosy ( 15 Inch ) 4 P n W Car ( 14 Inch ) 12 3 Areca Palm + 3 Limonium</v>
          </cell>
          <cell r="P41" t="str">
            <v>W Asiatic ( 14 Inch ) 3 G Orchid  4 Rajni ( 14 Inch ) 12 Grass</v>
          </cell>
          <cell r="Q41" t="str">
            <v>Y Asiatic ( 14 Inch ) 4 BOP ( 15 Inch ) 3 Pur n P Car ( 14 Inch ) 12 3 Areca palm + 3 Gypsola</v>
          </cell>
          <cell r="R41" t="str">
            <v>O Asiatic ( 14 Inch ) 3 B Orchid  4 P n W Glad ( 14 Inch ) 12 Grass</v>
          </cell>
          <cell r="S41" t="str">
            <v>P Asiatic ( 14 Inch ) 3 Pur Eustoma ( 12 Inch ) 3 Rajni ( 14 Inch ) 12 3 Areca Palm + 3 Gypsola</v>
          </cell>
          <cell r="T41" t="str">
            <v>W Asiatic ( 14 Inch ) 3 Baloon Flower  4 R n W Car ( 14 Inch ) 12 3 Areca Palm + 3 Limonium</v>
          </cell>
        </row>
        <row r="42">
          <cell r="A42">
            <v>467</v>
          </cell>
          <cell r="B42" t="str">
            <v>Mamta Wassan -- From Dilip Puri</v>
          </cell>
          <cell r="C42">
            <v>9867722349</v>
          </cell>
          <cell r="D42" t="str">
            <v>1/9, Hamelia Street, Vatika City</v>
          </cell>
          <cell r="E42" t="str">
            <v>Sohna Road 1</v>
          </cell>
          <cell r="F42" t="str">
            <v>Friday</v>
          </cell>
          <cell r="G42" t="str">
            <v>4 Pm to 7 PM</v>
          </cell>
          <cell r="H42">
            <v>1450</v>
          </cell>
          <cell r="I42">
            <v>362.5</v>
          </cell>
          <cell r="J42" t="str">
            <v>Bliss</v>
          </cell>
          <cell r="K42" t="str">
            <v>Changed to Friday//Next P Asiatic(26/10)Skip 1 week(22/11) Skip 1 week(22/12) Hold n skip this week(11/01) NO RED ROSE(18/01) Skip 1 week(14/03) Return-send again tomorrow(29/03) NO MIXED FLOWERS (06/04) Send Replacement and NO ORCHIDS TILL IT GET HEALTHY(28/04) AVOID CAR(09/05) Hold again-start after 15th and inform before sending(05/07) SEND ONLY ASIATIC TILL OTHER FOWERS ARE IN BEST SHAPE OTHRE THAN ROSE/ORCHID N CAR(15/10) Skip next 2 weeks(18/11) Skip 1 week(05/12)  Hold n start from 1st week of Apr// Inform before sending(20/03) Skip 1 week(24/12) Skip 1 week(29/01) Skip 1 week(08/02) Skip 1 week(12/02) Skip 1 week(27/03) Skip 2 weeks(23/04) Skip 1 week(12/09) Holy Change(16/03) Skip 2 weeks and check before sending(03/07) Skip 1 week (05/01) Sent replacement today (30/04) Skip 1 week (28/05) Skip 1 week (29/11) Skip 3 weeks (13/05) Skip 1 week (12/07) skip 2 week (16/11) Skip 1 week (01/12) Skip 1 week (8/01) Skip 1 week (23/02) Skip 1 week (24/03) Skip 1 week n semd on Monday (13/08) Skip 1 week (04/09) Skip 1 week (04/10) Skip 1 wek (15/10) From Dilip Puri -- send only 2 weeks (12/11) Send on sunday this week and skip 24th Feb (18/03) Start from 1st June (19/05) Send tom evebing (29/05) Skip 1 week (09/06)</v>
          </cell>
          <cell r="N42" t="str">
            <v>1  del of this cycle   -  0-cycles pmnt   In Process - Collect 0</v>
          </cell>
          <cell r="O42" t="e">
            <v>#N/A</v>
          </cell>
          <cell r="P42" t="str">
            <v>Mix Alstroemeria ( 12 Inch ) 16     FF Sachet + Grass</v>
          </cell>
          <cell r="Q42" t="e">
            <v>#N/A</v>
          </cell>
          <cell r="R42" t="str">
            <v xml:space="preserve">O Asiatic ( 14 Inch ) 3    Grass </v>
          </cell>
          <cell r="S42" t="str">
            <v>P n W Glad ( 14 Inch ) 16     Grass</v>
          </cell>
          <cell r="T42" t="str">
            <v>Pur n P Car ( 14 Inch ) 16     FF Sachet + Grass</v>
          </cell>
        </row>
        <row r="43">
          <cell r="A43">
            <v>2652</v>
          </cell>
          <cell r="B43" t="str">
            <v>Shilpi Samantray</v>
          </cell>
          <cell r="C43">
            <v>8527486150</v>
          </cell>
          <cell r="D43" t="str">
            <v>Q-294, DLF Ultima</v>
          </cell>
          <cell r="E43" t="str">
            <v>Manesar</v>
          </cell>
          <cell r="F43" t="str">
            <v>Friday</v>
          </cell>
          <cell r="G43" t="str">
            <v>4 Pm to 7 PM</v>
          </cell>
          <cell r="H43">
            <v>1450</v>
          </cell>
          <cell r="I43">
            <v>362.5</v>
          </cell>
          <cell r="J43" t="str">
            <v>Bliss</v>
          </cell>
          <cell r="K43" t="str">
            <v>Flower Food next (21/05) Do not count todays delivery (30/05) Skip 1 week (26/06) Skip 1 week (09/07) No asiatic Lilies (07/08) No glad now (25/09) Replacement tom (24/10) Skip 1 week (08/11) Skip 2 week (12/12) Skip 1 week (21/01) HDTNP (27/02) Skip 1 week (09/04) HDTNP (15/05) Next del on 5th JUne (18/05)</v>
          </cell>
          <cell r="L43" t="str">
            <v>lilies n Glad</v>
          </cell>
          <cell r="M43" t="str">
            <v>More Eustoams</v>
          </cell>
          <cell r="N43" t="str">
            <v>2  del of this cycle   -  0-cycles pmnt   Completed - Collect 0</v>
          </cell>
          <cell r="O43" t="e">
            <v>#N/A</v>
          </cell>
          <cell r="P43" t="str">
            <v>O Asiatic ( 14 Inch ) 2 P n W Glad ( 14 Inch ) 7   Grass</v>
          </cell>
          <cell r="Q43" t="str">
            <v>Pur Eustoma ( 12 Inch ) 2 Mix Alstroemeria ( 12 Inch ) 7   FF Sachet + Grass</v>
          </cell>
          <cell r="R43" t="str">
            <v xml:space="preserve">P Spray Daisy ( 14 Inch ) 3 Pur n P Car ( 14 Inch ) 7  FF Sachet + Grass </v>
          </cell>
          <cell r="S43" t="str">
            <v>P Asiatic ( 14 Inch ) 2 p Car ( 14 inch ) 7   FF sachet + Grass</v>
          </cell>
          <cell r="T43" t="str">
            <v>Sunflower ( 12 Inch ) 2 P n W Glad ( 14 Inch ) 7   FF Sachet + Grass</v>
          </cell>
        </row>
        <row r="44">
          <cell r="A44">
            <v>2055</v>
          </cell>
          <cell r="B44" t="str">
            <v>Gitika Agarwal</v>
          </cell>
          <cell r="C44">
            <v>9871628499</v>
          </cell>
          <cell r="D44" t="str">
            <v>D11/502, Ireo Victory Valley, Sec 67</v>
          </cell>
          <cell r="E44" t="str">
            <v>Badshahpur</v>
          </cell>
          <cell r="F44" t="str">
            <v>Friday</v>
          </cell>
          <cell r="G44" t="str">
            <v>9 AM - 12 PM</v>
          </cell>
          <cell r="H44">
            <v>1450</v>
          </cell>
          <cell r="I44">
            <v>362.5</v>
          </cell>
          <cell r="J44" t="str">
            <v>Bliss</v>
          </cell>
          <cell r="K44" t="str">
            <v>Send Replacement tom (06/04) Send replacement today (12/05). Post 4 PM this week only (23/04) Skip 2 weeks (02/06) Replacement tom (05/07) Sent replacement tiday (26/10) Sent replacement today (15/12) Skip 1 week (17/03) Sent replacement today (19/004) Skip 2 week (13/06) Skip 1 week (07/08) Replacement tom (07/12) now start from July (11/06)</v>
          </cell>
          <cell r="N44" t="str">
            <v>3  del of this cycle   -  0-cycles pmnt   Completed - Collect 0</v>
          </cell>
          <cell r="O44" t="str">
            <v>Y Spray Daisy ( 15 Inch ) 3 P n W Glad ( 14 Inch ) 7   FF Sachet + Grass</v>
          </cell>
          <cell r="P44" t="str">
            <v>O Asiatic ( 14 Inch ) 2 Mix Alstroemeria ( 12 Inch ) 7   Grass</v>
          </cell>
          <cell r="Q44" t="e">
            <v>#N/A</v>
          </cell>
          <cell r="R44" t="e">
            <v>#N/A</v>
          </cell>
          <cell r="S44" t="e">
            <v>#N/A</v>
          </cell>
          <cell r="T44" t="str">
            <v>Sunflower ( 12 Inch ) 2 Pur n P Car ( 14 Inch ) 7   FF Sachet + Grass</v>
          </cell>
        </row>
        <row r="45">
          <cell r="A45">
            <v>2123</v>
          </cell>
          <cell r="B45" t="str">
            <v>Meenu Singh</v>
          </cell>
          <cell r="C45">
            <v>9999982765</v>
          </cell>
          <cell r="D45" t="str">
            <v xml:space="preserve">FLAT NO 16 A, TOWER 2, FAIRWAY EAST, M3M GOLF ESTATE
</v>
          </cell>
          <cell r="E45" t="str">
            <v>Badshahpur</v>
          </cell>
          <cell r="F45" t="str">
            <v>Friday</v>
          </cell>
          <cell r="G45" t="str">
            <v>9 AM - 12 PM</v>
          </cell>
          <cell r="H45">
            <v>3750</v>
          </cell>
          <cell r="I45">
            <v>937.5</v>
          </cell>
          <cell r="J45" t="str">
            <v>Savor</v>
          </cell>
          <cell r="K45" t="str">
            <v>Mix of 1 Less Flower with more number of flowers (01/07)  NO RAJNI (03/09) Skip 3 Weeks (08/04) Skip 2 week (10/06) Returned today (13/09) Sent Replacement today (07.10) Hold today (20/12) Returned today n hold till 6th Jan (27/12) Hold due to non payment (10/10) Skip 2 weeks (14/10) Skip 1 week (13/11) Hold due to non payment (26/12) Hold due to non payment (09/01) Hold due to non payment (16/01) Hold due to non payment (23/01) Hold due to non payment (06/02) Hold due to non payment (13/02)</v>
          </cell>
          <cell r="M45" t="str">
            <v>Diff Flowers n Combination</v>
          </cell>
          <cell r="N45" t="str">
            <v>3  del of this cycle   -  0-cycles pmnt   Completed - Collect 0</v>
          </cell>
          <cell r="O45" t="str">
            <v>P n W Spray Daisy ( 15 Inch ) 5 P n W Glad ( 14 Inch ) 21   2 Gypsola + FF Sachet</v>
          </cell>
          <cell r="P45" t="str">
            <v>Sunflower ( 12 Inch ) 5 Mix Alstroemeria ( 12 Inch ) 20   2 Limonium + FF Sachet</v>
          </cell>
          <cell r="Q45" t="str">
            <v>Pur n P Eustoma ( 14 Inch ) 4 Pur n P Car ( 14 Inch ) 16   2 Gypsola + FF Sachet</v>
          </cell>
          <cell r="R45" t="str">
            <v>O Asiatic ( 14 Inch ) 4 P n W Glad ( 14 Inch ) 21   Grass</v>
          </cell>
          <cell r="S45" t="str">
            <v xml:space="preserve">G n Y Spray Daisy ( 14 Inch ) 5 Rajni ( 14 Inch ) 20   2 Limonium </v>
          </cell>
          <cell r="T45" t="str">
            <v>Baloon Flowers  4 Pur n P Car ( 14 Inch ) 20   FF Sachet + Grass</v>
          </cell>
        </row>
        <row r="46">
          <cell r="A46">
            <v>3011</v>
          </cell>
          <cell r="B46" t="str">
            <v>Nandita Sharma</v>
          </cell>
          <cell r="C46">
            <v>9702930000</v>
          </cell>
          <cell r="D46" t="str">
            <v>Sovereign-2/102, Vatila City</v>
          </cell>
          <cell r="E46" t="str">
            <v>Sohna Road 1</v>
          </cell>
          <cell r="F46" t="str">
            <v>Friday</v>
          </cell>
          <cell r="G46" t="str">
            <v>9 AM to 2 PM</v>
          </cell>
          <cell r="H46">
            <v>1450</v>
          </cell>
          <cell r="I46">
            <v>362.5</v>
          </cell>
          <cell r="J46" t="str">
            <v>Bliss</v>
          </cell>
          <cell r="K46" t="str">
            <v>Hld till 8th Mar (22/02)</v>
          </cell>
          <cell r="N46" t="str">
            <v>4  del of this cycle   -  0-cycles pmnt   Completed - Collect 0</v>
          </cell>
          <cell r="O46" t="str">
            <v>O Asiatic ( 15 Inch ) 2 Mix Alstroemeria ( 12 Inch )  7   Grass</v>
          </cell>
          <cell r="P46" t="str">
            <v>P Spray Daisy ( 14 Inch ) 3 P n W Glad ( 14 Inch ) 7   FF Sachet + Grass</v>
          </cell>
          <cell r="Q46" t="str">
            <v>Pur Eustoma ( 12 Inch ) 2 Pur n P Car ( 14 Inch ) 7   FF Sachet + Grass</v>
          </cell>
          <cell r="R46" t="str">
            <v xml:space="preserve">Sunflower ( 12 Inch ) 2 Mix Alstroemeria (  12 Inch ) 7  FF Sachet + Grass </v>
          </cell>
          <cell r="S46" t="str">
            <v>P Asiatic ( 14 Inch ) 2 Rajni ( 14 Inch ) 7   Grass</v>
          </cell>
          <cell r="T46" t="str">
            <v>G Spray Daisy ( 14 Inch ) 3 P n W Glad ( 14 Inch ) 7   FF Sachet + Grass</v>
          </cell>
        </row>
        <row r="47">
          <cell r="A47">
            <v>2927</v>
          </cell>
          <cell r="B47" t="str">
            <v>Anshita</v>
          </cell>
          <cell r="C47">
            <v>8085480356</v>
          </cell>
          <cell r="D47" t="str">
            <v>H. No. 3107, 2nd Flor, Ansal Versalia, Sec 67 A</v>
          </cell>
          <cell r="E47" t="str">
            <v>Badshahpur</v>
          </cell>
          <cell r="F47" t="str">
            <v>Friday</v>
          </cell>
          <cell r="G47" t="str">
            <v>9:30 Am to 2 PM</v>
          </cell>
          <cell r="H47">
            <v>1450</v>
          </cell>
          <cell r="I47">
            <v>362.5</v>
          </cell>
          <cell r="J47" t="str">
            <v>Bliss</v>
          </cell>
          <cell r="K47" t="str">
            <v>sent one del today (11/12) Skip 1 week (15/01) Skip today (20/02) Today returned (06/03) Skip 1 week (26/03) Hold for 2 week (22/04)</v>
          </cell>
          <cell r="N47" t="str">
            <v>3  del of this cycle   -  0-cycles pmnt   Completed - Collect 0</v>
          </cell>
          <cell r="O47" t="str">
            <v>Mix Alstroemeria ( 12 Inch ) 9     FF Sachet + Grass</v>
          </cell>
          <cell r="P47" t="str">
            <v>P n W Car ( 14 Inch ) 9     FF Sachet + Grass</v>
          </cell>
          <cell r="Q47" t="str">
            <v>Y Asiatic ( 14 Inch ) 2     Grass</v>
          </cell>
          <cell r="R47" t="str">
            <v xml:space="preserve">P n W Glad ( 14 Inch ) 16  ensure collection  Pese Na  Mile To Call Karna  Grass </v>
          </cell>
          <cell r="S47" t="str">
            <v>Sunflower ( 12 Inch ) 4     FF sachet + Grass</v>
          </cell>
          <cell r="T47" t="str">
            <v>Pur n P Car ( 14 Inch ) 16     FF Sachet + Grass</v>
          </cell>
        </row>
        <row r="48">
          <cell r="A48">
            <v>1389</v>
          </cell>
          <cell r="B48" t="str">
            <v>Revathi-- After 5 PM</v>
          </cell>
          <cell r="C48">
            <v>9811998878</v>
          </cell>
          <cell r="D48" t="str">
            <v>A-1201, The Emaar Palm Drive</v>
          </cell>
          <cell r="E48" t="str">
            <v>Badshahpur</v>
          </cell>
          <cell r="F48" t="str">
            <v>Friday</v>
          </cell>
          <cell r="G48" t="str">
            <v>4 PM to 7PM</v>
          </cell>
          <cell r="H48">
            <v>3850</v>
          </cell>
          <cell r="I48">
            <v>481.25</v>
          </cell>
          <cell r="J48" t="str">
            <v>Grace</v>
          </cell>
          <cell r="K48" t="str">
            <v>Friday and Tuesday// NO RAJNIGANDHA NOW ONLY LILIES//CAR AND GLAD(26/07)  NO WONLY LILIES, HELICONIA AND CAR IN YELLOW OR ORANGE ONLY(11/09)  ONLY  LILIES/GLADIOLI AND HELICONIA ONLY IN YELL AND ORANGE COLOR-- NOCARNATION(01/10) Rajni or Bop next(18/10) Send 1 FF Next(29/06) LILY n GLAD ARE PREFERRED(29/06) Now From Rose//Car//Glad//Guldawari//Asiatic//Oriental(03/08) Skip this friday(09/08) No Upgrade (17/10) Skip 1 week (114/11) Skip 1 week after tom Delivery (09/03) No Del on Froday-- sned on Tuesda (29/03) Glad Next (01/05) Hold n start after 8th June (12/05) Bop n Heliconia Next (10/02) Skip tom Del (28/03) Flower food next (14/05) Hold till 8th (29/05) No Gerbera and Orchid (28/07) One Payment received today (01/10) Skip Friday Del (27/11) Skip friday (25/12) Return not at home (20/06) Today Returned (20/06) Received one payment of 3250 today (21/07)</v>
          </cell>
          <cell r="L48" t="str">
            <v>Gerbera n ORCHID</v>
          </cell>
          <cell r="N48" t="str">
            <v>2  del of this cycle   -  0-cycles pmnt   Completed - Collect 0</v>
          </cell>
          <cell r="O48" t="str">
            <v>Sunflower ( 14 Inch ) 5     Grass</v>
          </cell>
          <cell r="P48" t="str">
            <v>Pur n P Eustoma ( 14 Inch ) 4     FF Sachet + Grass</v>
          </cell>
          <cell r="Q48" t="str">
            <v>Rajni ( 14 Inch ) 20     Grass</v>
          </cell>
          <cell r="R48" t="str">
            <v>P Asiatic ( 14 Inch ) 4     Grass</v>
          </cell>
          <cell r="S48" t="str">
            <v>P n W Glad ( 14 Inch ) 20     Grass</v>
          </cell>
          <cell r="T48" t="str">
            <v>Sunflower ( 12 Inch ) 5     FF Sachet + Grass</v>
          </cell>
        </row>
        <row r="49">
          <cell r="A49">
            <v>36</v>
          </cell>
          <cell r="B49" t="str">
            <v>Ms. Anubha T Agarwal</v>
          </cell>
          <cell r="C49">
            <v>9818690761</v>
          </cell>
          <cell r="D49" t="str">
            <v>D-902, Park View City-1, Sohna Road</v>
          </cell>
          <cell r="E49" t="str">
            <v>Sohna Road 2</v>
          </cell>
          <cell r="F49" t="str">
            <v>Friday</v>
          </cell>
          <cell r="G49" t="str">
            <v>4 Pm to 7 PM</v>
          </cell>
          <cell r="H49">
            <v>1450</v>
          </cell>
          <cell r="I49">
            <v>362.5</v>
          </cell>
          <cell r="J49" t="str">
            <v>Bliss</v>
          </cell>
          <cell r="K49" t="str">
            <v>No Rajni (22/05)Skip coming week del(13/08)Pls skip this week n send next week(03/09)Pls shift time slot to evevning(18/09)Pls shift to morning(10/10) Paytm from manoj Agarwal(13/02) Skip 1 week(03/04) Send 1 stick extra in next Del(19/06) Say Change to Monday(21/08) Upgrade to 650 (01/12) Skiped 1 week due to HOLI(29/03) Flower Food Next(16/04) Upgrade to Bliss and send remaining flowers in 2nd Del(14/09) Skip 1 wek(14/10) skip 1 week(01/01)  Holy Change(16/03) Skip this week n send on sunday(10/08) Send Replacement tom (19/11) Send on monday this week (10/08)  Hold today (26/01) Today Returned (05/04) Today returned (16/08) Send replacement tom (15/09) Yesterday Returned (15/02) Return today (25/04) Skip 1 week (29/05) Skip 1 week (28/07) Skip tom n send on sunday (18/09) Skip 1 week (04/12)</v>
          </cell>
          <cell r="N49" t="str">
            <v>1  del of this cycle   -  1-cycles pmnt   Pending - Collect 1450</v>
          </cell>
          <cell r="O49" t="str">
            <v>O Asiatic ( 15 Inch ) 2     Grass</v>
          </cell>
          <cell r="P49" t="str">
            <v>Sunflower ( 12 Inch ) 2     FF Sachet + Grass</v>
          </cell>
          <cell r="Q49" t="str">
            <v>P n W Glad ( 14 Inch ) 9     Grass</v>
          </cell>
          <cell r="R49" t="str">
            <v xml:space="preserve">Mix Alstroemeria ( 12 Inch ) 9    FF Sachet + Grass </v>
          </cell>
          <cell r="S49" t="str">
            <v>P n W Car ( 14 Inch ) 9     FF aschet + Grass</v>
          </cell>
          <cell r="T49" t="str">
            <v>P Asiatic ( 14 Inch ) 3     Grass</v>
          </cell>
        </row>
        <row r="50">
          <cell r="A50">
            <v>2259</v>
          </cell>
          <cell r="B50" t="str">
            <v>Shivani Kapoor</v>
          </cell>
          <cell r="C50">
            <v>9818659010</v>
          </cell>
          <cell r="D50" t="str">
            <v>94, Tattvam Villa</v>
          </cell>
          <cell r="E50" t="str">
            <v>Sohna Road 2</v>
          </cell>
          <cell r="F50" t="str">
            <v>Monday</v>
          </cell>
          <cell r="G50" t="str">
            <v>9 AM - 12 PM</v>
          </cell>
          <cell r="H50">
            <v>3950</v>
          </cell>
          <cell r="I50">
            <v>493.75</v>
          </cell>
          <cell r="J50" t="str">
            <v>Grace</v>
          </cell>
          <cell r="K50" t="str">
            <v>Monday n Friday// Payment from Sanjeev K (05/05) Skip 1 week (26/07) Skip 1 week (04/11) Skip this Friday (26/12) Skip 1 week (01/01/25) Skip tom (02/02) No delivery on Monday (01/03) Skip 14th n send on 17th (11/03) Now start from 7th July (24/06)</v>
          </cell>
          <cell r="M50" t="str">
            <v>No White</v>
          </cell>
          <cell r="N50" t="str">
            <v>3  del of this cycle   -  1-cycles pmnt   Pending - Collect 3950</v>
          </cell>
          <cell r="O50" t="str">
            <v>P Oriental ( 15 Inch ) 3     Grass</v>
          </cell>
          <cell r="P50" t="str">
            <v>Pur n P Eustoma ( 14 Inch ) 4     FF Sachet + Grass</v>
          </cell>
          <cell r="Q50" t="str">
            <v>Pur n P Car ( 14 Inch ) 20     FF Sachet + Grass</v>
          </cell>
          <cell r="R50" t="str">
            <v>P n W Glad ( 14 Inch ) 20     Grass</v>
          </cell>
          <cell r="S50" t="str">
            <v>G n Y Spray Daisy ( 14 Inch ) 6     FF sachet + Grass</v>
          </cell>
          <cell r="T50" t="str">
            <v>Baloon Flowers  5     FF Sachet + Grass</v>
          </cell>
        </row>
        <row r="51">
          <cell r="A51">
            <v>3394</v>
          </cell>
          <cell r="B51" t="str">
            <v>Rinshul Chandra</v>
          </cell>
          <cell r="C51">
            <v>7013060378</v>
          </cell>
          <cell r="D51" t="str">
            <v>T-2/203 B, 3rd Floor, M3M Golfestate East</v>
          </cell>
          <cell r="E51" t="str">
            <v>Badshahpur</v>
          </cell>
          <cell r="F51" t="str">
            <v>Friday</v>
          </cell>
          <cell r="G51" t="str">
            <v>9 AM to 2 PM</v>
          </cell>
          <cell r="H51">
            <v>2750</v>
          </cell>
          <cell r="I51">
            <v>687.5</v>
          </cell>
          <cell r="J51" t="str">
            <v>Bliss</v>
          </cell>
          <cell r="K51" t="str">
            <v>Send if only payment received in advance (28/06) Paytm from k Sai Ujjwal //</v>
          </cell>
          <cell r="N51" t="str">
            <v>1  del of this cycle   -  0-cycles pmnt   Completed - Collect 0</v>
          </cell>
          <cell r="O51" t="e">
            <v>#N/A</v>
          </cell>
          <cell r="P51" t="e">
            <v>#N/A</v>
          </cell>
          <cell r="Q51" t="e">
            <v>#N/A</v>
          </cell>
          <cell r="R51" t="e">
            <v>#N/A</v>
          </cell>
          <cell r="S51" t="e">
            <v>#N/A</v>
          </cell>
          <cell r="T51" t="str">
            <v>Pur n P Car ( 14 Inch ) 32     FF Sachet + Grass</v>
          </cell>
        </row>
        <row r="52">
          <cell r="A52">
            <v>3337</v>
          </cell>
          <cell r="B52" t="str">
            <v>Shweta Bajpai</v>
          </cell>
          <cell r="C52">
            <v>9205184535</v>
          </cell>
          <cell r="D52" t="str">
            <v>288, Tatvam Villa</v>
          </cell>
          <cell r="E52" t="str">
            <v>Sohna Road 2</v>
          </cell>
          <cell r="F52" t="str">
            <v>Friday</v>
          </cell>
          <cell r="G52" t="str">
            <v>4 Pm to 7 PM</v>
          </cell>
          <cell r="H52">
            <v>1450</v>
          </cell>
          <cell r="I52">
            <v>1450</v>
          </cell>
          <cell r="J52" t="str">
            <v>Bliss</v>
          </cell>
          <cell r="K52" t="str">
            <v>Hold tOday (12/06) Today Returned (19/06)</v>
          </cell>
          <cell r="N52" t="str">
            <v>1  del of this cycle   -  1-cycles pmnt   Pending - Collect 1450</v>
          </cell>
          <cell r="O52" t="str">
            <v>R n W Car ( 14 Inch ) 16     FF Sachet + Grass</v>
          </cell>
          <cell r="P52" t="str">
            <v>P n Y Spray Daisy ( 14 Inch ) 5     FF Sachet + Grass</v>
          </cell>
          <cell r="Q52" t="str">
            <v>Mix Alstroemeria ( 12 Inch ) 16     FF Sachet + Grass</v>
          </cell>
          <cell r="R52" t="str">
            <v xml:space="preserve">Pur Eustom ( 12 Inch ) 3    FF Sachet + Grass </v>
          </cell>
          <cell r="S52" t="str">
            <v>O Asiatic ( 14 Inch ) 3     Grass</v>
          </cell>
          <cell r="T52" t="str">
            <v>P n W Glad ( 14 Inch ) 16     Grass</v>
          </cell>
        </row>
        <row r="53">
          <cell r="A53">
            <v>3078</v>
          </cell>
          <cell r="B53" t="str">
            <v>Jayati Dhingra</v>
          </cell>
          <cell r="C53">
            <v>9953158378</v>
          </cell>
          <cell r="D53" t="str">
            <v>3001, 30th Floor, M3M Lattitude, Sec 65</v>
          </cell>
          <cell r="E53" t="str">
            <v>Badshahpur</v>
          </cell>
          <cell r="F53" t="str">
            <v>Friday</v>
          </cell>
          <cell r="G53" t="str">
            <v>9 AM - 12 PM</v>
          </cell>
          <cell r="H53">
            <v>1950</v>
          </cell>
          <cell r="I53">
            <v>487.5</v>
          </cell>
          <cell r="J53" t="str">
            <v>Joy</v>
          </cell>
          <cell r="K53" t="str">
            <v>No Rajni for some time being (31/10) Skip 1 week (17/12) Skip 1 week (21/01) Skip 1 week (12/02) Skip 1 week (23/02) Send tom (26/02) Replacement tom (16/05) Skip 1 week (21/05) Returned today (29/05)</v>
          </cell>
          <cell r="M53" t="str">
            <v>Check before sending (21/05)</v>
          </cell>
          <cell r="N53" t="str">
            <v>3  del of this cycle   -  0-cycles pmnt   Completed - Collect 0</v>
          </cell>
          <cell r="O53" t="str">
            <v>Pur Eustoma 2 Mix Alstroemeria ( 12 Inch )  11   FF Sachet + Grass</v>
          </cell>
          <cell r="P53" t="str">
            <v>W Asiatic ( 14 Inch ) 2 P n W Glad ( 14 Inch ) 11   Grass</v>
          </cell>
          <cell r="Q53" t="e">
            <v>#N/A</v>
          </cell>
          <cell r="R53" t="e">
            <v>#N/A</v>
          </cell>
          <cell r="S53" t="str">
            <v>P Asiatic ( 14 Inch ) 2 Alstomeria( 12 Inch ) 11   Grass</v>
          </cell>
          <cell r="T53" t="str">
            <v>Sunflower ( 12 Inch ) 3 Pur n P Car ( 14 Inch ) 11   FF Sachet + Grass</v>
          </cell>
        </row>
        <row r="54">
          <cell r="A54">
            <v>1571</v>
          </cell>
          <cell r="B54" t="str">
            <v>Mohar Ray Dahiya</v>
          </cell>
          <cell r="C54">
            <v>9910019898</v>
          </cell>
          <cell r="D54" t="str">
            <v>Sovereign-3/201, Vatika City</v>
          </cell>
          <cell r="E54" t="str">
            <v>Sohna Road 1</v>
          </cell>
          <cell r="F54" t="str">
            <v>Friday</v>
          </cell>
          <cell r="G54" t="str">
            <v>9 AM to 2 PM</v>
          </cell>
          <cell r="H54">
            <v>1600</v>
          </cell>
          <cell r="I54">
            <v>200</v>
          </cell>
          <cell r="J54" t="str">
            <v>Bloom</v>
          </cell>
          <cell r="K54" t="str">
            <v>Friday and Monday(29/06)Chamged to Friday//NO Tape Usage(10/12) Rajni and Car next -- No Red Car(14/01)  Glad and Rose-- Pref both Red(11/02) Spray Daisy and Guldawari this week(24/02) Send Mix of BOP and anthurium(28/02) Mix of Orchid and Lily next(10/03)   NO BOP AND ANTHURIUM(18/04)NO BOP/ANTHURIUM/HELICONIA AND ORIENTAL(01/06) Spray Daisy Next(10/07) Mix Glad Next(30/08) Lilies if they are good else  any other flower in Red/Orange or Yellow (19/10) Yellow Glad Next (27/11) No Joy Package and sned Rose and Guldawari Tom (15/12) Send mix of Red n W Car anmd Guldawari tom (22/12) Pls send on sunday this week instead of friday (08/01) Guldawari and Orchids Next (16/01) NO RAJNI til they become better(04/08) Send replacement today(23/09) Aster in Subscription (19/10) Glad Next (08/11) No Delivery between (5th Jan to 16th Jan (28/12) NO BOP n GERBERA (23/02) Hold till 23rd Jan (30/12) Rs. 725 added against referal credit of Amrita Jain Subscription (08/03) Do not count last del (19/04) Friday missed (16/06) Skip this friday (25/06) Hold from 5th to 12th (04/01)</v>
          </cell>
          <cell r="L54" t="str">
            <v>BOP n GERBERA</v>
          </cell>
          <cell r="N54" t="str">
            <v>3  del of this cycle   -  1-cycles pmnt   Pending - Collect 1600</v>
          </cell>
          <cell r="O54" t="str">
            <v>P n W Glad ( 14 Inch ) 7     Grass</v>
          </cell>
          <cell r="P54" t="str">
            <v>R n W Car ( 14 Inch ) 7     FF Sachet + Grass</v>
          </cell>
          <cell r="Q54" t="str">
            <v>Rajni ( 14 Inch ) 7     Grass</v>
          </cell>
          <cell r="R54" t="str">
            <v>P n W Glad ( 14 Inch ) 7     Grass</v>
          </cell>
          <cell r="S54" t="str">
            <v>P n W Car ( 14 Inch ) 7     FF sachet + Grass</v>
          </cell>
          <cell r="T54" t="str">
            <v>Rajni ( 14 Inch ) 7     Grass</v>
          </cell>
        </row>
        <row r="55">
          <cell r="A55">
            <v>1914</v>
          </cell>
          <cell r="B55" t="str">
            <v>Neelam Ahuja</v>
          </cell>
          <cell r="C55">
            <v>7011107486</v>
          </cell>
          <cell r="D55" t="str">
            <v>4002, M3m Latitude, Sec 65</v>
          </cell>
          <cell r="E55" t="str">
            <v>Badshahpur</v>
          </cell>
          <cell r="F55" t="str">
            <v>Friday</v>
          </cell>
          <cell r="G55" t="str">
            <v>9 AM - 12 PM</v>
          </cell>
          <cell r="H55">
            <v>3000</v>
          </cell>
          <cell r="I55">
            <v>375</v>
          </cell>
          <cell r="J55" t="str">
            <v>Charm</v>
          </cell>
          <cell r="K55" t="str">
            <v>Friday and Monday// Lilies/BOP/Rajni/Spray Daisy(19/04) Paytm from Joe Ahuja// Paytm from Jyoti Gandhi// Skip 1 week(14/08) Not avaible tili 3rd Oct (26/09) Gpay From Joe Ahuja (18/10) Loves BOP (04/11) Heliconia or Anthurium next (22/12) Gpay from Pradeep Chib (03/02) Skip 1 week (02/03) Skip 1 week (23/03) No Spray Daisy (15/05) No gerbera/Sptray Daisy and Car for few Deliveries (26/05) Hold till 11th July (02/07) Being birthday--send some best flowers (31/07) BOP Next (13/09) Asiatic Next (24/10) SEnd anthurium also (13/04) No Statice (21/04) Hold n start from 13th May (02/05) Hold till 6th july (30/06) Skip tom (28/07) Send 1 Del Tom (03/08) Skip Friday Del (03/09) Today Hold (15/11) Skip friday Del (10/12) Skip Monday Del (24/01) Skip this monday (16/02) Skip Friday (26/02) Skip Friday (11/03) Referal credit of Vishal Dhawan added (24/03) Hold today (12/05) Paytm From Jyoti Gandhi (18/06) Skip monday (02/08) Skip 1 week a913/12) Skip 1 week and no del till next friday  (31/12) Skip tom (22/01) Hold today (09/02) Skip 1 week (18/02) Today Returned (06/03) Skip tom (22/03) Skip tom (23/04) Hold Monday (03/05) Skip Monday (10/05) Skip 1 week (21/06) Skip Only mOnday--send on friday (28/06)</v>
          </cell>
          <cell r="L55" t="str">
            <v>Spray Daisy n GERBERA n Statice</v>
          </cell>
          <cell r="N55" t="str">
            <v>2  del of this cycle   -  0-cycles pmnt   Completed - Collect 0</v>
          </cell>
          <cell r="O55" t="str">
            <v>O Asiatic ( 15 Inch ) 3     Grass</v>
          </cell>
          <cell r="P55" t="str">
            <v>P n W Car ( 14 Inch ) 15     FF Sachet + Grass</v>
          </cell>
          <cell r="Q55" t="str">
            <v>Mix Alstroemeria ( 12 Inch ) 15     FF Sachet + Grass</v>
          </cell>
          <cell r="R55" t="str">
            <v>Rajni ( 14 Inch ) 15     Grass</v>
          </cell>
          <cell r="S55" t="e">
            <v>#N/A</v>
          </cell>
          <cell r="T55" t="str">
            <v>W Asiatic ( 14 Inch ) 3     Grass</v>
          </cell>
        </row>
        <row r="56">
          <cell r="A56">
            <v>2083</v>
          </cell>
          <cell r="B56" t="str">
            <v>Neeraj Rathore</v>
          </cell>
          <cell r="C56">
            <v>9810570666</v>
          </cell>
          <cell r="D56" t="str">
            <v>A-1302, PalM Drive, Sec 66</v>
          </cell>
          <cell r="E56" t="str">
            <v>Badshahpur</v>
          </cell>
          <cell r="F56" t="str">
            <v>Friday</v>
          </cell>
          <cell r="G56" t="str">
            <v>9 AM - 12 PM</v>
          </cell>
          <cell r="H56">
            <v>2300</v>
          </cell>
          <cell r="I56">
            <v>287.5</v>
          </cell>
          <cell r="J56" t="str">
            <v>Felicity</v>
          </cell>
          <cell r="K56" t="str">
            <v>Friday n Monday// No Gerbera *25/09) Payment from Dharmesh I Rathod (11/12) Rose next (29/12) No Orchid also (23/02) No Glad (31/03) No BOP (26/07) BMF Vase Sent (23/08) Rs. 500 added as referal credit against subscription of Radhika (08/03) Skip 3 Deliveries (21/09) hold today n skip 1 week (06/10) Upgrade to Elation and day Friday (29/10) One Kind Flowers (30/01) Skip 2 week (05/02) Holdn send on monday (24/04) Skip 2 weeks (07/05) Returned today (22/05)</v>
          </cell>
          <cell r="L56" t="str">
            <v>GERBERA  n BOP</v>
          </cell>
          <cell r="M56" t="str">
            <v>One Kind (30/01)  Rajni next (18/02)</v>
          </cell>
          <cell r="N56" t="str">
            <v>4  del of this cycle   -  1-cycles pmnt   Pending - Collect 2300</v>
          </cell>
          <cell r="O56" t="str">
            <v>R n W Car ( 14 Inch ) 32     2 Limonium + Ff Sachet</v>
          </cell>
          <cell r="P56" t="str">
            <v xml:space="preserve">P Asiatic ( 14 Inch ) 6     2 Gypsola </v>
          </cell>
          <cell r="Q56" t="str">
            <v>P n W Glad ( 14 Inch ) 32     2 Limonium</v>
          </cell>
          <cell r="R56" t="e">
            <v>#N/A</v>
          </cell>
          <cell r="S56" t="str">
            <v>P n Y Spray Daisy ( 14 Inch ) 4     FF sachet + Grass</v>
          </cell>
          <cell r="T56" t="str">
            <v>P n W Glad ( 14 Inch ) 11     Grass</v>
          </cell>
        </row>
        <row r="57">
          <cell r="A57">
            <v>3178</v>
          </cell>
          <cell r="B57" t="str">
            <v>Disha Gopal</v>
          </cell>
          <cell r="C57">
            <v>8588003677</v>
          </cell>
          <cell r="D57" t="str">
            <v>T-10/4A, Central Park Resorts, Sec 48</v>
          </cell>
          <cell r="E57" t="str">
            <v>Sohna Road 2</v>
          </cell>
          <cell r="F57" t="str">
            <v>Friday</v>
          </cell>
          <cell r="G57" t="str">
            <v>4 PM to 7 PM</v>
          </cell>
          <cell r="H57">
            <v>1950</v>
          </cell>
          <cell r="I57">
            <v>487.5</v>
          </cell>
          <cell r="J57" t="str">
            <v>Joy</v>
          </cell>
          <cell r="K57" t="str">
            <v>Micxed Flowers // Hold till 8th Jan (24/12)</v>
          </cell>
          <cell r="M57" t="str">
            <v>Mixed Flowers</v>
          </cell>
          <cell r="N57" t="str">
            <v>3  del of this cycle   -  0-cycles pmnt   Completed - Collect 0</v>
          </cell>
          <cell r="O57" t="str">
            <v>O Asiatic ( 15 Inch ) 2 R n W Car ( 14 Inch ) 11   Grass</v>
          </cell>
          <cell r="P57" t="str">
            <v>P Eustoma ( 14 Inch ) 2 Mix Alstroemeria ( 12 Inch ) 11   FF Sachet + Grass</v>
          </cell>
          <cell r="Q57" t="str">
            <v>Sunflower ( 12 Inch ) 3 P n W Car ( 14 Inch ) 11   FF Sachet + Grass</v>
          </cell>
          <cell r="R57" t="str">
            <v>P Asiatic ( 14 Inch ) 2 P n W Glad ( 14 Inch ) 11   Grass</v>
          </cell>
          <cell r="S57" t="str">
            <v>P n Y Spray Daisy ( 14 Inch ) 4 Pink And White Car 11   FF Sachet + Grass</v>
          </cell>
          <cell r="T57" t="str">
            <v>Sunflower ( 12 Inch ) 3 Rajni ( 14 Inch ) 11   FF Sachet + Grass</v>
          </cell>
        </row>
        <row r="58">
          <cell r="A58">
            <v>1624</v>
          </cell>
          <cell r="B58" t="str">
            <v>Smriti Maggon</v>
          </cell>
          <cell r="C58">
            <v>9811081666</v>
          </cell>
          <cell r="D58" t="str">
            <v>B-901, Emaar Palm Drive, Sec 66</v>
          </cell>
          <cell r="E58" t="str">
            <v>Badshahpur</v>
          </cell>
          <cell r="F58" t="str">
            <v>Friday</v>
          </cell>
          <cell r="G58" t="str">
            <v>9 AM - 12 PM</v>
          </cell>
          <cell r="H58">
            <v>1450</v>
          </cell>
          <cell r="I58">
            <v>362.5</v>
          </cell>
          <cell r="J58" t="str">
            <v>Bliss</v>
          </cell>
          <cell r="K58" t="str">
            <v>Rose//Car//Rajni//BOP(08/02) Holy Change(16/03) 8 Rajnigandha Next (12/10) Hold due to non payment (03/10) Hold due to non payment (16/01) Hold due to non payment (23/01)</v>
          </cell>
          <cell r="N58" t="str">
            <v>1  del of this cycle   -  1-cycles pmnt   Pending - Collect 1450</v>
          </cell>
          <cell r="O58" t="str">
            <v>O Asiatic ( 15 Inch ) 3     Grass</v>
          </cell>
          <cell r="P58" t="str">
            <v>P n Y Spray Daisy ( 14 Inch ) 5     FF Sachet + Grass</v>
          </cell>
          <cell r="Q58" t="e">
            <v>#N/A</v>
          </cell>
          <cell r="R58" t="str">
            <v xml:space="preserve">P n W Glad ( 14 Inch ) 16    Grass </v>
          </cell>
          <cell r="S58" t="str">
            <v>Pur n P Car ( 14 Inch ) 16     FF sachet + Grass</v>
          </cell>
          <cell r="T58" t="str">
            <v>Sunflower ( 12 Inch ) 4     FF Sachet + Grass</v>
          </cell>
        </row>
        <row r="59">
          <cell r="A59">
            <v>3354</v>
          </cell>
          <cell r="B59" t="str">
            <v>Radha Bhatnagar</v>
          </cell>
          <cell r="C59">
            <v>9971944440</v>
          </cell>
          <cell r="D59" t="str">
            <v>D-35, 2nd Floor, Vipul World</v>
          </cell>
          <cell r="E59" t="str">
            <v>Sohna Road 2</v>
          </cell>
          <cell r="F59" t="str">
            <v>Friday</v>
          </cell>
          <cell r="G59" t="str">
            <v>9 AM - 12 PM</v>
          </cell>
          <cell r="H59">
            <v>1450</v>
          </cell>
          <cell r="I59">
            <v>362.5</v>
          </cell>
          <cell r="J59" t="str">
            <v>Bliss</v>
          </cell>
          <cell r="N59" t="str">
            <v>1  del of this cycle   -  0-cycles pmnt   Completed - Collect 0</v>
          </cell>
          <cell r="O59" t="str">
            <v>O Asiatic ( 15 Inch ) 3     Grass</v>
          </cell>
          <cell r="P59" t="str">
            <v>Mix Alstroemeria ( 12 Inch ) 16     FF Sachet + Grass</v>
          </cell>
          <cell r="Q59" t="str">
            <v>R n W Car ( 14 Inch ) 16     FF Sachet + Grass</v>
          </cell>
          <cell r="R59" t="str">
            <v xml:space="preserve">Pur Eustom ( 12 Inch ) 3    FF Sachet + Grass </v>
          </cell>
          <cell r="S59" t="str">
            <v>P n W Glad ( 14 Inch ) 16     Grass</v>
          </cell>
          <cell r="T59" t="str">
            <v>Sunflower ( 12 Inch ) 4     FF Sachet + Grass</v>
          </cell>
        </row>
        <row r="60">
          <cell r="A60">
            <v>781</v>
          </cell>
          <cell r="B60" t="str">
            <v>Maj. Gen. KN Singh</v>
          </cell>
          <cell r="C60">
            <v>9971391417</v>
          </cell>
          <cell r="D60" t="str">
            <v>GH 4/5C Gurgaon One Apartments- Sectr 22</v>
          </cell>
          <cell r="E60" t="str">
            <v>Old Gurgaon</v>
          </cell>
          <cell r="F60" t="str">
            <v>Friday</v>
          </cell>
          <cell r="G60" t="str">
            <v>4 PM to 7PM</v>
          </cell>
          <cell r="H60">
            <v>1450</v>
          </cell>
          <cell r="I60">
            <v>362.5</v>
          </cell>
          <cell r="J60" t="str">
            <v>Bliss</v>
          </cell>
          <cell r="K60" t="str">
            <v>Tuesday and friday// NO ORCHIDS(02/09) Skip 1 week(04/08) Skip 1 week(22/09) Skip 1 week (15/12) Today hold (13/01) Skip 2 weeks (23/01) Skip 1 week (30/03) Skip 1 week (13/04) Shift to Bliss (27/04) Send replacement tom (13/05) Skip 1 week (24/05) Skip 1 week (25/07) Skip 1 week (10/08) Skip 2 week (08/01) Skip 17th and send on 19th (15/05) Skip 2 week (09/01) Skip 1 week (11/03) skip 2 week (04/12) Send tom (06/02) hOLD TODAY (08/05)</v>
          </cell>
          <cell r="N60" t="str">
            <v>1  del of this cycle   -  0-cycles pmnt   Completed - Collect 0</v>
          </cell>
          <cell r="O60" t="str">
            <v>Mix Alstroemeria ( 12 Inch ) 16     FF Sachet + Grass</v>
          </cell>
          <cell r="P60" t="str">
            <v>P Asiatic ( 14 Inch ) 3     Grass</v>
          </cell>
          <cell r="Q60" t="str">
            <v>P n Y Spray Daisy ( 14 Inch ) 5     FF Sachet + Grass</v>
          </cell>
          <cell r="R60" t="str">
            <v xml:space="preserve">R n P Car ( 14 Inch ) 16    FF Sachet + Grass </v>
          </cell>
          <cell r="S60" t="str">
            <v>Mix Alstroemeria 16     Grass</v>
          </cell>
          <cell r="T60" t="str">
            <v>Sunflower ( 12 Inch ) 4     FF Sachet + Grass</v>
          </cell>
        </row>
        <row r="61">
          <cell r="A61">
            <v>2583</v>
          </cell>
          <cell r="B61" t="str">
            <v>Bhumika Gupta</v>
          </cell>
          <cell r="C61">
            <v>9818096329</v>
          </cell>
          <cell r="D61" t="str">
            <v>H-37, 2nd Floor, Aaron Ville, Sec 48</v>
          </cell>
          <cell r="E61" t="str">
            <v>Sohna Road 1</v>
          </cell>
          <cell r="F61" t="str">
            <v>Friday</v>
          </cell>
          <cell r="G61" t="str">
            <v>9:30 Am to 2 PM</v>
          </cell>
          <cell r="H61">
            <v>1950</v>
          </cell>
          <cell r="I61">
            <v>487.5</v>
          </cell>
          <cell r="J61" t="str">
            <v>Joy</v>
          </cell>
          <cell r="K61" t="str">
            <v>No Rose n Glad n flowers in same color // Long Stems (20/04) Gpay from Tanmay Oberoi (15/06) Skip 3 Sunday (04/08) Skip 3 weeks (4/08) Day Change to Friday (27/09) Skip 1 week (15/01) Skip Friday (26/03) Returned today (01/05) Skip 1 week (20/06)</v>
          </cell>
          <cell r="L61" t="str">
            <v>Rose n Glad</v>
          </cell>
          <cell r="M61" t="str">
            <v>Long Stems</v>
          </cell>
          <cell r="N61" t="str">
            <v>1  del of this cycle   -  1-cycles pmnt   Pending - Collect 1950</v>
          </cell>
          <cell r="O61" t="str">
            <v>O Asiatic ( 15 Inch ) 2 P n W Glad ( 14 Inch ) 11   Grass</v>
          </cell>
          <cell r="P61" t="str">
            <v>Pur Eustom ( 14 Inch ) 2 Mix Alstroemeria ( 12 Inch ) 11   FF Sachet + Grass</v>
          </cell>
          <cell r="Q61" t="str">
            <v>Sunflower ( 12 Inch ) 3 Pur n P Car ( 14 Inch ) 11   FF Sachet + Grass</v>
          </cell>
          <cell r="R61" t="str">
            <v>P Asiatic ( 14 Inch ) 2 P n W Glad ( 14 Inch ) 11   Grass</v>
          </cell>
          <cell r="S61" t="e">
            <v>#N/A</v>
          </cell>
          <cell r="T61" t="str">
            <v>Sunflower ( 12 Inch ) 3 Rajni ( 14 Inch ) 11   FF Sachet + Grass</v>
          </cell>
        </row>
        <row r="62">
          <cell r="A62">
            <v>3273</v>
          </cell>
          <cell r="B62" t="str">
            <v>Sharmishtha Jhulka</v>
          </cell>
          <cell r="C62">
            <v>9810010615</v>
          </cell>
          <cell r="D62" t="str">
            <v>817-B, The Camelias</v>
          </cell>
          <cell r="E62" t="str">
            <v>Golf Course Road</v>
          </cell>
          <cell r="F62" t="str">
            <v>Thursday</v>
          </cell>
          <cell r="G62" t="str">
            <v>9 AM to 2 PM</v>
          </cell>
          <cell r="H62">
            <v>5800</v>
          </cell>
          <cell r="I62">
            <v>1450</v>
          </cell>
          <cell r="J62" t="str">
            <v>Replacement</v>
          </cell>
          <cell r="K62" t="str">
            <v>send on 19th, 26th Mar, 23rd April and may 26 // Now start from 18th June (15/05) 10 Asiatic Lilies // 20 Spray Daisies // 10 Sunflowers// 10 Eustoma Pack (20/05) No Sunflowers ( 02/07)</v>
          </cell>
          <cell r="L62" t="str">
            <v>Sunflower</v>
          </cell>
          <cell r="N62" t="str">
            <v>2  del of this cycle   -  0-cycles pmnt   Completed - Collect 0</v>
          </cell>
          <cell r="O62" t="str">
            <v>Mix Spray Daisy 20     2 Gypsola</v>
          </cell>
          <cell r="P62" t="e">
            <v>#N/A</v>
          </cell>
          <cell r="Q62" t="e">
            <v>#N/A</v>
          </cell>
          <cell r="R62" t="e">
            <v>#N/A</v>
          </cell>
          <cell r="S62" t="e">
            <v>#N/A</v>
          </cell>
          <cell r="T62" t="str">
            <v xml:space="preserve">Pur n P Eustoma ( 12 Inch ) 10     2 Limonium </v>
          </cell>
        </row>
        <row r="63">
          <cell r="A63">
            <v>833</v>
          </cell>
          <cell r="B63" t="str">
            <v>Parul Mahajan</v>
          </cell>
          <cell r="C63">
            <v>9560889949</v>
          </cell>
          <cell r="D63" t="str">
            <v>T-5/1002, Vipul Greens,Sec 48</v>
          </cell>
          <cell r="E63" t="str">
            <v>Sohna Road 2</v>
          </cell>
          <cell r="F63" t="str">
            <v>Friday</v>
          </cell>
          <cell r="G63" t="str">
            <v>9 AM - 12 PM</v>
          </cell>
          <cell r="H63">
            <v>3500</v>
          </cell>
          <cell r="I63">
            <v>875</v>
          </cell>
          <cell r="J63" t="str">
            <v>Customized</v>
          </cell>
          <cell r="K63" t="str">
            <v>Tuesday and saturday//Sunday and Thursday//Paytm From Parul Kaistha(23/04) Hold n send now from 2nd July(01/06) Start from tomorrow(28/06) FF sold n received 80 today(27/07) Skip 1 week(16/08) Send FF Next(07/09) FF Tom(13/09) Hold today n skip next week(26/10) Hold n start after 15th jan(20/12) START AND SWITCH TO SATURDAY ONCE LOCKDOWN IS OVER(27/08/20) Day Changed to Sunday(26/11) Upgrade to 1250 pack and send remaining flower of last del(08/02) Senmd Pending Flowers(15/02) Change to Charm Package(03/04) Flower Food Next(16/04) Today Missed-send flower food next(18/04) Received paytm of 250 today(23/04) Sunday and Thursday(20/06) Skip n start from 13th(08/09) Upgrade to Grace(02/10) Send Sunday del tom with Orchids(15/10) NOW Savor(17/11) Payment from Fun times with rhea, send remaining flowers in next del(17/11) Hold n start after 16th Jan(16/12)  Holy Change(16/03) Skip 1 week(14/04) Skip 1 week(27/07) Hold today (10/11) Skip 1 week n wait for new Add (05/02) Hold till 26th June (22/05) Skip 1 week (14/08) Skip 2 week (02/10) Skip 1 week (22/11) Skip 1 week (21/01) Hold till she confirm (25/05) Hold till 26th (16/10) Paytm from Parul Kayastha (20/03)</v>
          </cell>
          <cell r="N63" t="str">
            <v>2  del of this cycle   -  0-cycles pmnt   Completed - Collect 0</v>
          </cell>
          <cell r="O63" t="str">
            <v>P n W Eustoma ( 14 Inch ) 4 P n W Glad ( 14 Inch ) 18   2 Gypsola + FF Sachet</v>
          </cell>
          <cell r="P63" t="str">
            <v>P n Y Spray Daisy ( 14 Inch ) 5 Mix Alstroemeria ( 12 Inch ) 18   2 Limonium + FF Sachet</v>
          </cell>
          <cell r="Q63" t="e">
            <v>#N/A</v>
          </cell>
          <cell r="R63" t="e">
            <v>#N/A</v>
          </cell>
          <cell r="S63" t="str">
            <v>O Asiatic ( 14 Inch ) 4 Pur n p Car ( 14 inch ) 18   2 Gypsola</v>
          </cell>
          <cell r="T63" t="str">
            <v xml:space="preserve">Baloon Flowers  5 Rajni ( 14 Inch ) 18   2 Limonium </v>
          </cell>
        </row>
        <row r="64">
          <cell r="A64">
            <v>3312</v>
          </cell>
          <cell r="B64" t="str">
            <v>Pallabi Dey</v>
          </cell>
          <cell r="C64">
            <v>9953755297</v>
          </cell>
          <cell r="D64" t="str">
            <v>T-2/403, Uniworld Gardens 1</v>
          </cell>
          <cell r="E64" t="str">
            <v>Sohna Road 1</v>
          </cell>
          <cell r="F64" t="str">
            <v>Monday</v>
          </cell>
          <cell r="G64" t="str">
            <v>4 Pm to 7 PM</v>
          </cell>
          <cell r="H64">
            <v>1950</v>
          </cell>
          <cell r="I64">
            <v>487.5</v>
          </cell>
          <cell r="J64" t="str">
            <v>Joy</v>
          </cell>
          <cell r="N64" t="str">
            <v>4  del of this cycle   -  0-cycles pmnt   Completed - Collect 0</v>
          </cell>
          <cell r="O64" t="str">
            <v>P n W Glad ( 14 Inch ) 22 Collect 1375 Carry Receipt Book Collect 1375 Carry Receipt Book Grass</v>
          </cell>
          <cell r="P64" t="str">
            <v>P n Y Spray Daisy ( 14 Inch ) 7     FF Sachet + Grass</v>
          </cell>
          <cell r="Q64" t="str">
            <v>W Asiatic ( 14 inch ) 4     Grass</v>
          </cell>
          <cell r="R64" t="str">
            <v>R n P Car ( 14 Inch ) 22     FF sachet + Grass</v>
          </cell>
          <cell r="S64" t="str">
            <v>Pur n P Eustoma ( 12 Inch ) 4     FF Sachet + Grass</v>
          </cell>
          <cell r="T64" t="str">
            <v>P n W Glad ( 14 Inch ) 22     Grass</v>
          </cell>
        </row>
        <row r="65">
          <cell r="A65">
            <v>1268</v>
          </cell>
          <cell r="B65" t="str">
            <v>Shweta Malhotra</v>
          </cell>
          <cell r="C65">
            <v>9810290780</v>
          </cell>
          <cell r="D65" t="str">
            <v>B-001, Park View Spa Next, Sec 67</v>
          </cell>
          <cell r="E65" t="str">
            <v>Badshahpur</v>
          </cell>
          <cell r="F65" t="str">
            <v>Friday</v>
          </cell>
          <cell r="G65" t="str">
            <v>9 AM to 2 PM</v>
          </cell>
          <cell r="H65">
            <v>1950</v>
          </cell>
          <cell r="I65">
            <v>487.5</v>
          </cell>
          <cell r="J65" t="str">
            <v>Joy</v>
          </cell>
          <cell r="K65" t="str">
            <v>Friday n MOnday//Thursday and Sunday//Oriental//Rajni//BOP//Pink car(13/01) For Next 3 Del-- Rajni//Orchid//Oriental(14/02) This Cycle-- Asiatic//Rajni//P Oriental//P car(07/03) Asiatic Lily Twice and Rest Gerbera and Orchids(10/04) Flower Food Next(17/04) Received Rs.250/-(18/04) lilie sfor next 2 del pls(03/09) Change to Joy Now(18/09) Next Car or Lilies-- NO GULDAWARI(31/10) Oriental Or Spray Daisy next(21/12) NO Rose-- Send Tom(09/01)  Holy Change(16/03) Send a replacement tom(15/04) Replacement tom(08/05) Either single or double color only -- NO Multicolor(30/10) No GULDAWARI n GERBERA (05/01) SEnt a replacement (12/04) Sent replacement today (13/05) Sent replacement today (26/06) No Anthurium (17/05) In Pooja's Account // Send Replacement tom (05/07) Send Replacement tom (09/08) Send replacement tom (22/11) Send Replacement tom (11/04) No But HDTNP (12/06)ton Daisy (02/05)</v>
          </cell>
          <cell r="L65" t="str">
            <v>ANTHURIUM n GULDAWARI n Button Daisy</v>
          </cell>
          <cell r="N65" t="str">
            <v>2  del of this cycle   -  1-cycles pmnt   Pending - Collect 1950</v>
          </cell>
          <cell r="O65" t="str">
            <v>P n W Glad ( 14 Inch ) 22     Grass</v>
          </cell>
          <cell r="P65" t="str">
            <v>Mix Alstroemeria ( 12 Inch ) 22     FF Sachet + Grass</v>
          </cell>
          <cell r="Q65" t="e">
            <v>#N/A</v>
          </cell>
          <cell r="R65" t="str">
            <v>O Asiatic ( 14 Inch ) 4     Grass</v>
          </cell>
          <cell r="S65" t="str">
            <v>Pur n P Car ( 14 Inch ) 22     FF Sachet + Grass</v>
          </cell>
          <cell r="T65" t="str">
            <v>Sunflower ( 12 Inch ) 5     FF Sachet + Grass</v>
          </cell>
        </row>
        <row r="66">
          <cell r="A66">
            <v>3307</v>
          </cell>
          <cell r="B66" t="str">
            <v>Amit Jindal</v>
          </cell>
          <cell r="C66">
            <v>8860400001</v>
          </cell>
          <cell r="D66" t="str">
            <v>T-5/1401, Vipul Greens</v>
          </cell>
          <cell r="E66" t="str">
            <v>Sohna Road 2</v>
          </cell>
          <cell r="F66" t="str">
            <v>Friday</v>
          </cell>
          <cell r="G66" t="str">
            <v>9:30 AM to 2 PM</v>
          </cell>
          <cell r="H66">
            <v>2626</v>
          </cell>
          <cell r="I66">
            <v>656.5</v>
          </cell>
          <cell r="J66" t="str">
            <v>Customized</v>
          </cell>
          <cell r="K66" t="str">
            <v>3 Oriental every week // Today Hold n returned (12/06)</v>
          </cell>
          <cell r="N66" t="str">
            <v>4  del of this cycle   -  0-cycles pmnt   Completed - Collect 0</v>
          </cell>
          <cell r="O66" t="str">
            <v>P Oriental ( 15 Inch ) 3     1 gypsola</v>
          </cell>
          <cell r="P66" t="str">
            <v>P Oriental ( 16 Inch ) 3     1 Limonium</v>
          </cell>
          <cell r="Q66" t="str">
            <v>W Oriental ( 15 Inch ) 3     1 Gypsola</v>
          </cell>
          <cell r="R66" t="str">
            <v>P Oriental ( 15 Inch ) 3     1 Limonium</v>
          </cell>
          <cell r="S66" t="str">
            <v>W Oriental 3     1 gypaols</v>
          </cell>
          <cell r="T66" t="str">
            <v>P Oriental ( 15 Inch ) 3     1 Limonium</v>
          </cell>
        </row>
        <row r="67">
          <cell r="A67">
            <v>3185</v>
          </cell>
          <cell r="B67" t="str">
            <v>Kamla Anand</v>
          </cell>
          <cell r="C67">
            <v>9711216660</v>
          </cell>
          <cell r="D67" t="str">
            <v>83  Jasminium 1,Vatika city 
Sec 49</v>
          </cell>
          <cell r="E67" t="str">
            <v>Sohna Road 1</v>
          </cell>
          <cell r="F67" t="str">
            <v>Friday</v>
          </cell>
          <cell r="G67" t="str">
            <v>9 AM - 12 PM</v>
          </cell>
          <cell r="H67">
            <v>999</v>
          </cell>
          <cell r="I67">
            <v>249.75</v>
          </cell>
          <cell r="J67" t="str">
            <v>Delight</v>
          </cell>
          <cell r="K67" t="str">
            <v>Skip tom (09/04)</v>
          </cell>
          <cell r="N67" t="str">
            <v>4  del of this cycle   -  0-cycles pmnt   Completed - Collect 0</v>
          </cell>
          <cell r="O67" t="str">
            <v>R n W Car ( 14 Inch ) 9     FF Sachet + Grass</v>
          </cell>
          <cell r="P67" t="str">
            <v>P Spray Daisy ( 14 Inch ) 3     FF Sachet + Grass</v>
          </cell>
          <cell r="Q67" t="str">
            <v>P n W Glad ( 14 Inch ) 9     Grass</v>
          </cell>
          <cell r="R67" t="str">
            <v xml:space="preserve">O Asiatic ( 14 Inch ) 2    Grass </v>
          </cell>
          <cell r="S67" t="str">
            <v>Rajni ( 14 Inch ) 9     Grass</v>
          </cell>
          <cell r="T67" t="str">
            <v>Pur n P Car ( 14 Inch ) 9     FF Sachet + Grass</v>
          </cell>
        </row>
        <row r="68">
          <cell r="A68">
            <v>3309</v>
          </cell>
          <cell r="B68" t="str">
            <v>Tahzeeb Mohammad</v>
          </cell>
          <cell r="C68">
            <v>9986608474</v>
          </cell>
          <cell r="D68" t="str">
            <v>Natura Tower -1, N 2105, M3M Marina, Sec 68</v>
          </cell>
          <cell r="E68" t="str">
            <v>Badshahpur</v>
          </cell>
          <cell r="F68" t="str">
            <v>Friday</v>
          </cell>
          <cell r="G68" t="str">
            <v>9 AM - 12 PM</v>
          </cell>
          <cell r="H68">
            <v>2550</v>
          </cell>
          <cell r="I68">
            <v>318.75</v>
          </cell>
          <cell r="J68" t="str">
            <v>Bi weekly Customised</v>
          </cell>
          <cell r="K68" t="str">
            <v>Gerbera // Rajni // Sunflowers // Eustoma // Orchid // Skip Monday (15/05)</v>
          </cell>
          <cell r="N68" t="str">
            <v>8  del of this cycle   -  0-cycles pmnt   Completed - Collect 0</v>
          </cell>
          <cell r="O68" t="str">
            <v>P Eustoma ( 14 Inch ) 3     FF Sachet + Grass</v>
          </cell>
          <cell r="P68" t="str">
            <v>G Orchid 4     Grass</v>
          </cell>
          <cell r="Q68" t="str">
            <v>Rajni ( 14 Inch ) 11     Grass</v>
          </cell>
          <cell r="R68" t="str">
            <v>Pur Eustom ( 12 Inch ) 3     FF Sachet + Grass</v>
          </cell>
          <cell r="S68" t="str">
            <v>Pur Eustoma ( 12 Inch ) 3     FF sachet + Grass</v>
          </cell>
          <cell r="T68" t="str">
            <v>Rajni ( 14 Inch ) 11     Grass</v>
          </cell>
        </row>
        <row r="69">
          <cell r="A69">
            <v>1467</v>
          </cell>
          <cell r="B69" t="str">
            <v>Priyanka Chaturvedi</v>
          </cell>
          <cell r="C69">
            <v>7838930274</v>
          </cell>
          <cell r="D69" t="str">
            <v xml:space="preserve">Flat No. A-303, The Peaceful Homes, Sec 70-A
</v>
          </cell>
          <cell r="E69" t="str">
            <v>Badshahpur</v>
          </cell>
          <cell r="F69" t="str">
            <v>Friday</v>
          </cell>
          <cell r="G69" t="str">
            <v>9 AM - 12 PM</v>
          </cell>
          <cell r="H69">
            <v>1600</v>
          </cell>
          <cell r="I69">
            <v>200</v>
          </cell>
          <cell r="J69" t="str">
            <v>Bloom</v>
          </cell>
          <cell r="K69" t="str">
            <v>Friday and Sunday//Saturday evening slot and Sunday morning Slot(06/08) Send 100 Gm Mogra also(03/09) Received cash of 100 today(04/09) Skip coming week(20/09) Skip 1 week(15/10) Skip tom n send on comong fridayu this week(29/01) W Car next(26/02)  Holy Change(16/03) Return today(15/04) Hold n start from July (01/05) Skip 13th Delivery (10/01) NO ROSE (29/01) Sent replacement today (05/02) Send bothe deliveries together on sunday (12/05) Skip 1 week (25/05) Send both deliveries on Sunday only (01/06) Double Delivery only on Sunday (10/06) Paytm From Gaurav Chaturvedi (26/03) Hold til next saturday (20/06) Skip this sunday (11/10) No Spray Daisy (22/11) Today REturned (12/01) Skip 2nd week (03/04) No Del between 7th to 14th (05/04) Skip this sunday (18/06) Skip tom (04/10) Skip 1 week (10/12) Today Returned (04/01)</v>
          </cell>
          <cell r="L69" t="str">
            <v>ROSE n SPRAY DAISY</v>
          </cell>
          <cell r="N69" t="str">
            <v>4  del of this cycle   -  0-cycles pmnt   Completed - Collect 0</v>
          </cell>
          <cell r="O69" t="e">
            <v>#N/A</v>
          </cell>
          <cell r="P69" t="e">
            <v>#N/A</v>
          </cell>
          <cell r="Q69" t="str">
            <v>Glad ( 12 Inch ) 7     Grass</v>
          </cell>
          <cell r="R69" t="str">
            <v>P n W Glad ( 14 Inch ) 11     Grass</v>
          </cell>
          <cell r="S69" t="str">
            <v>P n W Car  ( 14 Inch ) 7     FF sachet + Grass</v>
          </cell>
          <cell r="T69" t="str">
            <v>Rajni ( 14 Inch ) 7     Grass</v>
          </cell>
        </row>
        <row r="70">
          <cell r="A70">
            <v>2678</v>
          </cell>
          <cell r="B70" t="str">
            <v>Saachi Satyaarth</v>
          </cell>
          <cell r="C70">
            <v>9643712005</v>
          </cell>
          <cell r="D70" t="str">
            <v>H-1504, Microtek Greenburg, Sec 86</v>
          </cell>
          <cell r="E70" t="str">
            <v>Manesar</v>
          </cell>
          <cell r="F70" t="str">
            <v>Friday</v>
          </cell>
          <cell r="G70" t="str">
            <v>4 PM to 7 PM</v>
          </cell>
          <cell r="H70">
            <v>1450</v>
          </cell>
          <cell r="I70">
            <v>362.5</v>
          </cell>
          <cell r="J70" t="str">
            <v>Bliss</v>
          </cell>
          <cell r="K70" t="str">
            <v>Skip 1 week (04/06) Do not count last Del (28/03) 1 Sunflower Extra next (03/04) Skip 1 week (26/06)</v>
          </cell>
          <cell r="M70" t="str">
            <v>1 Sunflower Extra Next (03/04)</v>
          </cell>
          <cell r="N70" t="str">
            <v>4  del of this cycle   -  0-cycles pmnt   Completed - Collect 0</v>
          </cell>
          <cell r="O70" t="str">
            <v>O Asiatic ( 15 Inch ) 2 R n W Car ( 14 Inch ) 7   Grass</v>
          </cell>
          <cell r="P70" t="str">
            <v>P Eustoma ( 14 Inch ) 2 Mix Alstroemeria ( 12 Inch ) 7   FF Sachet + Grass</v>
          </cell>
          <cell r="Q70" t="str">
            <v>P Spray Daisy ( 14 Inch ) 3 P n W Glad ( 14 Inch ) 7   FF Sachet + Grass</v>
          </cell>
          <cell r="R70" t="str">
            <v xml:space="preserve">Sunflower ( 12 Inch ) 2 Pur n P Car ( 14 Inch ) 7  FF Sachet + Grass </v>
          </cell>
          <cell r="S70" t="str">
            <v>P Asiatic ( 14 Inch ) 2 Alstomeria( 12 Inch ) 7   Grass</v>
          </cell>
          <cell r="T70" t="str">
            <v>G Spray Daisy ( 14 Inch ) 3 P n W Glad ( 14 Inch ) 7   Grass</v>
          </cell>
        </row>
        <row r="71">
          <cell r="A71">
            <v>3047</v>
          </cell>
          <cell r="B71" t="str">
            <v>Meenal</v>
          </cell>
          <cell r="C71">
            <v>9811222881</v>
          </cell>
          <cell r="D71" t="str">
            <v>168, Deerwood</v>
          </cell>
          <cell r="E71" t="str">
            <v>Badshahpur</v>
          </cell>
          <cell r="F71" t="str">
            <v>Friday</v>
          </cell>
          <cell r="G71" t="str">
            <v>4 PM to 7PM</v>
          </cell>
          <cell r="H71">
            <v>1450</v>
          </cell>
          <cell r="I71">
            <v>362.5</v>
          </cell>
          <cell r="J71" t="str">
            <v>Bliss</v>
          </cell>
          <cell r="K71" t="str">
            <v>Skip Friday and sned on Monday (07/01) HDTNP (24/04) Skip 2 week (27/05) Today returned (19/06)</v>
          </cell>
          <cell r="N71" t="str">
            <v>1  del of this cycle   -  1-cycles pmnt   Pending - Collect 1450</v>
          </cell>
          <cell r="O71" t="e">
            <v>#N/A</v>
          </cell>
          <cell r="P71" t="e">
            <v>#N/A</v>
          </cell>
          <cell r="Q71" t="str">
            <v>P Asiatic ( 14 Inch ) 2     Grass</v>
          </cell>
          <cell r="R71" t="str">
            <v xml:space="preserve">Pur n P Car ( 14 Inch ) 9    FF Sachet + Grass </v>
          </cell>
          <cell r="S71" t="str">
            <v>P n W Glad ( 14 Inch ) 9     Grass</v>
          </cell>
          <cell r="T71" t="str">
            <v>Sunflower ( 12 Inch ) 4     FF Sachet + Grass</v>
          </cell>
        </row>
        <row r="72">
          <cell r="A72">
            <v>152</v>
          </cell>
          <cell r="B72" t="str">
            <v xml:space="preserve">
Manisha Kahai
</v>
          </cell>
          <cell r="C72">
            <v>9810013410</v>
          </cell>
          <cell r="D72" t="str">
            <v xml:space="preserve">Flat number 41, Jasminium 1, Vatika City, Sector 49 (Sohna Road)    Sec 49 Gurgaon  122001 
</v>
          </cell>
          <cell r="E72" t="str">
            <v>Sohna Road 1</v>
          </cell>
          <cell r="F72" t="str">
            <v>Friday</v>
          </cell>
          <cell r="G72" t="str">
            <v>9 AM - 12 PM</v>
          </cell>
          <cell r="H72">
            <v>1450</v>
          </cell>
          <cell r="I72">
            <v>362.5</v>
          </cell>
          <cell r="J72" t="str">
            <v>Bliss</v>
          </cell>
          <cell r="K72" t="str">
            <v>Day changed to Sat (25/02)Return-send tomorrow(03/11)Hold and start from 11th may(06/04) FF Sold today(03/08) FF Sold today n payment recvd(07/09) Holy Change(16/03) FF Next(20/03) Paytm from Manisha Singh (09/06) 250 returned via paytm (03/.11) Today Returned (18/07)</v>
          </cell>
          <cell r="N72" t="str">
            <v>4  del of this cycle   -  0-cycles pmnt   Completed - Collect 0</v>
          </cell>
          <cell r="O72" t="str">
            <v>R n W Car ( 14 Inch ) 16     FF Sachet + Grass</v>
          </cell>
          <cell r="P72" t="str">
            <v>P n W Glad ( 14 Inch ) 16     Grass</v>
          </cell>
          <cell r="Q72" t="str">
            <v>Sunflower ( 12 Inch ) 4     FF Sachet + Grass</v>
          </cell>
          <cell r="R72" t="str">
            <v xml:space="preserve">Pur Eustom ( 12 Inch ) 3    FF Sachet + Grass </v>
          </cell>
          <cell r="S72" t="str">
            <v>O Asiatic ( 14 Inch ) 3     Grass</v>
          </cell>
          <cell r="T72" t="str">
            <v>Pur n P Car ( 14 Inch ) 16     FF Sachet + Grass</v>
          </cell>
        </row>
        <row r="73">
          <cell r="A73">
            <v>3383</v>
          </cell>
          <cell r="B73" t="str">
            <v>Jaya Todi</v>
          </cell>
          <cell r="C73">
            <v>8084159730</v>
          </cell>
          <cell r="D73" t="str">
            <v>T-6/1001, M3M Heights, Sec 65</v>
          </cell>
          <cell r="E73" t="str">
            <v>Badshahpur</v>
          </cell>
          <cell r="F73" t="str">
            <v>Saturday</v>
          </cell>
          <cell r="G73" t="str">
            <v>4 PM to 7PM</v>
          </cell>
          <cell r="H73">
            <v>1450</v>
          </cell>
          <cell r="I73">
            <v>362.5</v>
          </cell>
          <cell r="J73" t="str">
            <v>Bliss</v>
          </cell>
          <cell r="N73" t="str">
            <v>3  del of this cycle   -  0-cycles pmnt   Completed - Collect 0</v>
          </cell>
          <cell r="O73" t="e">
            <v>#N/A</v>
          </cell>
          <cell r="P73" t="e">
            <v>#N/A</v>
          </cell>
          <cell r="Q73" t="e">
            <v>#N/A</v>
          </cell>
          <cell r="R73" t="str">
            <v xml:space="preserve">R n P Car ( 14 Inch ) 16    FF Sachet + Grass </v>
          </cell>
          <cell r="S73" t="str">
            <v>O Asiatic ( 14 Inch ) 3     Grass</v>
          </cell>
          <cell r="T73" t="str">
            <v>P n W Glad ( 14 Inch ) 16     Grass</v>
          </cell>
        </row>
        <row r="74">
          <cell r="A74">
            <v>2224</v>
          </cell>
          <cell r="B74" t="str">
            <v>Samta Mehra</v>
          </cell>
          <cell r="C74">
            <v>9811137290</v>
          </cell>
          <cell r="D74" t="str">
            <v>D-1401, Park View City-1, Sohna Road</v>
          </cell>
          <cell r="E74" t="str">
            <v>Sohna Road 2</v>
          </cell>
          <cell r="F74" t="str">
            <v>Friday</v>
          </cell>
          <cell r="G74" t="str">
            <v>9 AM - 12 PM</v>
          </cell>
          <cell r="H74">
            <v>3750</v>
          </cell>
          <cell r="I74">
            <v>937.5</v>
          </cell>
          <cell r="J74" t="str">
            <v>Savor</v>
          </cell>
          <cell r="K74" t="str">
            <v>Mixed Flowers// Upgrade to Elation (30/03) Skip 3 weeks (13/06) Skip 2 weeks (21/12) Upgrade ti savor (23/02) Skip 1 week (16/04) Skip 1 week (20/06) Hold today (12/09) Skip 1 week (02/10) Skip 1 week (29/12) Skip 1 week (28/03) Skip 1 week (18/06)</v>
          </cell>
          <cell r="N74" t="str">
            <v>4  del of this cycle   -  0-cycles pmnt   Completed - Collect 0</v>
          </cell>
          <cell r="O74" t="str">
            <v>P n W Eustoma ( 14 Inch ) 4 P n W Car ( 14 Inch ) 21   2 Gypsola + FF Sachet</v>
          </cell>
          <cell r="P74" t="str">
            <v>Sunflower ( 12 Inch ) 5 Mix Alstroemeria ( 12 Inch ) 20   2 Limonium + FF Sachet</v>
          </cell>
          <cell r="Q74" t="str">
            <v>P n Y Spray Daisy ( 14 Inch ) 5 P n W Glad ( 14 Inch ) 21   2 Gypsola + FF Sachet</v>
          </cell>
          <cell r="R74" t="e">
            <v>#N/A</v>
          </cell>
          <cell r="S74" t="str">
            <v xml:space="preserve">P Asiatic 4 Pur Eustoma ( 12 Inch ) 21   2 Limonium </v>
          </cell>
          <cell r="T74" t="str">
            <v>Baloon Flowers  5 Pur n P Car ( 14 Inch ) 20   2 Limonium + FF Sachet</v>
          </cell>
        </row>
        <row r="75">
          <cell r="A75">
            <v>588</v>
          </cell>
          <cell r="B75" t="str">
            <v>Akiksha Mohan</v>
          </cell>
          <cell r="C75">
            <v>9810145564</v>
          </cell>
          <cell r="D75" t="str">
            <v>D-601, Emaar Plam Drive</v>
          </cell>
          <cell r="E75" t="str">
            <v>Badshahpur</v>
          </cell>
          <cell r="F75" t="str">
            <v>Friday</v>
          </cell>
          <cell r="G75" t="str">
            <v>9 AM - 12 PM</v>
          </cell>
          <cell r="H75">
            <v>1600</v>
          </cell>
          <cell r="I75">
            <v>200</v>
          </cell>
          <cell r="J75" t="str">
            <v>Bloom</v>
          </cell>
          <cell r="K75" t="str">
            <v>Friday n Monday //Return-send next week(10/11) Send Replacement(04/03) change address Tower D Flat No 601 Plam Drive (30/3) Return-send next week(06/04) NOW SEND ONLY GLAD(08/05 Hold n start from 1st week0f Aug(08/07)) Gerbera Next(31/08) Return-send next week(30/11) Return-send after Monday(07/03) Send Next week(08/03) Send Change next(30/10) Today returned-send next week(06/11)  Holy Change(16/03) Return today and Skip 2 Weeks(15/04) REturn-:Payment Not paid(29/04) Today Returned(03/06) Skip 1 week(15/06) Return-send next wek(24/06) Skip 1 Week(21/07) Today returned(05/08) Rajni and Asiatic altrenatively(12/08) Today returnedas payment is pending (16/12) Today return again diue to non payment (23/12) No Guldawari (28/02) Paytm From Neelu mohan (28/02) Hold as payment not received (22/10) No sent as payment not recived (26/10) Hold due to non payment (29/10) One payment in Pooja account on 18th and 1 today at BMF account (03/11) Hold due to non payment(01/12) Hold today due to non payment (01/03) Hold as payment not received (31/03) Skip next del (29/09) Hold due to non payment (09/01) Hold due to non payment (12/01) Hold due to non payment (16/01) Hold due to non payment (03/10) Hold due to non payment (05/10) Hold due to non payment (10/10) Skip 1 week (31/10) Hoold ue to non payment (18/12) Hold due to non payment (26/12) Hold tom due to non payment (28/12) Hold due to non payment (19/01) Hold due to non payment (22/01) Today hold (06/03) HDTNP (25/05)</v>
          </cell>
          <cell r="L75" t="str">
            <v>GULDAWARI</v>
          </cell>
          <cell r="N75" t="str">
            <v>6  del of this cycle   -  0-cycles pmnt   Completed - Collect 0</v>
          </cell>
          <cell r="O75" t="str">
            <v xml:space="preserve">Mix Carnation 7     </v>
          </cell>
          <cell r="P75" t="str">
            <v>Sunflower ( 14 Inch ) 2     FF Sachet + Grass</v>
          </cell>
          <cell r="Q75" t="str">
            <v>Mix Alstroemeria ( 12 Inch ) 7     FF Sachet + Grass</v>
          </cell>
          <cell r="R75" t="str">
            <v>P n W Glad ( 14 Inch ) 7     Grass</v>
          </cell>
          <cell r="S75" t="str">
            <v>Sunflower ( 12 Inch ) 2     FF sachet + Grass</v>
          </cell>
          <cell r="T75" t="str">
            <v>Rajni ( 14 Inch ) 7     Grass</v>
          </cell>
        </row>
        <row r="76">
          <cell r="A76">
            <v>2454</v>
          </cell>
          <cell r="B76" t="str">
            <v>Vipin</v>
          </cell>
          <cell r="C76" t="str">
            <v>9555977401 // 9654829329</v>
          </cell>
          <cell r="D76" t="str">
            <v>Villa / VB-5, Tata Primanti, Sec 72</v>
          </cell>
          <cell r="E76" t="str">
            <v>Badshahpur</v>
          </cell>
          <cell r="F76" t="str">
            <v>Friday</v>
          </cell>
          <cell r="G76" t="str">
            <v>9 AM - 12 PM</v>
          </cell>
          <cell r="H76">
            <v>1950</v>
          </cell>
          <cell r="I76">
            <v>487.5</v>
          </cell>
          <cell r="J76" t="str">
            <v>Joy</v>
          </cell>
          <cell r="K76" t="str">
            <v>Send in evening slot tom (11/03) Paytm From Hina Kapoor (06/04) Send replacement Tom (17/05) Send replacement of W Eustoma (17/05) Paytm from Tarun Kumar (15/95) Replacement tom (16/05) Paytm From Vimpin Kapooria (28/06)</v>
          </cell>
          <cell r="N76" t="str">
            <v>2  del of this cycle   -  0-cycles pmnt   Completed - Collect 0</v>
          </cell>
          <cell r="O76" t="str">
            <v>O Asiatic ( 15 Inch ) 2 P n W Car ( 14 Inch ) 11   Grass</v>
          </cell>
          <cell r="P76" t="str">
            <v>P n Y Spray Daisy ( 14 Inch ) 4 Mix Alstroemeria ( 12 Inch ) 11   FF Sachet + Grass</v>
          </cell>
          <cell r="Q76" t="str">
            <v>Sunflower ( 12 Inch ) 3 P n W Glad ( 14 Inch ) 11   FF Sachet + Grass</v>
          </cell>
          <cell r="R76" t="str">
            <v>P Eustoma ( 12 Inch ) 2 Pur n P Car ( 14 Inch ) 11   FF sachet + Grass</v>
          </cell>
          <cell r="S76" t="str">
            <v>P Asiatic ( 14 Inch ) 2 Glad ( 14 Inch ) 11   Grass</v>
          </cell>
          <cell r="T76" t="str">
            <v>Sunflower ( 12 Inch ) 3 Rajni ( 14 Inch ) 11   FF Sachet + Grass</v>
          </cell>
        </row>
        <row r="77">
          <cell r="A77">
            <v>3388</v>
          </cell>
          <cell r="B77" t="str">
            <v>Malvika Anand</v>
          </cell>
          <cell r="C77">
            <v>9811822238</v>
          </cell>
          <cell r="D77" t="str">
            <v>A1, Cloud 9 Cottages, Vill Dhumaspur, Sec 67 A</v>
          </cell>
          <cell r="E77" t="str">
            <v>Badshahpur</v>
          </cell>
          <cell r="F77" t="str">
            <v>Friday</v>
          </cell>
          <cell r="G77" t="str">
            <v>9 AM - 12 PM</v>
          </cell>
          <cell r="H77">
            <v>1950</v>
          </cell>
          <cell r="I77">
            <v>487.5</v>
          </cell>
          <cell r="J77" t="str">
            <v>Joy</v>
          </cell>
          <cell r="N77" t="str">
            <v>2  del of this cycle   -  0-cycles pmnt   Completed - Collect 0</v>
          </cell>
          <cell r="O77" t="e">
            <v>#N/A</v>
          </cell>
          <cell r="P77" t="e">
            <v>#N/A</v>
          </cell>
          <cell r="Q77" t="e">
            <v>#N/A</v>
          </cell>
          <cell r="R77" t="e">
            <v>#N/A</v>
          </cell>
          <cell r="S77" t="str">
            <v>Pur n P Car ( 14 Inch ) 22     FF Sachet + Grass</v>
          </cell>
          <cell r="T77" t="str">
            <v>O Asiatic ( 14 Inch ) 4     Grass</v>
          </cell>
        </row>
        <row r="78">
          <cell r="A78">
            <v>2448</v>
          </cell>
          <cell r="B78" t="str">
            <v>Sonali Srivastava -- 1450 Pack</v>
          </cell>
          <cell r="C78">
            <v>8510051543</v>
          </cell>
          <cell r="D78" t="str">
            <v>T2/25A, SS, The Leaf, Sec 85</v>
          </cell>
          <cell r="E78" t="str">
            <v>Manesar</v>
          </cell>
          <cell r="F78" t="str">
            <v>Friday</v>
          </cell>
          <cell r="G78" t="str">
            <v>9:30 Am to 2 PM</v>
          </cell>
          <cell r="H78">
            <v>1450</v>
          </cell>
          <cell r="I78">
            <v>362.5</v>
          </cell>
          <cell r="J78" t="str">
            <v>Bliss</v>
          </cell>
          <cell r="K78" t="str">
            <v>Insta // 1st Del on Monday and then Friday morning (17/07) Skip tom n send on Monday (24/08) Hold due to non payment (16/01) HDTNP(20/02) HDTNP (24/04) Skip 2 week (13/05)</v>
          </cell>
          <cell r="N78" t="str">
            <v>1  del of this cycle   -  1-cycles pmnt   Pending - Collect 1450</v>
          </cell>
          <cell r="O78" t="e">
            <v>#N/A</v>
          </cell>
          <cell r="P78" t="e">
            <v>#N/A</v>
          </cell>
          <cell r="Q78" t="e">
            <v>#N/A</v>
          </cell>
          <cell r="R78" t="str">
            <v xml:space="preserve">P n W Glad ( 14 Inch ) 9    Grass </v>
          </cell>
          <cell r="S78" t="str">
            <v>P Asiatic ( 14 Inch ) 2     Grass</v>
          </cell>
          <cell r="T78" t="str">
            <v>Pur n P Car ( 14 Inch ) 16     FF Sachet + Grass</v>
          </cell>
        </row>
        <row r="79">
          <cell r="A79">
            <v>3381</v>
          </cell>
          <cell r="B79" t="str">
            <v>Swati Gaur</v>
          </cell>
          <cell r="C79">
            <v>9769021701</v>
          </cell>
          <cell r="D79" t="str">
            <v>T-5/2617, Center court by County, Sec 88 A</v>
          </cell>
          <cell r="E79" t="str">
            <v>Manesar</v>
          </cell>
          <cell r="F79" t="str">
            <v>Friday</v>
          </cell>
          <cell r="G79" t="str">
            <v>4 Pm to 7 PM</v>
          </cell>
          <cell r="H79">
            <v>2750</v>
          </cell>
          <cell r="I79">
            <v>687.5</v>
          </cell>
          <cell r="J79" t="str">
            <v>Elation</v>
          </cell>
          <cell r="N79" t="str">
            <v>3  del of this cycle   -  0-cycles pmnt   Completed - Collect 0</v>
          </cell>
          <cell r="O79" t="e">
            <v>#N/A</v>
          </cell>
          <cell r="P79" t="e">
            <v>#N/A</v>
          </cell>
          <cell r="Q79" t="e">
            <v>#N/A</v>
          </cell>
          <cell r="R79" t="str">
            <v>R n P Car ( 14 Inch ) 32     FF sachet + Grass</v>
          </cell>
          <cell r="S79" t="str">
            <v>O Asiatic ( 14 Inch ) 6     2 Gypaols</v>
          </cell>
          <cell r="T79" t="str">
            <v>P n W Glad ( 14 Inch ) 32     Grass</v>
          </cell>
        </row>
        <row r="80">
          <cell r="A80">
            <v>3081</v>
          </cell>
          <cell r="B80" t="str">
            <v xml:space="preserve">Nikhat </v>
          </cell>
          <cell r="C80" t="str">
            <v>90044 52898‬</v>
          </cell>
          <cell r="D80" t="str">
            <v>Tower B, flat 074, DLF regal gardens , sector 90</v>
          </cell>
          <cell r="E80" t="str">
            <v>Manesar</v>
          </cell>
          <cell r="F80" t="str">
            <v>Friday</v>
          </cell>
          <cell r="G80" t="str">
            <v>4 PM to 7 PM</v>
          </cell>
          <cell r="H80">
            <v>1450</v>
          </cell>
          <cell r="I80">
            <v>362.5</v>
          </cell>
          <cell r="J80" t="str">
            <v>Bliss</v>
          </cell>
          <cell r="K80" t="str">
            <v>Paytm From Puneet Pundora (06/03) Hold today (20/03)</v>
          </cell>
          <cell r="N80" t="str">
            <v>1  del of this cycle   -  1-cycles pmnt   Pending - Collect 1450</v>
          </cell>
          <cell r="O80" t="str">
            <v>Sunflower ( 14 Inch ) 2 Mix Alstroemeria ( 12 Inch )  7   FF Sachet + Grass</v>
          </cell>
          <cell r="P80" t="str">
            <v>Pur Eustom ( 14 Inch ) 2 P n W Glad ( 14 Inch ) 7   FF Sachet + Grass</v>
          </cell>
          <cell r="Q80" t="str">
            <v>W Asiatic ( 14 inch ) 2 Pur n P Car ( 14 Inch ) 7   Grass</v>
          </cell>
          <cell r="R80" t="str">
            <v xml:space="preserve">P Spray Daisy ( 14 Inch ) 3 Mix Alstroemeria (  12 Inch ) 7  FF Sachet + Grass </v>
          </cell>
          <cell r="S80" t="str">
            <v>Eustoma  2 P n W Glad ( 14 Inch ) 7   FF sachet + Grass</v>
          </cell>
          <cell r="T80" t="str">
            <v>Sunflower ( 12 Inch ) 2 Rajni ( 14 Inch ) 7   FF Sachet + Grass</v>
          </cell>
        </row>
        <row r="81">
          <cell r="A81">
            <v>3389</v>
          </cell>
          <cell r="B81" t="str">
            <v>Ritika -- DLF Regal</v>
          </cell>
          <cell r="C81">
            <v>9975423958</v>
          </cell>
          <cell r="D81" t="str">
            <v>E-144, DLF Regal Garden, Sec 90</v>
          </cell>
          <cell r="E81" t="str">
            <v>Manesar</v>
          </cell>
          <cell r="F81" t="str">
            <v>Friday</v>
          </cell>
          <cell r="G81" t="str">
            <v>4 Pm to 7 PM</v>
          </cell>
          <cell r="H81">
            <v>1950</v>
          </cell>
          <cell r="I81">
            <v>487.5</v>
          </cell>
          <cell r="J81" t="str">
            <v>Joy</v>
          </cell>
          <cell r="K81" t="str">
            <v>From Ritika Hatanagdy</v>
          </cell>
          <cell r="N81" t="str">
            <v>2  del of this cycle   -  0-cycles pmnt   Completed - Collect 0</v>
          </cell>
          <cell r="O81" t="e">
            <v>#N/A</v>
          </cell>
          <cell r="P81" t="e">
            <v>#N/A</v>
          </cell>
          <cell r="Q81" t="e">
            <v>#N/A</v>
          </cell>
          <cell r="R81" t="e">
            <v>#N/A</v>
          </cell>
          <cell r="S81" t="str">
            <v>Alstromeria 22     FF Sachet + Grass</v>
          </cell>
          <cell r="T81" t="str">
            <v>O Asiatic ( 14 Inch ) 4     Grass</v>
          </cell>
        </row>
        <row r="82">
          <cell r="A82">
            <v>1899</v>
          </cell>
          <cell r="B82" t="str">
            <v>Hardik Shah</v>
          </cell>
          <cell r="C82">
            <v>9811227080</v>
          </cell>
          <cell r="D82" t="str">
            <v>T-5/1402, Vipul Green</v>
          </cell>
          <cell r="E82" t="str">
            <v>Sohna Road 2</v>
          </cell>
          <cell r="F82" t="str">
            <v>Friday</v>
          </cell>
          <cell r="G82" t="str">
            <v>9 AM - 12 PM</v>
          </cell>
          <cell r="H82">
            <v>4850</v>
          </cell>
          <cell r="I82">
            <v>606.25</v>
          </cell>
          <cell r="J82" t="str">
            <v>Poise</v>
          </cell>
          <cell r="K82" t="str">
            <v>Friday n Sunday (02/04) Shift to Poise after this cycle(22/05) No Poies(28/05) Skip 1 week(13/08) Today Returned(21/08) Today Returned again(26/08) Skip 2 week (18/06) Skip only next delivery (29/07) Hold today n skip 1 week (19/01) Skip 1 week (15/08) Hold for 4 weeks (27/01) Returned today (14/11) Today returned (01/05)</v>
          </cell>
          <cell r="N82" t="str">
            <v>2  del of this cycle   -  1-cycles pmnt   Pending - Collect 4850</v>
          </cell>
          <cell r="O82" t="str">
            <v>P Oriental ( 15 Inch ) 4     Grass</v>
          </cell>
          <cell r="P82" t="str">
            <v>P n Y Spray Daisy ( 14 Inch ) 9     FF Sachet + Grass</v>
          </cell>
          <cell r="Q82" t="str">
            <v>Y Asiatic ( 14 Inch ) 6     Grass</v>
          </cell>
          <cell r="R82" t="e">
            <v>#N/A</v>
          </cell>
          <cell r="S82" t="e">
            <v>#N/A</v>
          </cell>
          <cell r="T82" t="str">
            <v>P n W Glad ( 14 Inch ) 26     Grass</v>
          </cell>
        </row>
        <row r="83">
          <cell r="A83">
            <v>3099</v>
          </cell>
          <cell r="B83" t="str">
            <v>Manisha Mishra</v>
          </cell>
          <cell r="C83">
            <v>9910993142</v>
          </cell>
          <cell r="D83" t="str">
            <v>E-1202, maceo appartmnet, sector 91</v>
          </cell>
          <cell r="E83" t="str">
            <v>Dwarka Expressway</v>
          </cell>
          <cell r="F83" t="str">
            <v>Friday</v>
          </cell>
          <cell r="G83" t="str">
            <v>4 PM to 7 PM</v>
          </cell>
          <cell r="H83">
            <v>1950</v>
          </cell>
          <cell r="I83">
            <v>487.5</v>
          </cell>
          <cell r="J83" t="str">
            <v>Joy</v>
          </cell>
          <cell r="K83" t="str">
            <v>Paytm from Rohit Ahuja</v>
          </cell>
          <cell r="N83" t="str">
            <v>1  del of this cycle   -  1-cycles pmnt   Pending - Collect 1950</v>
          </cell>
          <cell r="O83" t="str">
            <v>Sunflower ( 14 Inch ) 3  Spray Carnation  10   FF Sachet + Grass</v>
          </cell>
          <cell r="P83" t="str">
            <v>Pur Eustom ( 14 Inch ) 2 P n W Glad ( 14 Inch ) 11   FF Sachet + Grass</v>
          </cell>
          <cell r="Q83" t="str">
            <v>P n Y Spray Daisy ( 14 Inch ) 4 Mix Alstroemeria ( 12 Inch ) 11   FF Sachet + Grass</v>
          </cell>
          <cell r="R83" t="str">
            <v>O Asiatic ( 14 Inch ) 2 Pur n P Car ( 14 Inch ) 11   Grass</v>
          </cell>
          <cell r="S83" t="str">
            <v>Asiatic 2 Alstromeria 11   FF Sachet + Grass</v>
          </cell>
          <cell r="T83" t="str">
            <v>Sunflower ( 12 Inch ) 3 P n W Glad ( 14 Inch ) 11   FF Sachet + Grass</v>
          </cell>
        </row>
        <row r="84">
          <cell r="A84">
            <v>2712</v>
          </cell>
          <cell r="B84" t="str">
            <v>Ankita Aeron</v>
          </cell>
          <cell r="C84">
            <v>8860253167</v>
          </cell>
          <cell r="D84" t="str">
            <v>D-701, Shree Vardhman Victoria, Sec 70</v>
          </cell>
          <cell r="E84" t="str">
            <v>Badshahpur</v>
          </cell>
          <cell r="F84" t="str">
            <v>Friday</v>
          </cell>
          <cell r="G84" t="str">
            <v>9:30 Am to 2 PM</v>
          </cell>
          <cell r="H84">
            <v>1450</v>
          </cell>
          <cell r="I84">
            <v>362.5</v>
          </cell>
          <cell r="J84" t="str">
            <v>Bliss</v>
          </cell>
          <cell r="K84" t="str">
            <v>Car Next (27/06) Do not send on 8th and 15th Aug (31/07) Skip 1 week (18/09) Skip 2 week (15/10) Skip 1 week (09/06)</v>
          </cell>
          <cell r="M84" t="str">
            <v>Car Next (27/06)</v>
          </cell>
          <cell r="N84" t="str">
            <v>2  del of this cycle   -  0-cycles pmnt   Completed - Collect 0</v>
          </cell>
          <cell r="O84" t="str">
            <v>O Asiatic ( 15 Inch ) 2 P n W Glad ( 14 Inch ) 7   Grass</v>
          </cell>
          <cell r="P84" t="str">
            <v>Sunflower ( 12 Inch ) 2 Mix Alstroemeria ( 12 Inch ) 7   FF Sachet + Grass</v>
          </cell>
          <cell r="Q84" t="e">
            <v>#N/A</v>
          </cell>
          <cell r="R84" t="str">
            <v xml:space="preserve">P Spray Daisy ( 14 Inch ) 3 Pur n P Car ( 14 Inch ) 7  FF Sachet + Grass </v>
          </cell>
          <cell r="S84" t="str">
            <v>P Asiatic ( 14 Inch ) 2 P n W Glad ( 14 Inch ) 7   Grass</v>
          </cell>
          <cell r="T84" t="str">
            <v>Sunflower ( 12 Inch ) 2 Rajni ( 14 Inch ) 7   FF Sachet + Grass</v>
          </cell>
        </row>
        <row r="85">
          <cell r="A85">
            <v>3109</v>
          </cell>
          <cell r="B85" t="str">
            <v>Dr. Apoorva Batra</v>
          </cell>
          <cell r="C85">
            <v>9896166336</v>
          </cell>
          <cell r="D85" t="str">
            <v>T-40/002, Emaar Emerald Floors Premiers, Sec 65</v>
          </cell>
          <cell r="E85" t="str">
            <v>Badshahpur</v>
          </cell>
          <cell r="F85" t="str">
            <v>Friday</v>
          </cell>
          <cell r="G85" t="str">
            <v>4 Pm to 7 PM</v>
          </cell>
          <cell r="H85">
            <v>999</v>
          </cell>
          <cell r="I85">
            <v>249.75</v>
          </cell>
          <cell r="J85" t="str">
            <v>Delight</v>
          </cell>
          <cell r="K85" t="str">
            <v>HDTNP (22/05) Skip 1 week (11/06) Hold after current cycle (20/06)</v>
          </cell>
          <cell r="N85" t="str">
            <v>4  del of this cycle   -  0-cycles pmnt   Completed - Collect 0</v>
          </cell>
          <cell r="O85" t="str">
            <v>O Asiatic ( 15 Inch ) 2     Grass</v>
          </cell>
          <cell r="P85" t="str">
            <v>P n W Glad ( 14 Inch ) 9     Grass</v>
          </cell>
          <cell r="Q85" t="e">
            <v>#N/A</v>
          </cell>
          <cell r="R85" t="str">
            <v xml:space="preserve">Mix Car 9    FF Sachet + Grass </v>
          </cell>
          <cell r="S85" t="str">
            <v>P Spray Daisy ( 14 Inch ) 3     FF aschet + Grass</v>
          </cell>
          <cell r="T85" t="str">
            <v>P Asiatic ( 14 Inch ) 2     Grass</v>
          </cell>
        </row>
        <row r="86">
          <cell r="A86" t="str">
            <v>M0006</v>
          </cell>
          <cell r="B86" t="str">
            <v>Divya Sabharwal</v>
          </cell>
          <cell r="C86">
            <v>9560068750</v>
          </cell>
          <cell r="D86" t="str">
            <v>Tower 15, flat 1401, Vipul Greens , Sohna Road</v>
          </cell>
          <cell r="E86" t="str">
            <v>Sohna Road 2</v>
          </cell>
          <cell r="F86" t="str">
            <v>Friday</v>
          </cell>
          <cell r="G86" t="str">
            <v>9 AM - 12 PM</v>
          </cell>
          <cell r="H86">
            <v>3950</v>
          </cell>
          <cell r="I86">
            <v>493.75</v>
          </cell>
          <cell r="J86" t="str">
            <v>Grace</v>
          </cell>
          <cell r="K86" t="str">
            <v>Friday n Monday//NO GERBERA-Send replacement tomorrow(14/10)NO ORCHIDS(08/03)) NO ROSE(25/01) ) NO GLAD (20/02)  Pls send out of Asiatic//Oriental//bop//Anthurium//Spray Daisy//Gladioli//Guldawari(13/03)NO ANTHURIUMS)(16/06) Skip 1 week (21/05) Skip 1 week (16/06) Hold today (01/09) Send replacement tom (09/09) Skip 1 week (05/10) Skip 1 week (25/10) Skip 2 week (18/03) Statie next (13/05) Friday n MOnday (01/08) NO Car (30/08) Skip 1 week (19/01) Skip tom (02/02) Hold today  and send rajni on sunday instead of Monday (10/02) Skip friday del (11/03) Skip 1 week (19/03) No Orchids also (26/04) Skip 1 week (05/10) Hold till 9th Nov (24/10) Hold tom (23/11) Hold tom (27/11) Skip friday (02/12) Close bi weekly and start joy Pack (04/12) Skip 1 week (31/01) Skip 1 week (01/02) Return today (20/02) Skip 2 week (010/03)</v>
          </cell>
          <cell r="L86" t="str">
            <v>CAR n Orchid</v>
          </cell>
          <cell r="N86" t="str">
            <v>1  del of this cycle   -  1-cycles pmnt   Pending - Collect 3950</v>
          </cell>
          <cell r="O86" t="e">
            <v>#N/A</v>
          </cell>
          <cell r="P86" t="e">
            <v>#N/A</v>
          </cell>
          <cell r="Q86" t="e">
            <v>#N/A</v>
          </cell>
          <cell r="R86" t="e">
            <v>#N/A</v>
          </cell>
          <cell r="S86" t="e">
            <v>#N/A</v>
          </cell>
          <cell r="T86" t="str">
            <v>P Asiatic ( 14 Inch ) 4     Grass</v>
          </cell>
        </row>
        <row r="87">
          <cell r="A87">
            <v>1970</v>
          </cell>
          <cell r="B87" t="str">
            <v>Neera Dutta</v>
          </cell>
          <cell r="C87">
            <v>9811325497</v>
          </cell>
          <cell r="D87" t="str">
            <v>T-01/402 Vipul Greens</v>
          </cell>
          <cell r="E87" t="str">
            <v>Sohna Road 2</v>
          </cell>
          <cell r="F87" t="str">
            <v>Friday</v>
          </cell>
          <cell r="G87" t="str">
            <v>9 AM - 12 PM</v>
          </cell>
          <cell r="H87">
            <v>1450</v>
          </cell>
          <cell r="I87">
            <v>362.5</v>
          </cell>
          <cell r="J87" t="str">
            <v>Bliss</v>
          </cell>
          <cell r="K87" t="str">
            <v>Skip 7th Oct(01/10) Skip 1 week (25/10) Skip 6th Jan Delivery (29/12) skip 17th n 24th ns sewnd on 28th (03/02) Hold 1 month (08/04) Skip 1 week (28/05) Skip this week and send on Tuesday (08/07) Skip 1 week (15/11) Return today (22/03) Sent replacement today (07/07) Skip 1 week (21/09) Skip 8th Niv (01/11) Skip 2 week (11/01) Return-send after 10th Feb (31/01) Requested for sunday del (11/03) Today returned-send tom (16/03) Skip 1 week (19/08)</v>
          </cell>
          <cell r="N87" t="str">
            <v>1  del of this cycle   -  0-cycles pmnt   Completed - Collect 0</v>
          </cell>
          <cell r="O87" t="e">
            <v>#N/A</v>
          </cell>
          <cell r="P87" t="e">
            <v>#N/A</v>
          </cell>
          <cell r="Q87" t="e">
            <v>#N/A</v>
          </cell>
          <cell r="R87" t="e">
            <v>#N/A</v>
          </cell>
          <cell r="S87" t="e">
            <v>#N/A</v>
          </cell>
          <cell r="T87" t="str">
            <v>Pur n P Car ( 14 Inch ) 16     FF Sachet + Grass</v>
          </cell>
        </row>
        <row r="88">
          <cell r="A88">
            <v>359</v>
          </cell>
          <cell r="B88" t="str">
            <v>Sudipta Karnik</v>
          </cell>
          <cell r="C88">
            <v>9810266546</v>
          </cell>
          <cell r="D88" t="str">
            <v>Tower 4, Flat 6A, Bellevue, Central Park,Sector-48    Sec 48 Gurgoan  122001</v>
          </cell>
          <cell r="E88" t="str">
            <v>Sohna Road 2</v>
          </cell>
          <cell r="F88" t="str">
            <v>Friday</v>
          </cell>
          <cell r="G88" t="str">
            <v>9 AM - 12 PM</v>
          </cell>
          <cell r="H88">
            <v>1950</v>
          </cell>
          <cell r="I88">
            <v>487.5</v>
          </cell>
          <cell r="J88" t="str">
            <v>Joy</v>
          </cell>
          <cell r="K88" t="str">
            <v>Pls send diff flowers in both package(24/07)Pls send only white color flowers other that Rajni till Nov-18(19/10)NO ROSE(20/12) FLOWER FOOD(10/04) Rs.80/- received against Special Pack(13/04) Send 1 pack of spaecial pack(18/05)  ONLY ASIATIC TILL NEXT INSTR(07/06) Return-send tom(29/06) Sent 2 del today with 40 Car(16/09) Return-send tom(30/11) Change day to Friday(22/02) Hold today-sent next week(10/07/20) Today hold-send tom(04/09/20) Gerbera Next(23/09/20) Sending del Tom due to Diwali(11/11) Skip 1 week(09/07) Skip 1 week(15/09) NO HELICONIA(24/12) Holy Change(16/03) Send replacement tom (03/06)</v>
          </cell>
          <cell r="N88" t="str">
            <v>1  del of this cycle   -  1-cycles pmnt   Pending - Collect 1950</v>
          </cell>
          <cell r="O88" t="str">
            <v>Y Orchid  7     FF Sachet + Grass</v>
          </cell>
          <cell r="P88" t="str">
            <v>O Asiatic ( 14 Inch ) 4     Grass</v>
          </cell>
          <cell r="Q88" t="str">
            <v>Sunflower ( 12 Inch ) 5     FF Sachet + Grass</v>
          </cell>
          <cell r="R88" t="str">
            <v>R n P Car ( 14 Inch ) 22     FF sachet + Grass</v>
          </cell>
          <cell r="S88" t="str">
            <v>Mix Alstroemeria 20     FF Sachet + Grass</v>
          </cell>
          <cell r="T88" t="str">
            <v>Baloon Flowers  5     Grass</v>
          </cell>
        </row>
        <row r="89">
          <cell r="A89">
            <v>2066</v>
          </cell>
          <cell r="B89" t="str">
            <v>Shilpi Tibrewal</v>
          </cell>
          <cell r="C89">
            <v>9999103067</v>
          </cell>
          <cell r="D89" t="str">
            <v>Tower-A/3803, Ireo Victory Valley, Sec 67</v>
          </cell>
          <cell r="E89" t="str">
            <v>Badshahpur</v>
          </cell>
          <cell r="F89" t="str">
            <v>Friday</v>
          </cell>
          <cell r="G89" t="str">
            <v>4 Pm to 7 PM</v>
          </cell>
          <cell r="H89">
            <v>1450</v>
          </cell>
          <cell r="I89">
            <v>362.5</v>
          </cell>
          <cell r="J89" t="str">
            <v>Bliss</v>
          </cell>
          <cell r="K89" t="str">
            <v>Either Rose or Car// Normal Flowers (04/05) Sent replacement today (26/08) Return yesterday (17/08) Today returned (25/07)</v>
          </cell>
          <cell r="N89" t="str">
            <v>4  del of this cycle   -  0-cycles pmnt   CompletedNO COLLECTION-we have extra money - Collect -50</v>
          </cell>
          <cell r="O89" t="str">
            <v>R n W Car ( 14 Inch ) 16     FF Sachet + Grass</v>
          </cell>
          <cell r="P89" t="str">
            <v>Pur Eustom ( 14 Inch ) 3     FF Sachet + Grass</v>
          </cell>
          <cell r="Q89" t="str">
            <v>P n Y Spray Daisy ( 14 Inch ) 5     FF Sachet + Grass</v>
          </cell>
          <cell r="R89" t="str">
            <v xml:space="preserve">P n W Glad ( 14 Inch ) 16    Grass </v>
          </cell>
          <cell r="S89" t="str">
            <v>O Asiatic ( 14 Inch ) 3     Grass</v>
          </cell>
          <cell r="T89" t="str">
            <v>Pur n P Car ( 14 Inch ) 16     FF Sachet + Grass</v>
          </cell>
        </row>
        <row r="90">
          <cell r="A90">
            <v>2713</v>
          </cell>
          <cell r="B90" t="str">
            <v>Priyanka Dahiya</v>
          </cell>
          <cell r="C90">
            <v>9818543931</v>
          </cell>
          <cell r="D90" t="str">
            <v>D-804, Ambience Creacions, Rao Gajraj Singh Marg, Sec 22</v>
          </cell>
          <cell r="E90" t="str">
            <v>Old Gurgaon</v>
          </cell>
          <cell r="F90" t="str">
            <v>Friday</v>
          </cell>
          <cell r="G90" t="str">
            <v>4 Pm to 7 PM</v>
          </cell>
          <cell r="H90">
            <v>1450</v>
          </cell>
          <cell r="I90">
            <v>362.5</v>
          </cell>
          <cell r="J90" t="str">
            <v>Bliss</v>
          </cell>
          <cell r="K90" t="str">
            <v>Today Hold and next week too (06/06) Only seasonals (18/07) Paytm From Rahul Chandra (01/11) Pls Send tom (06/02) Skip 2 week (31/05)</v>
          </cell>
          <cell r="M90" t="str">
            <v>Seasonals Only</v>
          </cell>
          <cell r="N90" t="str">
            <v>3  del of this cycle   -  0-cycles pmnt   CompletedNO COLLECTION-we have extra money - Collect -1</v>
          </cell>
          <cell r="O90" t="str">
            <v>R n W Car ( 14 Inch ) 9     FF Sachet + Grass</v>
          </cell>
          <cell r="P90" t="e">
            <v>#N/A</v>
          </cell>
          <cell r="Q90" t="e">
            <v>#N/A</v>
          </cell>
          <cell r="R90" t="str">
            <v xml:space="preserve">P Asiatic ( 14 Inch ) 3  ensure collection  Pese Na  Mile To Call Karna  Grass </v>
          </cell>
          <cell r="S90" t="str">
            <v>P n W Glad ( 14 Inch ) 16     Grass</v>
          </cell>
          <cell r="T90" t="str">
            <v>Sunflower ( 12 Inch ) 4     FF Sachet + Grass</v>
          </cell>
        </row>
        <row r="91">
          <cell r="A91">
            <v>2311</v>
          </cell>
          <cell r="B91" t="str">
            <v>Ranjeeta Sanghvi</v>
          </cell>
          <cell r="C91">
            <v>9986593206</v>
          </cell>
          <cell r="D91" t="str">
            <v>T-3/TH-B, Bellevue. Central Park 2</v>
          </cell>
          <cell r="E91" t="str">
            <v>Sohna Road 2</v>
          </cell>
          <cell r="F91" t="str">
            <v>Friday</v>
          </cell>
          <cell r="G91" t="str">
            <v>9 AM - 12 PM</v>
          </cell>
          <cell r="H91">
            <v>1450</v>
          </cell>
          <cell r="I91">
            <v>362.5</v>
          </cell>
          <cell r="J91" t="str">
            <v>Bliss</v>
          </cell>
          <cell r="N91" t="str">
            <v>3  del of this cycle   -  0-cycles pmnt   Completed - Collect 0</v>
          </cell>
          <cell r="O91" t="str">
            <v>Mix Alstroemeria ( 12 Inch ) 9     FF Sachet + Grass</v>
          </cell>
          <cell r="P91" t="str">
            <v>P n W Glad ( 14 Inch ) 9     Grass</v>
          </cell>
          <cell r="Q91" t="str">
            <v>Pur n P Car ( 14 Inch ) 9     FF Sachet + Grass</v>
          </cell>
          <cell r="R91" t="str">
            <v xml:space="preserve">O Asiatic ( 14 Inch ) 3    Grass </v>
          </cell>
          <cell r="S91" t="str">
            <v>Pur Eustoma ( 12 Inch ) 3     FF sachet + Grass</v>
          </cell>
          <cell r="T91" t="str">
            <v>Sunflower ( 12 Inch ) 4     FF Sachet + Grass</v>
          </cell>
        </row>
        <row r="92">
          <cell r="A92">
            <v>3013</v>
          </cell>
          <cell r="B92" t="str">
            <v>Surabhi Sukriti</v>
          </cell>
          <cell r="C92">
            <v>8652750573</v>
          </cell>
          <cell r="D92" t="str">
            <v>D-804, Bestech Park Viw Spa Next, Sec 67</v>
          </cell>
          <cell r="E92" t="str">
            <v>Badshahpur</v>
          </cell>
          <cell r="F92" t="str">
            <v>Friday</v>
          </cell>
          <cell r="G92" t="str">
            <v>4 PM to 7 PM</v>
          </cell>
          <cell r="H92">
            <v>1450</v>
          </cell>
          <cell r="I92">
            <v>362.5</v>
          </cell>
          <cell r="J92" t="str">
            <v>Bliss</v>
          </cell>
          <cell r="K92" t="str">
            <v>Skip 1 week (01/10) Add changed (05/04) Today Hold (26/06)</v>
          </cell>
          <cell r="N92" t="str">
            <v>1  del of this cycle   -  1-cycles pmnt   Pending - Collect 1450</v>
          </cell>
          <cell r="O92" t="str">
            <v>O Asiatic ( 15 Inch ) 2 Mix Alstroemeria ( 12 Inch )  7   Grass</v>
          </cell>
          <cell r="P92" t="str">
            <v>P Spray Daisy ( 14 Inch ) 3 P n W Glad ( 14 Inch ) 7   FF Sachet + Grass</v>
          </cell>
          <cell r="Q92" t="str">
            <v>Pur Eustoma ( 12 Inch ) 2 Pur n P Car ( 14 Inch ) 7   FF Sachet + Grass</v>
          </cell>
          <cell r="R92" t="str">
            <v xml:space="preserve">Sunflower ( 12 Inch ) 2 Mix Alstroemeria (  12 Inch ) 7  FF Sachet + Grass </v>
          </cell>
          <cell r="S92" t="str">
            <v>P Asiatic ( 14 Inch ) 2 Glad ( 14 Inch ) 7   Grass</v>
          </cell>
          <cell r="T92" t="str">
            <v>G Spray Daisy ( 14 Inch ) 3 P n W Car ( 14 Inch ) 7   FF Sachet + Grass</v>
          </cell>
        </row>
        <row r="93">
          <cell r="A93">
            <v>628</v>
          </cell>
          <cell r="B93" t="str">
            <v>Parul Hazel</v>
          </cell>
          <cell r="C93">
            <v>9873675242</v>
          </cell>
          <cell r="D93" t="str">
            <v>E-1202, Palm Drive</v>
          </cell>
          <cell r="E93" t="str">
            <v>Badshahpur</v>
          </cell>
          <cell r="F93" t="str">
            <v>Friday</v>
          </cell>
          <cell r="G93" t="str">
            <v>9 AM - 12 PM</v>
          </cell>
          <cell r="H93">
            <v>1450</v>
          </cell>
          <cell r="I93">
            <v>362.5</v>
          </cell>
          <cell r="J93" t="str">
            <v>Bliss</v>
          </cell>
          <cell r="K93" t="str">
            <v>Send vase replacement tomorrow(27/10) Skip 1 week(27/12) Return-send next week(27/01)Skip 1 week(07/02) Rose next time(26/02) 1 stick extra next week(09/03) Skip 1 week(20/03) Send 1 stick extra in next del(18/05) Today hold n skip 1 week(25/05) Skip 2 week(14/06) Inform Before Sending(01/07) Send 2 pack of FF tom(19/07) Today hold-send tom(21/10) return-send on Thursday(26/10) Rajni Next(21/12) Hold -send on Monday(28/12) Skip 1 week(09/03) Rajni Next(28/01) Rajni tom(28/02) Pls send Mix of Spray daisy + Rajni and send tom only this week(04/03) Skiped 1 week due to HOLI(29/03) Skip 1 week(17/08) Rajni/Rose next(12/10) Send rajni Tom(30/10) Skip 1 week(19/12) Skip 1 week(12/03) Sewnt a replacement today(17/04) Skip 1 we Hold today (29/03)ek(01/06) Skip 2 Weeks(23/06) Skip 1 week(28/07) Skip 1 week (22/12) Skip 2 weeks (01/01/23) Skip 1 week (13/04) Send on sunday this week (14/04) Send 1 delivery tom (19/06)] Skip 1 week (28/09) Skip 1 week (10/04) Send Replacement tom (10/01) Skip 1 week (20/01) Skip friday n send on monday this week (26/06) Send thsi week flowers on monday (14/08) Skip 1 week (16/12) skip tom and send on 28th (17/03) Hold today and check next week before sending (22/05)</v>
          </cell>
          <cell r="N93" t="str">
            <v>3  del of this cycle   -  0-cycles pmnt   Completed - Collect 0</v>
          </cell>
          <cell r="O93" t="str">
            <v>O Asiatic ( 15 Inch ) 3     Grass</v>
          </cell>
          <cell r="P93" t="str">
            <v>P n W Glad ( 14 Inch ) 16     Grass</v>
          </cell>
          <cell r="Q93" t="str">
            <v>P n Y Spray Daisy ( 14 Inch ) 5     FF Sachet + Grass</v>
          </cell>
          <cell r="R93" t="str">
            <v xml:space="preserve">R n P Car ( 14 Inch ) 16    FF Sachet + Grass </v>
          </cell>
          <cell r="S93" t="str">
            <v>Pur Eustoma ( 12 Inch ) 3     FF sachet + Grass</v>
          </cell>
          <cell r="T93" t="str">
            <v>Sunflower ( 12 Inch ) 4     FF Sachet + Grass</v>
          </cell>
        </row>
        <row r="94">
          <cell r="A94">
            <v>113</v>
          </cell>
          <cell r="B94" t="str">
            <v>Subhadra Chatterjee</v>
          </cell>
          <cell r="C94">
            <v>8826368500</v>
          </cell>
          <cell r="D94" t="str">
            <v>Tower -E, Flat 10B, Central Park Resort</v>
          </cell>
          <cell r="E94" t="str">
            <v>Sohna Road 2</v>
          </cell>
          <cell r="F94" t="str">
            <v>Friday</v>
          </cell>
          <cell r="G94" t="str">
            <v>9 AM - 12 PM</v>
          </cell>
          <cell r="H94">
            <v>1950</v>
          </cell>
          <cell r="I94">
            <v>487.5</v>
          </cell>
          <cell r="J94" t="str">
            <v>Joy</v>
          </cell>
          <cell r="K94" t="str">
            <v>Friday n Monday//NO GLAD EVER(12/11)  Rajni and Orchid Half Half next(13/12)  Send Orchid and Rajni OR Rose/Lilies/Rajni Next(24/12) PLEASE SEND ORCHID/LILIES/RAJNI/ROSE this cycle(26/12)  Pls send Rose/Rajni and Lilies in coming cycle too(19/01)Gpay from Saunak Ghosh(23/12) Now Asiatic and Rose and no orange asiatic and only pink, yellow and whitte rose only OR White, Pink or blue orchids(14/01) Asiatic and Orchids Next(16/02) P n Y Asiatic Next(23/02) Asiatic n Rajni next(13/03) Send this cycle on monday only(25/03) Orchid n Rajni now(28/03) Spray Daisy and Rajni(11/04) Hold Till 30th June(15/06) Hold till 17th Aug(08/08) Orchid with Lily or Car(19/08) Car/Rose/Gerbera/Anthurium/Orchid/Guldawari and rajni(30/08)  After tom no del till 26th (17/10) NO RED ROSE(14/11) Hold till 10th Jan (29/12) Skip 1 week (02/02) Skip1 week (16/03) Hold today n send on sunday (19/05) Hold till 10th Oct (04/10) Hold till 15th Jan (20/12) Hold till 1st April (06/03) Hold till 20th June (20/05) Hold till 16th Oct (07/10) Return today n hold (03/01) Skip from 20th to 30th Matr (11/03) Hold till 7th JUly (19/06) Hold due to non payment (10/10) Hold n start from 26th (14/10) Hold due to non payment (26/12) No Red Rose (30/12) Hold till 16th Jan (08/01) HDTNP (13/03) Hold till 4th Apr (25/03) Hold till 12th JUne (04/06)</v>
          </cell>
          <cell r="L94" t="str">
            <v>GULDAWARI n ROSE</v>
          </cell>
          <cell r="N94" t="str">
            <v>3  del of this cycle   -  0-cycles pmnt   Completed - Collect 0</v>
          </cell>
          <cell r="O94" t="str">
            <v>Y Orchid  7     FF Sachet + Grass</v>
          </cell>
          <cell r="P94" t="e">
            <v>#N/A</v>
          </cell>
          <cell r="Q94" t="e">
            <v>#N/A</v>
          </cell>
          <cell r="R94" t="str">
            <v>B Orchid  7     FF sachet + Grass</v>
          </cell>
          <cell r="S94" t="str">
            <v>O Asiatic ( 14 Inch ) 4     Grass</v>
          </cell>
          <cell r="T94" t="str">
            <v>Baloon Flowers  5     FF Sachet + Grass</v>
          </cell>
        </row>
        <row r="95">
          <cell r="A95">
            <v>3338</v>
          </cell>
          <cell r="B95" t="str">
            <v>Richa Khullar</v>
          </cell>
          <cell r="C95">
            <v>9871797835</v>
          </cell>
          <cell r="D95" t="str">
            <v>A3/1101, Tulip Yellow</v>
          </cell>
          <cell r="E95" t="str">
            <v>Badshahpur</v>
          </cell>
          <cell r="F95" t="str">
            <v>Friday</v>
          </cell>
          <cell r="G95" t="str">
            <v>4 Pm to 7 PM</v>
          </cell>
          <cell r="H95">
            <v>1450</v>
          </cell>
          <cell r="I95">
            <v>362.5</v>
          </cell>
          <cell r="J95" t="str">
            <v>Bliss</v>
          </cell>
          <cell r="K95" t="str">
            <v>Love Alstroemeria  // Skip 1 week (16/06)</v>
          </cell>
          <cell r="N95" t="str">
            <v>2  del of this cycle   -  1-cycles pmnt   Pending - Collect 1450</v>
          </cell>
          <cell r="O95" t="str">
            <v>R n W Car ( 14 Inch ) 16     FF Sachet + Grass</v>
          </cell>
          <cell r="P95" t="str">
            <v>O Asiatic ( 14 Inch ) 3     Grass</v>
          </cell>
          <cell r="Q95" t="str">
            <v>P n W Spray Daisy ( 14 Inch ) 5     FF Sachet + Grass</v>
          </cell>
          <cell r="R95" t="e">
            <v>#N/A</v>
          </cell>
          <cell r="S95" t="str">
            <v>P n W Glad ( 14 Inch ) 16     Grass</v>
          </cell>
          <cell r="T95" t="str">
            <v>Sunflower ( 12 Inch ) 4     FF Sachet + Grass</v>
          </cell>
        </row>
        <row r="96">
          <cell r="A96">
            <v>43</v>
          </cell>
          <cell r="B96" t="str">
            <v>Ms. Arpita Bhargava</v>
          </cell>
          <cell r="C96">
            <v>9953515520</v>
          </cell>
          <cell r="D96" t="str">
            <v>T-4/1701,Tata Primanty,Sector-72</v>
          </cell>
          <cell r="E96" t="str">
            <v>Sohna Road 2</v>
          </cell>
          <cell r="F96" t="str">
            <v>Friday</v>
          </cell>
          <cell r="G96" t="str">
            <v>9 AM - 12 PM</v>
          </cell>
          <cell r="H96">
            <v>1450</v>
          </cell>
          <cell r="I96">
            <v>362.5</v>
          </cell>
          <cell r="J96" t="str">
            <v>Bliss</v>
          </cell>
          <cell r="K96" t="str">
            <v xml:space="preserve"> NO ROSES(28/12) Prefer Glad and Daisy(11/01)  NO ORCHIDS(31/05)  MORE CHRYSANTHEMUM , GLADIOLI NO ROSE AND ORCHIDS(26/12) Return-send Tom(17/01) NO ORCHIDS OR LILIES, ONLY 15 STICKS(31/07/20)  NO GUldawari now in this season--sent replacement today(12/03)   Holy Change(16/03) Flower F Next(13/05) NO RAJNI N GERBERA(21/07) Skip 1 week (29/10) Send 1 stem extra next (23/12) NO GERBERA n ROSE (14/01) REturn today (10/03) Returnb-send next week (30/06) Today return-send next week (07/07) Skip 2 weeks (27/12) Skip 1 week (26/03) Skip 1 week (25/09) Hold send next week (03/10) Returned today (07/11) Today hold (21/11) Today returned (28/11) Skip 2 week (18/12) Replacement tom (17/04)</v>
          </cell>
          <cell r="L96" t="str">
            <v>GERBERA n ROSE</v>
          </cell>
          <cell r="N96" t="str">
            <v>1  del of this cycle   -  1-cycles pmnt   Pending - Collect 451</v>
          </cell>
          <cell r="O96" t="str">
            <v>P Asiatic ( 15 Inch ) 2     Grass</v>
          </cell>
          <cell r="P96" t="str">
            <v>P n W Car ( 14 Inch ) 9     FF Sachet + Grass</v>
          </cell>
          <cell r="Q96" t="str">
            <v>Mix Alstroemeria ( 12 Inch ) 9     FF Sachet + Grass</v>
          </cell>
          <cell r="R96" t="str">
            <v xml:space="preserve">P n W Glad ( 14 Inch ) 9    Grass </v>
          </cell>
          <cell r="S96" t="str">
            <v>Y Spray Daisy ( 14 Inch ) 3     FF aschet + Grass</v>
          </cell>
          <cell r="T96" t="str">
            <v>Pur n P Car ( 14 Inch ) 16     FF Sachet + Grass</v>
          </cell>
        </row>
        <row r="97">
          <cell r="A97">
            <v>1433</v>
          </cell>
          <cell r="B97" t="str">
            <v>Navritu Kaushal Rai-- After 5:30 PM</v>
          </cell>
          <cell r="C97">
            <v>9818603355</v>
          </cell>
          <cell r="D97" t="str">
            <v>H. No. 3403, 1st Floor, Sec 23</v>
          </cell>
          <cell r="E97" t="str">
            <v>Old Gurgaon</v>
          </cell>
          <cell r="F97" t="str">
            <v>Friday</v>
          </cell>
          <cell r="G97" t="str">
            <v>4 PM to 7PM</v>
          </cell>
          <cell r="H97">
            <v>1450</v>
          </cell>
          <cell r="I97">
            <v>362.5</v>
          </cell>
          <cell r="J97" t="str">
            <v>Bliss</v>
          </cell>
          <cell r="K97" t="str">
            <v>Friday and Monday//Monday and Thursday// NO WHITE FLOWERS OTHER THAN RAJNI(10/04) BOP//Glad ( No White)// Orchid//Spray Daisy//Carnations//Rajni-- No white flower other than Rajni(26/07) This cycle-- BOP/Spray Daisy/Car/Glad/Rose(29/08) Hold today (28/10) NO ROSE-- NO WHITE COLOR(03/12) NO ROSE n GERBERA ---- And send 3 stems extra in next delivery (30/12) Now Delight (15/02) Do Not count last Del (17/04) Send tom ()6/02) Send Replacement tom (18/04)</v>
          </cell>
          <cell r="L97" t="str">
            <v>Lily</v>
          </cell>
          <cell r="M97" t="str">
            <v>No White</v>
          </cell>
          <cell r="N97" t="str">
            <v>1  del of this cycle   -  1-cycles pmnt   Pending - Collect 1450</v>
          </cell>
          <cell r="O97" t="str">
            <v>P n W Glad ( 14 Inch ) 9     Grass</v>
          </cell>
          <cell r="P97" t="str">
            <v>P Spray Daisy ( 14 Inch ) 3     FF Sachet + Grass</v>
          </cell>
          <cell r="Q97" t="str">
            <v>Pur n P Car ( 14 Inch ) 9     FF Sachet + Grass</v>
          </cell>
          <cell r="R97" t="str">
            <v xml:space="preserve">Mix Alstroemeria ( 12 Inch ) 9    FF Sachet + Grass </v>
          </cell>
          <cell r="S97" t="str">
            <v>Pur Eustoma ( 12 Inch ) 2     FF aschet + Grass</v>
          </cell>
          <cell r="T97" t="str">
            <v>P n W Glad ( 14 Inch ) 16     Grass</v>
          </cell>
        </row>
        <row r="98">
          <cell r="A98">
            <v>3397</v>
          </cell>
          <cell r="B98" t="str">
            <v>Sunita Dogra</v>
          </cell>
          <cell r="C98">
            <v>9810520716</v>
          </cell>
          <cell r="D98" t="str">
            <v>K-1431, K Block, Palam Vihar</v>
          </cell>
          <cell r="E98" t="str">
            <v>Old Gurgaon</v>
          </cell>
          <cell r="F98" t="str">
            <v>Friday</v>
          </cell>
          <cell r="G98" t="str">
            <v>4 PM to 7PM</v>
          </cell>
          <cell r="H98">
            <v>1450</v>
          </cell>
          <cell r="I98">
            <v>362.5</v>
          </cell>
          <cell r="J98" t="str">
            <v>Bliss</v>
          </cell>
          <cell r="N98" t="str">
            <v>1  del of this cycle   -  1-cycles pmnt   Pending - Collect 1450</v>
          </cell>
          <cell r="O98" t="e">
            <v>#N/A</v>
          </cell>
          <cell r="P98" t="e">
            <v>#N/A</v>
          </cell>
          <cell r="Q98" t="e">
            <v>#N/A</v>
          </cell>
          <cell r="R98" t="e">
            <v>#N/A</v>
          </cell>
          <cell r="S98" t="e">
            <v>#N/A</v>
          </cell>
          <cell r="T98" t="str">
            <v>Pur n P Car ( 14 Inch ) 16     FF Sachet + Grass</v>
          </cell>
        </row>
        <row r="99">
          <cell r="A99">
            <v>3119</v>
          </cell>
          <cell r="B99" t="str">
            <v>Rachna Prasad</v>
          </cell>
          <cell r="C99">
            <v>9811106435</v>
          </cell>
          <cell r="D99" t="str">
            <v>N-3/202, Paras Irene Appartments, Sec 70 A</v>
          </cell>
          <cell r="E99" t="str">
            <v>Badshahpur</v>
          </cell>
          <cell r="F99" t="str">
            <v>Friday</v>
          </cell>
          <cell r="G99" t="str">
            <v>4 Pm to 7 PM</v>
          </cell>
          <cell r="H99">
            <v>1450</v>
          </cell>
          <cell r="I99">
            <v>362.5</v>
          </cell>
          <cell r="J99" t="str">
            <v>Bliss</v>
          </cell>
          <cell r="K99" t="str">
            <v>1000 cash and 450 via paytm (01/11) This week send on Sunday (09/02) Paytm From Outside Edge (28/02) Replacement tom (09/03)</v>
          </cell>
          <cell r="M99" t="str">
            <v>No Flowers on 13th -send on 15th Feb (09/02)</v>
          </cell>
          <cell r="N99" t="str">
            <v>4  del of this cycle   -  0-cycles pmnt   Completed - Collect 0</v>
          </cell>
          <cell r="O99" t="str">
            <v>O Asiatic ( 15 Inch ) 2 Mix Alstroemeria ( 12 Inch )  7   Grass</v>
          </cell>
          <cell r="P99" t="str">
            <v>Y Spray Daisy ( 14 Inch ) 3 P n W Glad ( 14 Inch ) 7   FF Sachet + Grass</v>
          </cell>
          <cell r="Q99" t="str">
            <v>Sunflower ( 12 Inch ) 2 Pur n P Car ( 14 Inch ) 7   FF Sachet + Grass</v>
          </cell>
          <cell r="R99" t="str">
            <v xml:space="preserve">Pur Eustom ( 12 Inch ) 2 Mix Alstroemeria (  12 Inch ) 7  FF Sachet + Grass </v>
          </cell>
          <cell r="S99" t="str">
            <v>P Asiatic ( 14 Inch ) 2 Glad ( 14 Inch ) 7   Grass</v>
          </cell>
          <cell r="T99" t="str">
            <v>Sunflower ( 12 Inch ) 2 P n W Car ( 14 Inch ) 7   FF Sachet + Grass</v>
          </cell>
        </row>
        <row r="100">
          <cell r="A100">
            <v>2858</v>
          </cell>
          <cell r="B100" t="str">
            <v>Devika Tandon</v>
          </cell>
          <cell r="C100">
            <v>8527991304</v>
          </cell>
          <cell r="D100" t="str">
            <v>A-293, AIPL The Peaceful Homes</v>
          </cell>
          <cell r="E100" t="str">
            <v>Badshahpur</v>
          </cell>
          <cell r="F100" t="str">
            <v>Friday</v>
          </cell>
          <cell r="G100" t="str">
            <v>4 PM to 7PM</v>
          </cell>
          <cell r="H100">
            <v>1450</v>
          </cell>
          <cell r="I100">
            <v>362.5</v>
          </cell>
          <cell r="J100" t="str">
            <v>Bliss</v>
          </cell>
          <cell r="N100" t="str">
            <v>3  del of this cycle   -  0-cycles pmnt   Completed - Collect 0</v>
          </cell>
          <cell r="O100" t="str">
            <v>O Asiatic ( 15 Inch ) 3     Grass</v>
          </cell>
          <cell r="P100" t="str">
            <v>P n W Glad ( 14 Inch ) 16     Grass</v>
          </cell>
          <cell r="Q100" t="str">
            <v>P n Y Spray Daisy ( 14 Inch ) 5     FF Sachet + Grass</v>
          </cell>
          <cell r="R100" t="str">
            <v xml:space="preserve">P Eustoma ( 12 Inch ) 3    FF Sachet + Grass </v>
          </cell>
          <cell r="S100" t="str">
            <v>P n W Car ( 14 Inch ) 16     FF sachet + Grass</v>
          </cell>
          <cell r="T100" t="str">
            <v>W Asiatic ( 14 Inch ) 3     Grass</v>
          </cell>
        </row>
        <row r="101">
          <cell r="A101">
            <v>3368</v>
          </cell>
          <cell r="B101" t="str">
            <v>Sugandha Goyal</v>
          </cell>
          <cell r="C101">
            <v>9971681194</v>
          </cell>
          <cell r="D101" t="str">
            <v>T-15/3C, Central Park Resorts</v>
          </cell>
          <cell r="E101" t="str">
            <v>Sohna Road 2</v>
          </cell>
          <cell r="F101" t="str">
            <v>Monday</v>
          </cell>
          <cell r="G101" t="str">
            <v>9 AM - 12 PM</v>
          </cell>
          <cell r="H101">
            <v>2300</v>
          </cell>
          <cell r="I101">
            <v>287.5</v>
          </cell>
          <cell r="J101" t="str">
            <v>Felicity</v>
          </cell>
          <cell r="K101" t="str">
            <v>HDTNP (26/06)</v>
          </cell>
          <cell r="N101" t="str">
            <v>5  del of this cycle   -  0-cycles pmnt   Completed - Collect 0</v>
          </cell>
          <cell r="O101" t="str">
            <v>O Asiatic ( 15 Inch ) 2     Grass</v>
          </cell>
          <cell r="P101" t="str">
            <v>P Spray Daisy ( 14 Inch ) 3     FF Sachet + Grass</v>
          </cell>
          <cell r="Q101" t="str">
            <v>Mix Alstroemeria ( 12 Inch ) 11     FF Sachet + Grass</v>
          </cell>
          <cell r="R101" t="str">
            <v>P Asiatic ( 14 Inch ) 2     Grass</v>
          </cell>
          <cell r="S101" t="e">
            <v>#N/A</v>
          </cell>
          <cell r="T101" t="str">
            <v>Sunflower ( 12 Inch ) 3     FF Sachet + Grass</v>
          </cell>
        </row>
        <row r="102">
          <cell r="A102">
            <v>2519</v>
          </cell>
          <cell r="B102" t="str">
            <v>Radhika Marwah</v>
          </cell>
          <cell r="C102">
            <v>9972167341</v>
          </cell>
          <cell r="D102" t="str">
            <v>F-501, Mapsko Mountville, Sec 79</v>
          </cell>
          <cell r="E102" t="str">
            <v>Badshahpur</v>
          </cell>
          <cell r="F102" t="str">
            <v>Friday</v>
          </cell>
          <cell r="G102" t="str">
            <v>4 Pm to 7 PM</v>
          </cell>
          <cell r="H102">
            <v>1450</v>
          </cell>
          <cell r="I102">
            <v>362.5</v>
          </cell>
          <cell r="J102" t="str">
            <v>Bliss</v>
          </cell>
          <cell r="K102" t="str">
            <v>Hold till 2nd July (07/06)</v>
          </cell>
          <cell r="N102" t="str">
            <v>1  del of this cycle   -  1-cycles pmnt   Pending - Collect 1450</v>
          </cell>
          <cell r="O102" t="str">
            <v>P Asiatic ( 15 Inch ) 2 Mix Alstroemeria ( 12 Inch )  7   Grass</v>
          </cell>
          <cell r="P102" t="str">
            <v>Pur Eustom ( 14 Inch ) 2 P n W Glad ( 14 Inch ) 7   FF Sachet + Grass</v>
          </cell>
          <cell r="Q102" t="e">
            <v>#N/A</v>
          </cell>
          <cell r="R102" t="e">
            <v>#N/A</v>
          </cell>
          <cell r="S102" t="e">
            <v>#N/A</v>
          </cell>
          <cell r="T102" t="str">
            <v>Sunflower ( 12 Inch ) 2 Pur n P Car ( 14 Inch ) 7   FF Sachet + Grass</v>
          </cell>
        </row>
        <row r="103">
          <cell r="A103">
            <v>2806</v>
          </cell>
          <cell r="B103" t="str">
            <v>Anubhi</v>
          </cell>
          <cell r="C103">
            <v>8800423311</v>
          </cell>
          <cell r="D103" t="str">
            <v>T-10/6C, Central Park Resort</v>
          </cell>
          <cell r="E103" t="str">
            <v>Sohna Road 2</v>
          </cell>
          <cell r="F103" t="str">
            <v>Friday</v>
          </cell>
          <cell r="G103" t="str">
            <v>9 AM to 2 PM</v>
          </cell>
          <cell r="H103">
            <v>1450</v>
          </cell>
          <cell r="I103">
            <v>362.5</v>
          </cell>
          <cell r="J103" t="str">
            <v>Bliss</v>
          </cell>
          <cell r="K103" t="str">
            <v>1st del tom n then every Friday and Never Roses (19/07) Hold due to non payment (23/01) Start from Mar (12/02) HDTNP (13/03)</v>
          </cell>
          <cell r="L103" t="str">
            <v>Rose</v>
          </cell>
          <cell r="N103" t="str">
            <v>1  del of this cycle   -  1-cycles pmnt   Pending - Collect 1450</v>
          </cell>
          <cell r="O103" t="str">
            <v>O Asiatic ( 15 Inch ) 2     Grass</v>
          </cell>
          <cell r="P103" t="e">
            <v>#N/A</v>
          </cell>
          <cell r="Q103" t="e">
            <v>#N/A</v>
          </cell>
          <cell r="R103" t="e">
            <v>#N/A</v>
          </cell>
          <cell r="S103" t="e">
            <v>#N/A</v>
          </cell>
          <cell r="T103" t="str">
            <v>Pur n P Car ( 14 Inch ) 16     FF Sachet + Grass</v>
          </cell>
        </row>
        <row r="104">
          <cell r="A104">
            <v>2674</v>
          </cell>
          <cell r="B104" t="str">
            <v>Jaspreet Dhillon</v>
          </cell>
          <cell r="C104">
            <v>9971159399</v>
          </cell>
          <cell r="D104" t="str">
            <v>T-2/204, Uniworld Garden -1</v>
          </cell>
          <cell r="E104" t="str">
            <v>Sohna Road 1</v>
          </cell>
          <cell r="F104" t="str">
            <v>Friday</v>
          </cell>
          <cell r="G104" t="str">
            <v>9 AM - 12 PM</v>
          </cell>
          <cell r="H104">
            <v>999</v>
          </cell>
          <cell r="I104">
            <v>249.75</v>
          </cell>
          <cell r="J104" t="str">
            <v>Delight</v>
          </cell>
          <cell r="K104" t="str">
            <v>Send a message on Sunday to start // Start next cycle from Friday (19/09) Today Returned (26/09) No Sunflower (08/11) Hold today (28/11) Hold tom (11/12) Skip 1 week (16/12) Skip 1 week (11/01) Hold due to non payment (30/01 Hold due to non payment (06/02) Hold due to non payment (13/02) HDTNP (20/02) Skip 1 week (02/04) Skip 1 week (23/04) HDTNP (08/05) Skip 1 week (17/05)</v>
          </cell>
          <cell r="L104" t="str">
            <v>Sunflower</v>
          </cell>
          <cell r="N104" t="str">
            <v>4  del of this cycle   -  0-cycles pmnt   Completed - Collect 0</v>
          </cell>
          <cell r="O104" t="str">
            <v>P n W Glad ( 14 Inch ) 9     Grass</v>
          </cell>
          <cell r="P104" t="str">
            <v>P Asiatic ( 14 Inch ) 2     Grass</v>
          </cell>
          <cell r="Q104" t="str">
            <v>Mix Alstroemeria ( 12 Inch ) 9     FF Sachet + Grass</v>
          </cell>
          <cell r="R104" t="str">
            <v xml:space="preserve">P Spray Daisy ( 14 Inch ) 3    FF Sachet + Grass </v>
          </cell>
          <cell r="S104" t="str">
            <v>Pur Eustoma ( 12 Inch ) 9     FF aschet + Grass</v>
          </cell>
          <cell r="T104" t="str">
            <v>Pur n P Car ( 14 Inch ) 9     FF Sachet + Grass</v>
          </cell>
        </row>
        <row r="105">
          <cell r="A105">
            <v>139</v>
          </cell>
          <cell r="B105" t="str">
            <v>Mr. Pramod Narula 2</v>
          </cell>
          <cell r="C105">
            <v>9899048440</v>
          </cell>
          <cell r="D105" t="str">
            <v>Ww-57, Ground floor, Malibu Town, Sohna Road    Sohna Road Gurgaon  </v>
          </cell>
          <cell r="E105" t="str">
            <v>Sohna Road 1</v>
          </cell>
          <cell r="F105" t="str">
            <v>Friday</v>
          </cell>
          <cell r="G105" t="str">
            <v>9 AM - 12 PM</v>
          </cell>
          <cell r="H105">
            <v>4750</v>
          </cell>
          <cell r="I105">
            <v>1187.5</v>
          </cell>
          <cell r="J105" t="str">
            <v>Enchantment</v>
          </cell>
          <cell r="K105" t="str">
            <v>3 Stick extra in next del(31/08)Send this Tuesday n then Saturday(07/09)Send on 6th This week(05/11)  Today return-send next week(25/01) Send replacement of Daisy(01/02) Send always on Friday(17/03) Rs.240/- Received today against special pack(12/04) Long stick always(26/04) Flower food next(31/05) NO GERBERA(14/06) Send 1 stick extra next(16/08) 2 Stick extra next(23/08) Send extra flower(20/09) NO GERBERA N NO BOP(11/10) Collect Payment(29/02) Send replacement(11/08/20) Hold for 2 weeks and confirm before sending(19/09/20) Skip 1 more week(08/10/20) Sending Del tom due to Diwali(11/11) No Lily and Sunflower(04/07) Upgrade to 4000 and increase 6 more sticks(01/10) Send 2nd Del on 4th(27/10) Send 5th Del on 4th(29/10) Send remaining flowers(19/11) Hold today and skip 1 week(10/12) Skip 1 week(24/02)  Holy Change(16/03) Hold today--send on sunday (22/12) Hold today n send on Monday (20/12) Skip 1 week (02/01) Skip 1 week (11/03) Hold n start after 5th June (04/05) Send flowers on sunday (16/10) Skip 1 week (18/12) Send on Wednesday instead of Friday this week (22/12) No Lilies (07/05)</v>
          </cell>
          <cell r="L105" t="str">
            <v>lilies n Glad</v>
          </cell>
          <cell r="N105" t="str">
            <v>1  del of this cycle   -  1-cycles pmnt   Pending - Collect 4750</v>
          </cell>
          <cell r="O105" t="str">
            <v>Sunflower ( 14 Inch ) 6 R n W Car ( 14 Inch ) 18 Mix Alstroemeria ( 12 Inch ) 18 FF Sachet + Grass</v>
          </cell>
          <cell r="P105" t="str">
            <v>P n Y Spray Daisy ( 14 Inch ) 10 P n W Glad ( 14 Inch ) 18 P n W Car ( 14 Inch ) 18 Grass</v>
          </cell>
          <cell r="Q105" t="str">
            <v>W Asiatic ( 14 inch ) 6 Mix Alstroemeria ( 12 Inch ) 18 Pur n P Car ( 14 Inch ) 18 Grass</v>
          </cell>
          <cell r="R105" t="str">
            <v>Sunflower ( 12 Inch ) 6 P n W Glad ( 14 Inch ) 18 Rajni ( 14 Inch ) 18 Grass</v>
          </cell>
          <cell r="S105" t="str">
            <v>P n W Spray Daisy 8 P n W Car ( 14 Inch ) 18 Glad ( 14 Inch ) 18 Grass</v>
          </cell>
          <cell r="T105" t="str">
            <v>O Asiatic ( 14 Inch ) 6 Rajni ( 14 Inch ) 18 Pur n P Car ( 14 Inch ) 18 Grass</v>
          </cell>
        </row>
        <row r="106">
          <cell r="A106">
            <v>3391</v>
          </cell>
          <cell r="B106" t="str">
            <v>Prabudh Vaidya</v>
          </cell>
          <cell r="C106">
            <v>9013524554</v>
          </cell>
          <cell r="D106" t="str">
            <v>T-B/503, Shree Vardhman Mantra, Sec 67</v>
          </cell>
          <cell r="E106" t="str">
            <v>Badshahpur</v>
          </cell>
          <cell r="F106" t="str">
            <v>Friday</v>
          </cell>
          <cell r="G106" t="str">
            <v>9 AM - 12 PM</v>
          </cell>
          <cell r="H106">
            <v>1450</v>
          </cell>
          <cell r="I106">
            <v>362.5</v>
          </cell>
          <cell r="J106" t="str">
            <v>Bliss</v>
          </cell>
          <cell r="N106" t="str">
            <v>2  del of this cycle   -  0-cycles pmnt   Completed - Collect 0</v>
          </cell>
          <cell r="O106" t="e">
            <v>#N/A</v>
          </cell>
          <cell r="P106" t="e">
            <v>#N/A</v>
          </cell>
          <cell r="Q106" t="e">
            <v>#N/A</v>
          </cell>
          <cell r="R106" t="e">
            <v>#N/A</v>
          </cell>
          <cell r="S106" t="str">
            <v>Pur n P Car ( 14 Inch ) 16     FF sachet + Grass</v>
          </cell>
          <cell r="T106" t="str">
            <v>P Asiatic ( 14 Inch ) 3     Grass</v>
          </cell>
        </row>
        <row r="107">
          <cell r="A107">
            <v>2976</v>
          </cell>
          <cell r="B107" t="str">
            <v>Monika Dubey</v>
          </cell>
          <cell r="C107">
            <v>6350565083</v>
          </cell>
          <cell r="D107" t="str">
            <v>H-1101, Tower-H, Mapsko Mountville, Sec 79</v>
          </cell>
          <cell r="E107" t="str">
            <v>Badshahpur</v>
          </cell>
          <cell r="F107" t="str">
            <v>Friday</v>
          </cell>
          <cell r="G107" t="str">
            <v>4 Pm to 7 PM</v>
          </cell>
          <cell r="H107">
            <v>1450</v>
          </cell>
          <cell r="I107">
            <v>362.5</v>
          </cell>
          <cell r="J107" t="str">
            <v>Bliss</v>
          </cell>
          <cell r="K107" t="str">
            <v>2 Premium and 2 Seasonal // Yesterday returned (11/10) Skip 1 week (25/06)</v>
          </cell>
          <cell r="N107" t="str">
            <v>4  del of this cycle   -  0-cycles pmnt   Completed - Collect 0</v>
          </cell>
          <cell r="O107" t="e">
            <v>#N/A</v>
          </cell>
          <cell r="P107" t="str">
            <v>P n W Car ( 14 Inch ) 16     FF Sachet + Grass</v>
          </cell>
          <cell r="Q107" t="str">
            <v>Y Asiatic ( 14 Inch ) 3     Grass</v>
          </cell>
          <cell r="R107" t="str">
            <v xml:space="preserve">P n W Glad ( 14 Inch ) 16    Grass </v>
          </cell>
          <cell r="S107" t="e">
            <v>#N/A</v>
          </cell>
          <cell r="T107" t="str">
            <v>Sunflower ( 12 Inch ) 4     FF Sachet + Grass</v>
          </cell>
        </row>
        <row r="108">
          <cell r="A108" t="str">
            <v>M00008</v>
          </cell>
          <cell r="B108" t="str">
            <v>Pooja Tripathi</v>
          </cell>
          <cell r="C108">
            <v>8800700522</v>
          </cell>
          <cell r="D108" t="str">
            <v>21 st Floor Trehan Sec 71 One Good Earth</v>
          </cell>
          <cell r="E108" t="str">
            <v>Nirvana Country</v>
          </cell>
          <cell r="F108" t="str">
            <v>Thursday</v>
          </cell>
          <cell r="G108" t="str">
            <v>9 AM - 12 PM</v>
          </cell>
          <cell r="H108">
            <v>3650</v>
          </cell>
          <cell r="I108">
            <v>912.5</v>
          </cell>
          <cell r="J108" t="str">
            <v>Mixed Bunch</v>
          </cell>
          <cell r="K108" t="str">
            <v>6 Lotus and 100 Gm Mogra</v>
          </cell>
          <cell r="N108" t="str">
            <v>1  del of this cycle   -  1-cycles pmnt   Pending - Collect 3650</v>
          </cell>
          <cell r="O108" t="str">
            <v>Mix Oriental  4 Mix Alstroemeria ( 12 Inch )  20 Shd Pur n P Car 15 2 Gypsola</v>
          </cell>
          <cell r="P108" t="e">
            <v>#N/A</v>
          </cell>
          <cell r="Q108" t="str">
            <v>Mix Oriental + Mix Alstroemeria + Mix Car 4 + 15 + 15     2 Gypsola + FF Sachet</v>
          </cell>
          <cell r="R108" t="str">
            <v>Mix Oriental  4 P n W Glad ( 14 Inch ) 10 Rajni ( 14 Inch ) 10 Grass</v>
          </cell>
          <cell r="S108" t="e">
            <v>#N/A</v>
          </cell>
          <cell r="T108" t="str">
            <v xml:space="preserve">Rajni ( 14 Inch ) + Pur n P Car ( 14 Inch ) 12 + 12 Mix Oriental ( 15 Inch ) 4  Pls Collect Newspaper </v>
          </cell>
        </row>
        <row r="109">
          <cell r="A109" t="str">
            <v>B56343</v>
          </cell>
          <cell r="B109" t="str">
            <v>Ruchi mathure</v>
          </cell>
          <cell r="C109">
            <v>9871265555</v>
          </cell>
          <cell r="D109" t="str">
            <v>D-013, Westend height, DLF-5</v>
          </cell>
          <cell r="E109" t="str">
            <v>DLF Phase 5</v>
          </cell>
          <cell r="F109" t="str">
            <v>Friday</v>
          </cell>
          <cell r="G109" t="str">
            <v>By 10 AM</v>
          </cell>
          <cell r="H109">
            <v>1240</v>
          </cell>
          <cell r="I109">
            <v>1240</v>
          </cell>
          <cell r="J109" t="str">
            <v>Bouquet</v>
          </cell>
          <cell r="K109" t="str">
            <v>1) 4 Car and 4 Lilies    2) 4 Gerbera     3) 3 Rajni</v>
          </cell>
          <cell r="N109" t="str">
            <v>1  del of this cycle   -  1-cycles pmnt   Pending - Collect 1240</v>
          </cell>
          <cell r="O109" t="e">
            <v>#N/A</v>
          </cell>
          <cell r="P109" t="e">
            <v>#N/A</v>
          </cell>
          <cell r="Q109" t="e">
            <v>#N/A</v>
          </cell>
          <cell r="R109" t="e">
            <v>#N/A</v>
          </cell>
          <cell r="S109" t="e">
            <v>#N/A</v>
          </cell>
          <cell r="T109" t="str">
            <v>( P Car + P Asiatic ) + ( Y Gerbera ) + ( Rajni ) ( 4 + 4 ) + ( 4 ) + ( 3 )     Areca Palm + Grass</v>
          </cell>
        </row>
        <row r="110">
          <cell r="A110">
            <v>2775</v>
          </cell>
          <cell r="B110" t="str">
            <v>Sreeparna Ghosh</v>
          </cell>
          <cell r="C110">
            <v>9711590494</v>
          </cell>
          <cell r="D110" t="str">
            <v>H-701, Mapsko Mountville, Sec 79</v>
          </cell>
          <cell r="E110" t="str">
            <v>Badshahpur</v>
          </cell>
          <cell r="F110" t="str">
            <v>Friday</v>
          </cell>
          <cell r="G110" t="str">
            <v>4 PM to 7PM</v>
          </cell>
          <cell r="H110">
            <v>1950</v>
          </cell>
          <cell r="I110">
            <v>487.5</v>
          </cell>
          <cell r="J110" t="str">
            <v>Bliss</v>
          </cell>
          <cell r="K110" t="str">
            <v>Send 1 W Asiatic as replacement (30/08) Skip 1 week (06/09) Returned-send next week (03/10) Send replacement of Gerbera tom (02/12) Skip 1 week (20/12) Upgarde to Joy from next cycle and mixed (20/02) Upgrade to Joy and skip 1 week (05/03)</v>
          </cell>
          <cell r="M110" t="str">
            <v>Upgarde to Joy from next cycle and mixed (20/02)</v>
          </cell>
          <cell r="N110" t="str">
            <v>1  del of this cycle   -  1-cycles pmnt   Pending - Collect 1950</v>
          </cell>
          <cell r="O110" t="str">
            <v>O Asiatic ( 15 Inch ) 2 Spray Carnation 10   Grass</v>
          </cell>
          <cell r="P110" t="str">
            <v>Pur Eustom ( 14 Inch ) 2 P n W Glad ( 14 Inch ) 11   FF Sachet + Grass</v>
          </cell>
          <cell r="Q110" t="str">
            <v>Sunflower ( 12 Inch ) 3 Mix Alstroemeria ( 12 Inch ) 11   FF Sachet + Grass</v>
          </cell>
          <cell r="R110" t="str">
            <v>P Asiatic ( 14 Inch ) 4     Grass</v>
          </cell>
          <cell r="S110" t="str">
            <v>Y Spray Daisy ( 14 Inch ) 4 Glad ( 14 Inch ) 11   FF Sachet + Grass</v>
          </cell>
          <cell r="T110" t="str">
            <v>Eustoma 2 Pur n P Car ( 14 Inch ) 11   FF Sachet + Grass</v>
          </cell>
        </row>
        <row r="111">
          <cell r="A111">
            <v>2708</v>
          </cell>
          <cell r="B111" t="str">
            <v>Monica Bakshi</v>
          </cell>
          <cell r="C111">
            <v>9730543073</v>
          </cell>
          <cell r="D111" t="str">
            <v>K-1005, Palm Drive</v>
          </cell>
          <cell r="E111" t="str">
            <v>Badshahpur</v>
          </cell>
          <cell r="F111" t="str">
            <v>Friday</v>
          </cell>
          <cell r="G111" t="str">
            <v>9 AM - 12 PM</v>
          </cell>
          <cell r="H111">
            <v>999</v>
          </cell>
          <cell r="I111">
            <v>249.75</v>
          </cell>
          <cell r="J111" t="str">
            <v>Delight</v>
          </cell>
          <cell r="K111" t="str">
            <v>No Gerbera (02/12)</v>
          </cell>
          <cell r="L111" t="str">
            <v xml:space="preserve">GERBERA </v>
          </cell>
          <cell r="N111" t="str">
            <v>4  del of this cycle   -  0-cycles pmnt   Completed - Collect 0</v>
          </cell>
          <cell r="O111" t="str">
            <v>P n W Glad ( 14 Inch ) 9     Grass</v>
          </cell>
          <cell r="P111" t="str">
            <v>Y Spray Daisy ( 14 Inch ) 3     FF Sachet + Grass</v>
          </cell>
          <cell r="Q111" t="str">
            <v>Pur n P Car ( 14 Inch ) 9     FF Sachet + Grass</v>
          </cell>
          <cell r="R111" t="str">
            <v xml:space="preserve">Mix Alstroemeria ( 12 Inch ) 9    FF Sachet + Grass </v>
          </cell>
          <cell r="S111" t="str">
            <v>O Asiatic ( 14 Inch ) 2     Grass</v>
          </cell>
          <cell r="T111" t="str">
            <v>P n W Glad ( 14 Inch ) 9     Grass</v>
          </cell>
        </row>
        <row r="112">
          <cell r="A112">
            <v>2832</v>
          </cell>
          <cell r="B112" t="str">
            <v>Anshu Mittal Roy</v>
          </cell>
          <cell r="C112" t="str">
            <v xml:space="preserve"> 97172 00986</v>
          </cell>
          <cell r="D112" t="str">
            <v xml:space="preserve"> B203 Godrej 101, Sector 79
</v>
          </cell>
          <cell r="E112" t="str">
            <v>Badshahpur</v>
          </cell>
          <cell r="F112" t="str">
            <v>Friday</v>
          </cell>
          <cell r="G112" t="str">
            <v>4 Pm to 7 PM</v>
          </cell>
          <cell r="H112">
            <v>1450</v>
          </cell>
          <cell r="I112">
            <v>362.5</v>
          </cell>
          <cell r="J112" t="str">
            <v>Bliss</v>
          </cell>
          <cell r="K112" t="str">
            <v>15 % Discount (26/07) 3 Month with 10% discount (24/08) Skip 1 week (19/12) Skip 1 week (19/02) Skip 2 week (16/05) Today Returned (12/06) Hold today (19/06)</v>
          </cell>
          <cell r="N112" t="str">
            <v>4  del of this cycle   -  0-cycles pmnt   Completed - Collect 0</v>
          </cell>
          <cell r="O112" t="e">
            <v>#N/A</v>
          </cell>
          <cell r="P112" t="str">
            <v>Y Spray Daisy ( 14 Inch ) 3 P n W Car ( 14 Inch ) 7   FF Sachet + Grass</v>
          </cell>
          <cell r="Q112" t="str">
            <v>Pur Eustoma ( 12 Inch ) 2 P n W Glad ( 14 Inch ) 7   FF Sachet + Grass</v>
          </cell>
          <cell r="R112" t="str">
            <v xml:space="preserve">O Asiatic ( 14 Inch ) 2 Mix Alstroemeria (  12 Inch ) 7  Grass </v>
          </cell>
          <cell r="S112" t="str">
            <v>O Asiatic ( 14 Inch ) 2 Mix Alstroemeria ( 12 Inch ) 7   Grass</v>
          </cell>
          <cell r="T112" t="str">
            <v>Sunflower ( 12 Inch ) 2 Pur n P Car ( 14 Inch ) 7   FF Sachet + Grass</v>
          </cell>
        </row>
        <row r="113">
          <cell r="A113">
            <v>2798</v>
          </cell>
          <cell r="B113" t="str">
            <v>Priya Chaturvedi</v>
          </cell>
          <cell r="C113">
            <v>9999283603</v>
          </cell>
          <cell r="D113" t="str">
            <v>D-2003, Bestech Alturea, Sec 79</v>
          </cell>
          <cell r="E113" t="str">
            <v>Manesar</v>
          </cell>
          <cell r="F113" t="str">
            <v>Friday</v>
          </cell>
          <cell r="G113" t="str">
            <v>4 Pm to 7 PM</v>
          </cell>
          <cell r="H113">
            <v>1450</v>
          </cell>
          <cell r="I113">
            <v>362.5</v>
          </cell>
          <cell r="J113" t="str">
            <v>Bliss</v>
          </cell>
          <cell r="K113" t="str">
            <v>Today Returned (08/08) {ayment From Chinmananda Devgoswami (25/10) Four Plus 1 Pack (15/04) Skip 1 week (07/05)</v>
          </cell>
          <cell r="N113" t="str">
            <v>2  del of this cycle   -  0-cycles pmnt   Completed - Collect 0</v>
          </cell>
          <cell r="O113" t="e">
            <v>#N/A</v>
          </cell>
          <cell r="P113" t="str">
            <v>O Asiatic ( 14 Inch ) 3     Grass</v>
          </cell>
          <cell r="Q113" t="str">
            <v>P n W Glad ( 14 Inch ) 16     Grass</v>
          </cell>
          <cell r="R113" t="str">
            <v xml:space="preserve">Pur Eustom ( 12 Inch ) 3    FF Sachet + Grass </v>
          </cell>
          <cell r="S113" t="str">
            <v>Alstromeria 16     FF sachet + Grass</v>
          </cell>
          <cell r="T113" t="str">
            <v>Pur n P Car ( 14 Inch ) 16     FF Sachet + Grass</v>
          </cell>
        </row>
        <row r="114">
          <cell r="A114">
            <v>2918</v>
          </cell>
          <cell r="B114" t="str">
            <v>Tina</v>
          </cell>
          <cell r="C114">
            <v>9212408077</v>
          </cell>
          <cell r="D114" t="str">
            <v>J-1603, Palm Drive</v>
          </cell>
          <cell r="E114" t="str">
            <v>Badshahpur</v>
          </cell>
          <cell r="F114" t="str">
            <v>Friday</v>
          </cell>
          <cell r="G114" t="str">
            <v>10 AM to 2:30 PM</v>
          </cell>
          <cell r="H114">
            <v>999</v>
          </cell>
          <cell r="I114">
            <v>249.75</v>
          </cell>
          <cell r="J114" t="str">
            <v>Delight</v>
          </cell>
          <cell r="K114" t="str">
            <v>From Radhika Neeraj Rathod//Colect cash (17/03) Paytm from Gureena Singh (29/08) Send tom n send on Monday this week (19/03) HDTNP (26/06)</v>
          </cell>
          <cell r="N114" t="str">
            <v>4  del of this cycle   -   0-cycles pmnt   Completed - Collect 0</v>
          </cell>
          <cell r="O114" t="str">
            <v>P Asiatic ( 15 Inch ) 2 Collect 1375 Carry Receipt Book   Grass</v>
          </cell>
          <cell r="P114" t="str">
            <v>P n W Car ( 14 Inch ) 9     FF Sachet + Grass</v>
          </cell>
          <cell r="Q114" t="str">
            <v>Mix Alstroemeria ( 12 Inch ) 9     FF Sachet + Grass</v>
          </cell>
          <cell r="R114" t="str">
            <v xml:space="preserve">O Asiatic ( 14 Inch ) 2    Grass </v>
          </cell>
          <cell r="S114" t="e">
            <v>#N/A</v>
          </cell>
          <cell r="T114" t="str">
            <v>P n W Glad ( 14 Inch ) 9     Grass</v>
          </cell>
        </row>
        <row r="115">
          <cell r="A115">
            <v>1377</v>
          </cell>
          <cell r="B115" t="str">
            <v>Geetanjali Babbar</v>
          </cell>
          <cell r="C115">
            <v>9958988852</v>
          </cell>
          <cell r="D115" t="str">
            <v>N-206, Sispal Vihar</v>
          </cell>
          <cell r="E115" t="str">
            <v>Sohna Road 1</v>
          </cell>
          <cell r="F115" t="str">
            <v>Friday</v>
          </cell>
          <cell r="G115" t="str">
            <v>9:30 Am to 2 PM</v>
          </cell>
          <cell r="H115">
            <v>2300</v>
          </cell>
          <cell r="I115">
            <v>287.5</v>
          </cell>
          <cell r="J115" t="str">
            <v>Felicity</v>
          </cell>
          <cell r="K115" t="str">
            <v>Tuesday and FRiday//Monday and Thursday//Send on Monday This week and send rajni too(03/04) Returned-send tom(11/04) Day Changed to Monday(11/04) Sent replacement of Gerbera today(20/04) She likes BOP+Rajni+Car Comb (20/04) Thursday and Monday Morning Slot(13/06) NO BOP(03/08) Hold today ansend after a week(20/11)  Holy Change(16/03) Skip 1 del(16/03) Skip 1 del AND ALWAYS SEND 10 STICKS(02/05) Skip 3rd Feb Del (28/01) Skip tom Delivery (06/04) Dont start from 16th June--start from 19th June (14/06) Skip Friday (13/09) Skip between 24th to 2nd Nov (24/10) Hold n start from Feb (13/01) Skip tom del (14/03) Do Not count last del (21/06) Skip comig Delivery(24/06) Sent a rewplacement today (23/10) Hold geetanjali babbar today (03/01) Skip 1 week (04/01) Skip 18th n 21st Mar (03/03) Skip Friday (09/04) Skip friday (26/06) Paytm From Merajul Alam (23/09) No Del From 09th to 13th (04/12) Skip 10th and 13th Feb (31/01) Skip 1 week (23/03) Replacement tom (21/04) HDTNP (29/05) Hold till 1st weel of July (20/06)</v>
          </cell>
          <cell r="M115" t="str">
            <v>Skip 18th n 21st Mar 25</v>
          </cell>
          <cell r="N115" t="str">
            <v>2  del of this cycle   -  1-cycles pmnt   Pending - Collect 2300</v>
          </cell>
          <cell r="O115" t="str">
            <v>O Asiatic ( 15 Inch ) 2   Collect payment Collect payment Grass</v>
          </cell>
          <cell r="P115" t="str">
            <v>Rajni ( 14 Inch ) 11     Grass</v>
          </cell>
          <cell r="Q115" t="str">
            <v>Pur n P Car ( 14 Inch ) 11     FF Sachet + Grass</v>
          </cell>
          <cell r="R115" t="str">
            <v>P n W Glad ( 14 Inch ) 11     Grass</v>
          </cell>
          <cell r="S115" t="e">
            <v>#N/A</v>
          </cell>
          <cell r="T115" t="str">
            <v>P Asiatic ( 14 Inch ) 2     Grass</v>
          </cell>
        </row>
        <row r="116">
          <cell r="A116">
            <v>87</v>
          </cell>
          <cell r="B116" t="str">
            <v>Deepak Kohli</v>
          </cell>
          <cell r="C116">
            <v>9716199110</v>
          </cell>
          <cell r="D116" t="str">
            <v>539/C, 4th Floor, H Block, Palam Vihar</v>
          </cell>
          <cell r="E116" t="str">
            <v>Old Gurgaon</v>
          </cell>
          <cell r="F116" t="str">
            <v>Friday</v>
          </cell>
          <cell r="G116" t="str">
            <v>4 PM to 7PM</v>
          </cell>
          <cell r="H116">
            <v>1450</v>
          </cell>
          <cell r="I116">
            <v>362.5</v>
          </cell>
          <cell r="J116" t="str">
            <v>Bliss</v>
          </cell>
          <cell r="K116" t="str">
            <v>Send 1 bunch Nargis From Amit n Pooja// Wish you a//Sending on 20th instaed of 21st,bcoz of Holi(18/03) Send 1 pack of FF(14/08) Time slot changed to Evening(18/09( Holy Change(16/03) Send tom (06/02)</v>
          </cell>
          <cell r="N116" t="str">
            <v>1  del of this cycle   -  0-cycles pmnt   In Process - Collect 0</v>
          </cell>
          <cell r="O116" t="str">
            <v>O Asiatic ( 15 Inch ) 3     Grass</v>
          </cell>
          <cell r="P116" t="str">
            <v>Pur n P Eustoma ( 14 Inch ) 3     FF Sachet + Grass</v>
          </cell>
          <cell r="Q116" t="str">
            <v>P n Y Spray Daisy ( 14 Inch ) 5     FF Sachet + Grass</v>
          </cell>
          <cell r="R116" t="str">
            <v xml:space="preserve">Mix Car 16    Grass </v>
          </cell>
          <cell r="S116" t="str">
            <v>Asiatic 3     Grass</v>
          </cell>
          <cell r="T116" t="str">
            <v>P n W Glad ( 14 Inch ) 16     Grass</v>
          </cell>
        </row>
        <row r="117">
          <cell r="B117" t="str">
            <v xml:space="preserve">Veena Bijlani </v>
          </cell>
          <cell r="C117" t="str">
            <v>98210 98989‬</v>
          </cell>
          <cell r="D117" t="str">
            <v>1 banglow Sadhna Enclave,
Panchsheel Park,
New Delhi 110017</v>
          </cell>
          <cell r="H117">
            <v>4150</v>
          </cell>
          <cell r="J117" t="str">
            <v>Bouquet</v>
          </cell>
          <cell r="K117" t="str">
            <v>Good morning. Please send something like this to 
Veena Bijlani 
I Sadhna Enclave,
Panchsheel Park,
New Delhi 110017
Happy birthday and God. Bless you always 
Auntie. With love from the Singh Clan
‪+91 98210 98989‬
Send today immediately from dimpi singh</v>
          </cell>
          <cell r="T117" t="str">
            <v>Asiatic Lilies and Carnations 12+20 pretty pink box. 1   Massage</v>
          </cell>
        </row>
        <row r="118">
          <cell r="B118" t="str">
            <v xml:space="preserve">96505 89989‬ </v>
          </cell>
          <cell r="C118" t="str">
            <v xml:space="preserve">96505 89989‬ </v>
          </cell>
          <cell r="D118" t="str">
            <v>1702, M3M Latitude,</v>
          </cell>
          <cell r="G118" t="str">
            <v>before 12pm</v>
          </cell>
          <cell r="H118">
            <v>1370</v>
          </cell>
          <cell r="J118" t="str">
            <v>Bouquet</v>
          </cell>
          <cell r="K118" t="str">
            <v>Address - 1702, M3M Latitude, M3M Golfestate, sector 65
Send today from ‪+91 96505 89989‬ before 12pm..</v>
          </cell>
          <cell r="T118" t="str">
            <v xml:space="preserve">Rose+ Eustoma +Carnation 4+3+1 envelope 1   </v>
          </cell>
        </row>
        <row r="119">
          <cell r="B119" t="str">
            <v xml:space="preserve"> 70111 07486</v>
          </cell>
          <cell r="C119" t="str">
            <v xml:space="preserve"> 70111 07486</v>
          </cell>
          <cell r="D119" t="str">
            <v>I-401 
Bestech parkview spa next
Sec 67</v>
          </cell>
          <cell r="H119">
            <v>600</v>
          </cell>
          <cell r="J119" t="str">
            <v>Bouquet</v>
          </cell>
          <cell r="K119" t="str">
            <v>I-401 
Bestech parkview spa next
Sec 67
+91 70111 07486
Message-
Lets kick off your birthday weekend Palku
Lots of love - Jo
Pls send 15 Rajnigandha in walkin tissue wrap today from Neelam Ahuja</v>
          </cell>
          <cell r="T119" t="str">
            <v xml:space="preserve">Rajni 15 Tissue Wrap Message   </v>
          </cell>
        </row>
        <row r="120">
          <cell r="B120" t="str">
            <v>Alka Gupta</v>
          </cell>
          <cell r="C120">
            <v>9899000452</v>
          </cell>
          <cell r="D120" t="str">
            <v>C 401 Heritage One 
Sector 62</v>
          </cell>
          <cell r="G120" t="str">
            <v xml:space="preserve">between 4:30-5:30 </v>
          </cell>
          <cell r="H120">
            <v>700</v>
          </cell>
          <cell r="J120" t="str">
            <v>Bouquet</v>
          </cell>
          <cell r="K120" t="str">
            <v>Send today between 4:30-5:30 
2 yellow aaiatic and one white oriental in tissue wrap 
Bahut zyada ferns nahi lagane hain, bas thode se 
To
Alka Gupta
9899000452
C 401
Heritage One 
Sector 62
700 received</v>
          </cell>
          <cell r="T120" t="str">
            <v xml:space="preserve">Y Asiatic+ W Oriental 2+1 Tissue Wrap    </v>
          </cell>
        </row>
        <row r="121">
          <cell r="B121" t="str">
            <v>Renu cak story</v>
          </cell>
          <cell r="C121" t="str">
            <v>Renu cak story</v>
          </cell>
          <cell r="D121" t="str">
            <v>Renu cak story is sending someone at warehouse</v>
          </cell>
          <cell r="H121">
            <v>120</v>
          </cell>
          <cell r="J121" t="str">
            <v>Bouquet</v>
          </cell>
          <cell r="K121" t="str">
            <v>[3:33 PM, 7/3/2026] Bmf Office: Pls arrange 3 stems of these and one gypsola — Renu cak story is sending someone at warehouse
[3:33 PM, 7/3/2026] Bmf Office: Pls arrange 3 stems of these and one gypsola — Renu cak story is sending someone at warehouse
2 purple and one pink</v>
          </cell>
          <cell r="T121" t="str">
            <v xml:space="preserve"> purple and one pink 2+1     </v>
          </cell>
        </row>
        <row r="122">
          <cell r="B122">
            <v>9599697063</v>
          </cell>
          <cell r="C122">
            <v>9599697063</v>
          </cell>
          <cell r="D122" t="str">
            <v>M23B Adani samsara</v>
          </cell>
          <cell r="G122" t="str">
            <v>Before 8</v>
          </cell>
          <cell r="H122">
            <v>600</v>
          </cell>
          <cell r="J122" t="str">
            <v>Bouquet</v>
          </cell>
          <cell r="N122" t="str">
            <v>Collect 600</v>
          </cell>
          <cell r="T122" t="str">
            <v>Rajni 14 R rose  1   Greens</v>
          </cell>
        </row>
        <row r="123">
          <cell r="B123" t="str">
            <v>Gunjan Malhotra</v>
          </cell>
          <cell r="C123">
            <v>9971518253</v>
          </cell>
          <cell r="D123" t="str">
            <v>H. No. 298C, 1st Floor, Block G, Sushant Lok-2</v>
          </cell>
          <cell r="H123">
            <v>245</v>
          </cell>
          <cell r="J123" t="str">
            <v>Bouquet</v>
          </cell>
          <cell r="T123" t="str">
            <v xml:space="preserve">Rajni 7     </v>
          </cell>
        </row>
        <row r="124">
          <cell r="B124" t="str">
            <v>95401 54023‬</v>
          </cell>
          <cell r="C124" t="str">
            <v>95401 54023‬</v>
          </cell>
          <cell r="D124" t="str">
            <v>N-238, 2nd floor, N Block, Mayfield Garden, sector 51, Gurugram</v>
          </cell>
          <cell r="H124">
            <v>300</v>
          </cell>
          <cell r="J124" t="str">
            <v>Bouquet</v>
          </cell>
          <cell r="K124" t="str">
            <v>Send today 
2 sunflowers in tissue wrap to 
‪+91 95401 54023‬
N-238, 2nd floor, N Block, Mayfield Garden, sector 51, Gurugram
GURUGRAM, HARYANA 122018
Uber charges will be paid by customer 
300 received for flowers</v>
          </cell>
          <cell r="T124" t="str">
            <v xml:space="preserve">Sunflower ( 12 Inch ) 2     </v>
          </cell>
        </row>
      </sheetData>
      <sheetData sheetId="3"/>
      <sheetData sheetId="4"/>
      <sheetData sheetId="5"/>
      <sheetData sheetId="6"/>
      <sheetData sheetId="7"/>
      <sheetData sheetId="8"/>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85C87A-6651-4FF8-A670-91084A0A1980}">
  <dimension ref="A1:AD127"/>
  <sheetViews>
    <sheetView tabSelected="1" zoomScale="60" zoomScaleNormal="60" workbookViewId="0">
      <selection activeCell="L2" sqref="L2"/>
    </sheetView>
  </sheetViews>
  <sheetFormatPr defaultRowHeight="14" x14ac:dyDescent="0.3"/>
  <cols>
    <col min="3" max="7" width="8.796875" hidden="1" customWidth="1"/>
    <col min="8" max="8" width="6.796875" customWidth="1"/>
    <col min="9" max="9" width="8.796875" hidden="1" customWidth="1"/>
    <col min="10" max="10" width="7.59765625" customWidth="1"/>
    <col min="11" max="11" width="140.09765625" customWidth="1"/>
  </cols>
  <sheetData>
    <row r="1" spans="1:30" ht="113.4" customHeight="1" x14ac:dyDescent="0.3">
      <c r="A1" s="1" t="s">
        <v>0</v>
      </c>
      <c r="B1" s="2" t="s">
        <v>1</v>
      </c>
      <c r="C1" s="3" t="s">
        <v>2</v>
      </c>
      <c r="D1" s="4" t="s">
        <v>3</v>
      </c>
      <c r="E1" s="4" t="s">
        <v>4</v>
      </c>
      <c r="F1" s="4" t="s">
        <v>5</v>
      </c>
      <c r="G1" s="4" t="s">
        <v>6</v>
      </c>
      <c r="H1" s="5" t="s">
        <v>7</v>
      </c>
      <c r="I1" s="5" t="s">
        <v>8</v>
      </c>
      <c r="J1" s="2" t="s">
        <v>9</v>
      </c>
      <c r="K1" s="4" t="s">
        <v>10</v>
      </c>
      <c r="L1" s="6" t="s">
        <v>11</v>
      </c>
      <c r="M1" s="6" t="s">
        <v>12</v>
      </c>
      <c r="N1" s="7" t="s">
        <v>13</v>
      </c>
      <c r="O1" s="30" t="s">
        <v>496</v>
      </c>
      <c r="P1" s="30" t="s">
        <v>497</v>
      </c>
      <c r="Q1" s="30" t="s">
        <v>498</v>
      </c>
      <c r="R1" s="30" t="s">
        <v>499</v>
      </c>
      <c r="S1" s="30" t="s">
        <v>500</v>
      </c>
      <c r="T1" s="30" t="s">
        <v>501</v>
      </c>
      <c r="U1" s="30" t="s">
        <v>502</v>
      </c>
      <c r="V1" s="30" t="s">
        <v>503</v>
      </c>
      <c r="W1" s="30" t="s">
        <v>502</v>
      </c>
      <c r="X1" s="30" t="s">
        <v>504</v>
      </c>
      <c r="Y1" s="30" t="s">
        <v>502</v>
      </c>
      <c r="Z1" s="30" t="s">
        <v>505</v>
      </c>
      <c r="AA1" s="30" t="s">
        <v>506</v>
      </c>
      <c r="AB1" s="30" t="s">
        <v>507</v>
      </c>
      <c r="AC1" s="30" t="s">
        <v>508</v>
      </c>
      <c r="AD1" s="30" t="s">
        <v>509</v>
      </c>
    </row>
    <row r="2" spans="1:30" ht="113.4" customHeight="1" x14ac:dyDescent="0.3">
      <c r="A2" s="1">
        <v>3078</v>
      </c>
      <c r="B2" s="8" t="s">
        <v>19</v>
      </c>
      <c r="C2" s="1">
        <v>9953158378</v>
      </c>
      <c r="D2" s="13" t="s">
        <v>20</v>
      </c>
      <c r="E2" s="10" t="s">
        <v>21</v>
      </c>
      <c r="F2" s="10" t="s">
        <v>15</v>
      </c>
      <c r="G2" s="11" t="s">
        <v>16</v>
      </c>
      <c r="H2" s="12">
        <v>1950</v>
      </c>
      <c r="I2" s="12">
        <v>487.5</v>
      </c>
      <c r="J2" s="10" t="s">
        <v>22</v>
      </c>
      <c r="K2" s="10" t="s">
        <v>23</v>
      </c>
      <c r="L2" s="12"/>
      <c r="M2" s="10" t="s">
        <v>24</v>
      </c>
      <c r="N2" s="14" t="s">
        <v>25</v>
      </c>
      <c r="O2" s="29" t="str">
        <f>VLOOKUP(A2,'[1]05-06-26'!$A$2:$T$136,20,0)</f>
        <v>W Asiatic ( 14 Inch ) 2 P n W Glad ( 14 Inch ) 11   Grass</v>
      </c>
      <c r="P2" s="29" t="e">
        <f>VLOOKUP(A2,'[1]12-06-26'!$A$2:$T$115,20,0)</f>
        <v>#N/A</v>
      </c>
      <c r="Q2" s="29" t="e">
        <f>VLOOKUP(A2,'[1]19-06-26'!$A$2:$T$113,20,0)</f>
        <v>#N/A</v>
      </c>
      <c r="R2" s="29" t="str">
        <f>VLOOKUP(A2,'[1]26-06-26'!$A$2:$T$121,20,0)</f>
        <v>P Asiatic ( 14 Inch ) 2 Alstomeria( 12 Inch ) 11   Grass</v>
      </c>
      <c r="S2" s="29" t="str">
        <f>VLOOKUP(A2,'[2]03-07-26'!$A$2:$T$124,20,0)</f>
        <v>Sunflower ( 12 Inch ) 3 Pur n P Car ( 14 Inch ) 11   FF Sachet + Grass</v>
      </c>
      <c r="T2" s="29" t="s">
        <v>545</v>
      </c>
      <c r="U2" s="29">
        <v>4</v>
      </c>
      <c r="V2" s="29" t="s">
        <v>524</v>
      </c>
      <c r="W2" s="29">
        <v>11</v>
      </c>
      <c r="X2" s="29"/>
      <c r="Y2" s="29"/>
      <c r="Z2" s="29" t="s">
        <v>536</v>
      </c>
      <c r="AA2" s="29"/>
      <c r="AB2" s="29"/>
      <c r="AC2" s="29"/>
      <c r="AD2" s="29"/>
    </row>
    <row r="3" spans="1:30" ht="113.4" customHeight="1" x14ac:dyDescent="0.3">
      <c r="A3" s="1">
        <v>1015</v>
      </c>
      <c r="B3" s="15" t="s">
        <v>26</v>
      </c>
      <c r="C3" s="1">
        <v>7892623529</v>
      </c>
      <c r="D3" s="13" t="s">
        <v>27</v>
      </c>
      <c r="E3" s="10" t="s">
        <v>28</v>
      </c>
      <c r="F3" s="10" t="s">
        <v>15</v>
      </c>
      <c r="G3" s="11" t="s">
        <v>29</v>
      </c>
      <c r="H3" s="12">
        <v>1450</v>
      </c>
      <c r="I3" s="12">
        <v>362.5</v>
      </c>
      <c r="J3" s="10" t="s">
        <v>30</v>
      </c>
      <c r="K3" s="10" t="s">
        <v>31</v>
      </c>
      <c r="L3" s="10" t="s">
        <v>32</v>
      </c>
      <c r="M3" s="12"/>
      <c r="N3" s="14" t="s">
        <v>33</v>
      </c>
      <c r="O3" s="29" t="e">
        <f>VLOOKUP(A3,'[1]05-06-26'!$A$2:$T$136,20,0)</f>
        <v>#N/A</v>
      </c>
      <c r="P3" s="29" t="e">
        <f>VLOOKUP(A3,'[1]12-06-26'!$A$2:$T$115,20,0)</f>
        <v>#N/A</v>
      </c>
      <c r="Q3" s="29" t="e">
        <f>VLOOKUP(A3,'[1]19-06-26'!$A$2:$T$113,20,0)</f>
        <v>#N/A</v>
      </c>
      <c r="R3" s="29" t="e">
        <f>VLOOKUP(A3,'[1]26-06-26'!$A$2:$T$121,20,0)</f>
        <v>#N/A</v>
      </c>
      <c r="S3" s="29" t="e">
        <f>VLOOKUP(A3,'[2]03-07-26'!$A$2:$T$124,20,0)</f>
        <v>#N/A</v>
      </c>
      <c r="T3" s="29" t="s">
        <v>525</v>
      </c>
      <c r="U3" s="29">
        <v>16</v>
      </c>
      <c r="V3" s="29"/>
      <c r="W3" s="29"/>
      <c r="X3" s="29"/>
      <c r="Y3" s="29"/>
      <c r="Z3" s="29" t="s">
        <v>536</v>
      </c>
      <c r="AA3" s="29"/>
      <c r="AB3" s="29"/>
      <c r="AC3" s="29"/>
      <c r="AD3" s="29"/>
    </row>
    <row r="4" spans="1:30" ht="113.4" customHeight="1" x14ac:dyDescent="0.3">
      <c r="A4" s="1">
        <v>2801</v>
      </c>
      <c r="B4" s="8" t="s">
        <v>34</v>
      </c>
      <c r="C4" s="1">
        <v>9810130319</v>
      </c>
      <c r="D4" s="1" t="s">
        <v>35</v>
      </c>
      <c r="E4" s="10" t="s">
        <v>21</v>
      </c>
      <c r="F4" s="10" t="s">
        <v>15</v>
      </c>
      <c r="G4" s="10" t="s">
        <v>36</v>
      </c>
      <c r="H4" s="12">
        <v>1600</v>
      </c>
      <c r="I4" s="12">
        <v>200</v>
      </c>
      <c r="J4" s="10" t="s">
        <v>37</v>
      </c>
      <c r="K4" s="10" t="s">
        <v>38</v>
      </c>
      <c r="L4" s="10" t="s">
        <v>39</v>
      </c>
      <c r="M4" s="10" t="s">
        <v>40</v>
      </c>
      <c r="N4" s="14" t="s">
        <v>50</v>
      </c>
      <c r="O4" s="29" t="e">
        <f>VLOOKUP(A4,'[1]05-06-26'!$A$2:$T$136,20,0)</f>
        <v>#N/A</v>
      </c>
      <c r="P4" s="29" t="e">
        <f>VLOOKUP(A4,'[1]12-06-26'!$A$2:$T$115,20,0)</f>
        <v>#N/A</v>
      </c>
      <c r="Q4" s="29" t="e">
        <f>VLOOKUP(A4,'[1]19-06-26'!$A$2:$T$113,20,0)</f>
        <v>#N/A</v>
      </c>
      <c r="R4" s="29" t="e">
        <f>VLOOKUP(A4,'[1]26-06-26'!$A$2:$T$121,20,0)</f>
        <v>#N/A</v>
      </c>
      <c r="S4" s="29" t="str">
        <f>VLOOKUP(A4,'[2]03-07-26'!$A$2:$T$124,20,0)</f>
        <v>Pur n P Car ( 14 Inch ) 7     FF Sachet + Grass</v>
      </c>
      <c r="T4" s="29" t="s">
        <v>521</v>
      </c>
      <c r="U4" s="29">
        <v>7</v>
      </c>
      <c r="V4" s="29"/>
      <c r="W4" s="29"/>
      <c r="X4" s="29"/>
      <c r="Y4" s="29"/>
      <c r="Z4" s="29" t="s">
        <v>535</v>
      </c>
      <c r="AA4" s="29"/>
      <c r="AB4" s="29"/>
      <c r="AC4" s="29"/>
      <c r="AD4" s="29"/>
    </row>
    <row r="5" spans="1:30" ht="113.4" customHeight="1" x14ac:dyDescent="0.3">
      <c r="A5" s="1">
        <v>330</v>
      </c>
      <c r="B5" s="16" t="s">
        <v>42</v>
      </c>
      <c r="C5" s="1">
        <v>9818455330</v>
      </c>
      <c r="D5" s="1" t="s">
        <v>43</v>
      </c>
      <c r="E5" s="13" t="s">
        <v>44</v>
      </c>
      <c r="F5" s="13" t="s">
        <v>15</v>
      </c>
      <c r="G5" s="17" t="s">
        <v>45</v>
      </c>
      <c r="H5" s="12">
        <v>1450</v>
      </c>
      <c r="I5" s="12">
        <v>362.5</v>
      </c>
      <c r="J5" s="10" t="s">
        <v>30</v>
      </c>
      <c r="K5" s="13" t="s">
        <v>46</v>
      </c>
      <c r="L5" s="12"/>
      <c r="M5" s="12"/>
      <c r="N5" s="14" t="s">
        <v>25</v>
      </c>
      <c r="O5" s="29" t="str">
        <f>VLOOKUP(A5,'[1]05-06-26'!$A$2:$T$136,20,0)</f>
        <v>Mix Alstroemeria ( 12 Inch ) 16     FF Sachet + Grass</v>
      </c>
      <c r="P5" s="29" t="e">
        <f>VLOOKUP(A5,'[1]12-06-26'!$A$2:$T$115,20,0)</f>
        <v>#N/A</v>
      </c>
      <c r="Q5" s="29" t="str">
        <f>VLOOKUP(A5,'[1]19-06-26'!$A$2:$T$113,20,0)</f>
        <v xml:space="preserve">Mix Car 16    Grass </v>
      </c>
      <c r="R5" s="29" t="e">
        <f>VLOOKUP(A5,'[1]26-06-26'!$A$2:$T$121,20,0)</f>
        <v>#N/A</v>
      </c>
      <c r="S5" s="29" t="e">
        <f>VLOOKUP(A5,'[2]03-07-26'!$A$2:$T$124,20,0)</f>
        <v>#N/A</v>
      </c>
      <c r="T5" s="29" t="s">
        <v>526</v>
      </c>
      <c r="U5" s="29">
        <v>3</v>
      </c>
      <c r="V5" s="29"/>
      <c r="W5" s="29"/>
      <c r="X5" s="29"/>
      <c r="Y5" s="29"/>
      <c r="Z5" s="29" t="s">
        <v>535</v>
      </c>
      <c r="AA5" s="29"/>
      <c r="AB5" s="29"/>
      <c r="AC5" s="29"/>
      <c r="AD5" s="29"/>
    </row>
    <row r="6" spans="1:30" ht="113.4" customHeight="1" x14ac:dyDescent="0.3">
      <c r="A6" s="1">
        <v>2055</v>
      </c>
      <c r="B6" s="8" t="s">
        <v>47</v>
      </c>
      <c r="C6" s="12">
        <v>9871628499</v>
      </c>
      <c r="D6" s="10" t="s">
        <v>48</v>
      </c>
      <c r="E6" s="10" t="s">
        <v>21</v>
      </c>
      <c r="F6" s="10" t="s">
        <v>15</v>
      </c>
      <c r="G6" s="11" t="s">
        <v>16</v>
      </c>
      <c r="H6" s="12">
        <v>1450</v>
      </c>
      <c r="I6" s="12">
        <v>362.5</v>
      </c>
      <c r="J6" s="10" t="s">
        <v>30</v>
      </c>
      <c r="K6" s="10" t="s">
        <v>49</v>
      </c>
      <c r="L6" s="12"/>
      <c r="M6" s="12"/>
      <c r="N6" s="14" t="s">
        <v>50</v>
      </c>
      <c r="O6" s="29" t="str">
        <f>VLOOKUP(A6,'[1]05-06-26'!$A$2:$T$136,20,0)</f>
        <v>O Asiatic ( 14 Inch ) 2 Mix Alstroemeria ( 12 Inch ) 7   Grass</v>
      </c>
      <c r="P6" s="29" t="e">
        <f>VLOOKUP(A6,'[1]12-06-26'!$A$2:$T$115,20,0)</f>
        <v>#N/A</v>
      </c>
      <c r="Q6" s="29" t="e">
        <f>VLOOKUP(A6,'[1]19-06-26'!$A$2:$T$113,20,0)</f>
        <v>#N/A</v>
      </c>
      <c r="R6" s="29" t="e">
        <f>VLOOKUP(A6,'[1]26-06-26'!$A$2:$T$121,20,0)</f>
        <v>#N/A</v>
      </c>
      <c r="S6" s="29" t="str">
        <f>VLOOKUP(A6,'[2]03-07-26'!$A$2:$T$124,20,0)</f>
        <v>Sunflower ( 12 Inch ) 2 Pur n P Car ( 14 Inch ) 7   FF Sachet + Grass</v>
      </c>
      <c r="T6" s="29" t="s">
        <v>542</v>
      </c>
      <c r="U6" s="29">
        <v>3</v>
      </c>
      <c r="V6" s="29" t="s">
        <v>524</v>
      </c>
      <c r="W6" s="29">
        <v>7</v>
      </c>
      <c r="X6" s="29"/>
      <c r="Y6" s="29"/>
      <c r="Z6" s="29" t="s">
        <v>536</v>
      </c>
      <c r="AA6" s="29"/>
      <c r="AB6" s="29"/>
      <c r="AC6" s="29"/>
      <c r="AD6" s="29"/>
    </row>
    <row r="7" spans="1:30" ht="113.4" customHeight="1" x14ac:dyDescent="0.3">
      <c r="A7" s="1">
        <v>2713</v>
      </c>
      <c r="B7" s="8" t="s">
        <v>51</v>
      </c>
      <c r="C7" s="9">
        <v>9818543931</v>
      </c>
      <c r="D7" s="10" t="s">
        <v>52</v>
      </c>
      <c r="E7" s="10" t="s">
        <v>44</v>
      </c>
      <c r="F7" s="10" t="s">
        <v>15</v>
      </c>
      <c r="G7" s="18" t="s">
        <v>53</v>
      </c>
      <c r="H7" s="12">
        <v>1450</v>
      </c>
      <c r="I7" s="12">
        <v>362.5</v>
      </c>
      <c r="J7" s="13" t="s">
        <v>30</v>
      </c>
      <c r="K7" s="10" t="s">
        <v>54</v>
      </c>
      <c r="L7" s="10" t="s">
        <v>55</v>
      </c>
      <c r="M7" s="10" t="s">
        <v>56</v>
      </c>
      <c r="N7" s="14" t="s">
        <v>57</v>
      </c>
      <c r="O7" s="29" t="e">
        <f>VLOOKUP(A7,'[1]05-06-26'!$A$2:$T$136,20,0)</f>
        <v>#N/A</v>
      </c>
      <c r="P7" s="29" t="e">
        <f>VLOOKUP(A7,'[1]12-06-26'!$A$2:$T$115,20,0)</f>
        <v>#N/A</v>
      </c>
      <c r="Q7" s="29" t="str">
        <f>VLOOKUP(A7,'[1]19-06-26'!$A$2:$T$113,20,0)</f>
        <v xml:space="preserve">P Asiatic ( 14 Inch ) 3  ensure collection  Pese Na  Mile To Call Karna  Grass </v>
      </c>
      <c r="R7" s="29" t="str">
        <f>VLOOKUP(A7,'[1]26-06-26'!$A$2:$T$121,20,0)</f>
        <v>P n W Glad ( 14 Inch ) 16     Grass</v>
      </c>
      <c r="S7" s="29" t="str">
        <f>VLOOKUP(A7,'[2]03-07-26'!$A$2:$T$124,20,0)</f>
        <v>Sunflower ( 12 Inch ) 4     FF Sachet + Grass</v>
      </c>
      <c r="T7" s="29" t="s">
        <v>525</v>
      </c>
      <c r="U7" s="29">
        <v>16</v>
      </c>
      <c r="V7" s="29"/>
      <c r="W7" s="29"/>
      <c r="X7" s="29"/>
      <c r="Y7" s="29"/>
      <c r="Z7" s="29" t="s">
        <v>536</v>
      </c>
      <c r="AA7" s="29"/>
      <c r="AB7" s="29"/>
      <c r="AC7" s="29"/>
      <c r="AD7" s="29"/>
    </row>
    <row r="8" spans="1:30" ht="113.4" customHeight="1" x14ac:dyDescent="0.3">
      <c r="A8" s="1">
        <v>3050</v>
      </c>
      <c r="B8" s="19" t="s">
        <v>58</v>
      </c>
      <c r="C8" s="12">
        <v>8999727355</v>
      </c>
      <c r="D8" s="10" t="s">
        <v>59</v>
      </c>
      <c r="E8" s="10" t="s">
        <v>28</v>
      </c>
      <c r="F8" s="10" t="s">
        <v>60</v>
      </c>
      <c r="G8" s="11" t="s">
        <v>16</v>
      </c>
      <c r="H8" s="12">
        <v>1600</v>
      </c>
      <c r="I8" s="12">
        <v>200</v>
      </c>
      <c r="J8" s="10" t="s">
        <v>37</v>
      </c>
      <c r="K8" s="10" t="s">
        <v>61</v>
      </c>
      <c r="L8" s="12"/>
      <c r="M8" s="12"/>
      <c r="N8" s="14" t="s">
        <v>510</v>
      </c>
      <c r="O8" s="29" t="e">
        <f>VLOOKUP(A8,'[1]05-06-26'!$A$2:$T$136,20,0)</f>
        <v>#N/A</v>
      </c>
      <c r="P8" s="29" t="str">
        <f>VLOOKUP(A8,'[1]12-06-26'!$A$2:$T$115,20,0)</f>
        <v>B Daisy ( 12 Inch ) 7     Grass</v>
      </c>
      <c r="Q8" s="29" t="e">
        <f>VLOOKUP(A8,'[1]19-06-26'!$A$2:$T$113,20,0)</f>
        <v>#N/A</v>
      </c>
      <c r="R8" s="29" t="e">
        <f>VLOOKUP(A8,'[1]26-06-26'!$A$2:$T$121,20,0)</f>
        <v>#N/A</v>
      </c>
      <c r="S8" s="29" t="str">
        <f>VLOOKUP(A8,'[2]03-07-26'!$A$2:$T$124,20,0)</f>
        <v>Pur n P Car ( 14 Inch ) 7     FF Sachet + Grass</v>
      </c>
      <c r="T8" s="29" t="s">
        <v>522</v>
      </c>
      <c r="U8" s="29">
        <v>2</v>
      </c>
      <c r="V8" s="29"/>
      <c r="W8" s="29"/>
      <c r="X8" s="29"/>
      <c r="Y8" s="29"/>
      <c r="Z8" s="29" t="s">
        <v>536</v>
      </c>
      <c r="AA8" s="29"/>
      <c r="AB8" s="29"/>
      <c r="AC8" s="29"/>
      <c r="AD8" s="29"/>
    </row>
    <row r="9" spans="1:30" ht="113.4" customHeight="1" x14ac:dyDescent="0.3">
      <c r="A9" s="1">
        <v>2976</v>
      </c>
      <c r="B9" s="8" t="s">
        <v>62</v>
      </c>
      <c r="C9" s="12">
        <v>6350565083</v>
      </c>
      <c r="D9" s="10" t="s">
        <v>63</v>
      </c>
      <c r="E9" s="10" t="s">
        <v>21</v>
      </c>
      <c r="F9" s="10" t="s">
        <v>15</v>
      </c>
      <c r="G9" s="10" t="s">
        <v>53</v>
      </c>
      <c r="H9" s="12">
        <v>1450</v>
      </c>
      <c r="I9" s="12">
        <v>362.5</v>
      </c>
      <c r="J9" s="13" t="s">
        <v>30</v>
      </c>
      <c r="K9" s="10" t="s">
        <v>64</v>
      </c>
      <c r="L9" s="12"/>
      <c r="M9" s="12"/>
      <c r="N9" s="14" t="s">
        <v>25</v>
      </c>
      <c r="O9" s="29" t="str">
        <f>VLOOKUP(A9,'[1]05-06-26'!$A$2:$T$136,20,0)</f>
        <v>P n W Car ( 14 Inch ) 16     FF Sachet + Grass</v>
      </c>
      <c r="P9" s="29" t="str">
        <f>VLOOKUP(A9,'[1]12-06-26'!$A$2:$T$115,20,0)</f>
        <v>Y Asiatic ( 14 Inch ) 3     Grass</v>
      </c>
      <c r="Q9" s="29" t="str">
        <f>VLOOKUP(A9,'[1]19-06-26'!$A$2:$T$113,20,0)</f>
        <v xml:space="preserve">P n W Glad ( 14 Inch ) 16    Grass </v>
      </c>
      <c r="R9" s="29" t="e">
        <f>VLOOKUP(A9,'[1]26-06-26'!$A$2:$T$121,20,0)</f>
        <v>#N/A</v>
      </c>
      <c r="S9" s="29" t="str">
        <f>VLOOKUP(A9,'[2]03-07-26'!$A$2:$T$124,20,0)</f>
        <v>Sunflower ( 12 Inch ) 4     FF Sachet + Grass</v>
      </c>
      <c r="T9" s="29" t="s">
        <v>525</v>
      </c>
      <c r="U9" s="29">
        <v>16</v>
      </c>
      <c r="V9" s="29"/>
      <c r="W9" s="29"/>
      <c r="X9" s="29"/>
      <c r="Y9" s="29"/>
      <c r="Z9" s="29" t="s">
        <v>536</v>
      </c>
      <c r="AA9" s="29"/>
      <c r="AB9" s="29"/>
      <c r="AC9" s="29"/>
      <c r="AD9" s="29"/>
    </row>
    <row r="10" spans="1:30" ht="113.4" customHeight="1" x14ac:dyDescent="0.3">
      <c r="A10" s="1">
        <v>196</v>
      </c>
      <c r="B10" s="8" t="s">
        <v>65</v>
      </c>
      <c r="C10" s="12">
        <v>9999113554</v>
      </c>
      <c r="D10" s="10" t="s">
        <v>66</v>
      </c>
      <c r="E10" s="10" t="s">
        <v>14</v>
      </c>
      <c r="F10" s="13" t="s">
        <v>15</v>
      </c>
      <c r="G10" s="11" t="s">
        <v>16</v>
      </c>
      <c r="H10" s="12">
        <v>3960</v>
      </c>
      <c r="I10" s="12">
        <v>990</v>
      </c>
      <c r="J10" s="12" t="s">
        <v>67</v>
      </c>
      <c r="K10" s="13" t="s">
        <v>68</v>
      </c>
      <c r="L10" s="10"/>
      <c r="M10" s="10"/>
      <c r="N10" s="14" t="s">
        <v>69</v>
      </c>
      <c r="O10" s="29" t="str">
        <f>VLOOKUP(A10,'[1]05-06-26'!$A$2:$T$136,20,0)</f>
        <v>P Asiatic ( 14 Inch ) 8     2 Limonium</v>
      </c>
      <c r="P10" s="29" t="str">
        <f>VLOOKUP(A10,'[1]12-06-26'!$A$2:$T$115,20,0)</f>
        <v>W Asiatic ( 14 inch ) 8     2 Gypsola</v>
      </c>
      <c r="Q10" s="29" t="e">
        <f>VLOOKUP(A10,'[1]19-06-26'!$A$2:$T$113,20,0)</f>
        <v>#N/A</v>
      </c>
      <c r="R10" s="29" t="e">
        <f>VLOOKUP(A10,'[1]26-06-26'!$A$2:$T$121,20,0)</f>
        <v>#N/A</v>
      </c>
      <c r="S10" s="29" t="str">
        <f>VLOOKUP(A10,'[2]03-07-26'!$A$2:$T$124,20,0)</f>
        <v>O Asiatic ( 14 Inch ) 8     2 Limonium</v>
      </c>
      <c r="T10" s="29" t="s">
        <v>543</v>
      </c>
      <c r="U10" s="29">
        <v>8</v>
      </c>
      <c r="V10" s="29"/>
      <c r="W10" s="29"/>
      <c r="X10" s="29"/>
      <c r="Y10" s="29"/>
      <c r="Z10" s="29" t="s">
        <v>549</v>
      </c>
      <c r="AA10" s="29"/>
      <c r="AB10" s="29"/>
      <c r="AC10" s="29"/>
      <c r="AD10" s="29"/>
    </row>
    <row r="11" spans="1:30" ht="113.4" customHeight="1" x14ac:dyDescent="0.3">
      <c r="A11" s="1">
        <v>9</v>
      </c>
      <c r="B11" s="8" t="s">
        <v>70</v>
      </c>
      <c r="C11" s="20">
        <v>9818199482</v>
      </c>
      <c r="D11" s="13" t="s">
        <v>71</v>
      </c>
      <c r="E11" s="13" t="s">
        <v>21</v>
      </c>
      <c r="F11" s="10" t="s">
        <v>15</v>
      </c>
      <c r="G11" s="11" t="s">
        <v>16</v>
      </c>
      <c r="H11" s="12">
        <v>999</v>
      </c>
      <c r="I11" s="12">
        <v>249.75</v>
      </c>
      <c r="J11" s="13" t="s">
        <v>17</v>
      </c>
      <c r="K11" s="13" t="s">
        <v>72</v>
      </c>
      <c r="L11" s="10" t="s">
        <v>73</v>
      </c>
      <c r="M11" s="10" t="s">
        <v>74</v>
      </c>
      <c r="N11" s="14" t="s">
        <v>50</v>
      </c>
      <c r="O11" s="29" t="str">
        <f>VLOOKUP(A11,'[1]05-06-26'!$A$2:$T$136,20,0)</f>
        <v>P n W Glad ( 14 Inch ) 9     Grass</v>
      </c>
      <c r="P11" s="29" t="str">
        <f>VLOOKUP(A11,'[1]12-06-26'!$A$2:$T$115,20,0)</f>
        <v>Sunflower ( 12 Inch ) 2     FF Sachet + Grass</v>
      </c>
      <c r="Q11" s="29" t="e">
        <f>VLOOKUP(A11,'[1]19-06-26'!$A$2:$T$113,20,0)</f>
        <v>#N/A</v>
      </c>
      <c r="R11" s="29" t="e">
        <f>VLOOKUP(A11,'[1]26-06-26'!$A$2:$T$121,20,0)</f>
        <v>#N/A</v>
      </c>
      <c r="S11" s="29" t="e">
        <f>VLOOKUP(A11,'[2]03-07-26'!$A$2:$T$124,20,0)</f>
        <v>#N/A</v>
      </c>
      <c r="T11" s="29" t="s">
        <v>525</v>
      </c>
      <c r="U11" s="29">
        <v>9</v>
      </c>
      <c r="V11" s="29"/>
      <c r="W11" s="29"/>
      <c r="X11" s="29"/>
      <c r="Y11" s="29"/>
      <c r="Z11" s="29" t="s">
        <v>536</v>
      </c>
      <c r="AA11" s="29"/>
      <c r="AB11" s="29"/>
      <c r="AC11" s="29"/>
      <c r="AD11" s="29"/>
    </row>
    <row r="12" spans="1:30" ht="113.4" customHeight="1" x14ac:dyDescent="0.3">
      <c r="A12" s="1">
        <v>2678</v>
      </c>
      <c r="B12" s="8" t="s">
        <v>75</v>
      </c>
      <c r="C12" s="12">
        <v>9643712005</v>
      </c>
      <c r="D12" s="10" t="s">
        <v>76</v>
      </c>
      <c r="E12" s="10" t="s">
        <v>77</v>
      </c>
      <c r="F12" s="10" t="s">
        <v>15</v>
      </c>
      <c r="G12" s="18" t="s">
        <v>78</v>
      </c>
      <c r="H12" s="12">
        <v>1450</v>
      </c>
      <c r="I12" s="12">
        <v>362.5</v>
      </c>
      <c r="J12" s="10" t="s">
        <v>30</v>
      </c>
      <c r="K12" s="10" t="s">
        <v>79</v>
      </c>
      <c r="L12" s="12"/>
      <c r="M12" s="10" t="s">
        <v>80</v>
      </c>
      <c r="N12" s="14" t="s">
        <v>25</v>
      </c>
      <c r="O12" s="29" t="str">
        <f>VLOOKUP(A12,'[1]05-06-26'!$A$2:$T$136,20,0)</f>
        <v>P Eustoma ( 14 Inch ) 2 Mix Alstroemeria ( 12 Inch ) 7   FF Sachet + Grass</v>
      </c>
      <c r="P12" s="29" t="str">
        <f>VLOOKUP(A12,'[1]12-06-26'!$A$2:$T$115,20,0)</f>
        <v>P Spray Daisy ( 14 Inch ) 3 P n W Glad ( 14 Inch ) 7   FF Sachet + Grass</v>
      </c>
      <c r="Q12" s="29" t="str">
        <f>VLOOKUP(A12,'[1]19-06-26'!$A$2:$T$113,20,0)</f>
        <v xml:space="preserve">Sunflower ( 12 Inch ) 2 Pur n P Car ( 14 Inch ) 7  FF Sachet + Grass </v>
      </c>
      <c r="R12" s="29" t="str">
        <f>VLOOKUP(A12,'[1]26-06-26'!$A$2:$T$121,20,0)</f>
        <v>P Asiatic ( 14 Inch ) 2 Alstomeria( 12 Inch ) 7   Grass</v>
      </c>
      <c r="S12" s="29" t="str">
        <f>VLOOKUP(A12,'[2]03-07-26'!$A$2:$T$124,20,0)</f>
        <v>G Spray Daisy ( 14 Inch ) 3 P n W Glad ( 14 Inch ) 7   Grass</v>
      </c>
      <c r="T12" s="29" t="s">
        <v>522</v>
      </c>
      <c r="U12" s="29">
        <v>2</v>
      </c>
      <c r="V12" s="29" t="s">
        <v>525</v>
      </c>
      <c r="W12" s="29">
        <v>7</v>
      </c>
      <c r="X12" s="29"/>
      <c r="Y12" s="29"/>
      <c r="Z12" s="29" t="s">
        <v>536</v>
      </c>
      <c r="AA12" s="29"/>
      <c r="AB12" s="29"/>
      <c r="AC12" s="29"/>
      <c r="AD12" s="29"/>
    </row>
    <row r="13" spans="1:30" ht="113.4" customHeight="1" x14ac:dyDescent="0.3">
      <c r="A13" s="1">
        <v>1162</v>
      </c>
      <c r="B13" s="19" t="s">
        <v>81</v>
      </c>
      <c r="C13" s="1">
        <v>9811090968</v>
      </c>
      <c r="D13" s="13" t="s">
        <v>82</v>
      </c>
      <c r="E13" s="10" t="s">
        <v>21</v>
      </c>
      <c r="F13" s="10" t="s">
        <v>15</v>
      </c>
      <c r="G13" s="11" t="s">
        <v>16</v>
      </c>
      <c r="H13" s="12">
        <v>1450</v>
      </c>
      <c r="I13" s="12">
        <v>362.5</v>
      </c>
      <c r="J13" s="10" t="s">
        <v>30</v>
      </c>
      <c r="K13" s="10" t="s">
        <v>83</v>
      </c>
      <c r="L13" s="10" t="s">
        <v>18</v>
      </c>
      <c r="M13" s="12"/>
      <c r="N13" s="14" t="s">
        <v>50</v>
      </c>
      <c r="O13" s="29" t="str">
        <f>VLOOKUP(A13,'[1]05-06-26'!$A$2:$T$136,20,0)</f>
        <v>Sunflower ( 12 Inch ) 4     FF Sachet + Grass</v>
      </c>
      <c r="P13" s="29" t="e">
        <f>VLOOKUP(A13,'[1]12-06-26'!$A$2:$T$115,20,0)</f>
        <v>#N/A</v>
      </c>
      <c r="Q13" s="29" t="str">
        <f>VLOOKUP(A13,'[1]19-06-26'!$A$2:$T$113,20,0)</f>
        <v xml:space="preserve">P n W Glad ( 14 Inch ) 16    Grass </v>
      </c>
      <c r="R13" s="29" t="e">
        <f>VLOOKUP(A13,'[1]26-06-26'!$A$2:$T$121,20,0)</f>
        <v>#N/A</v>
      </c>
      <c r="S13" s="29" t="e">
        <f>VLOOKUP(A13,'[2]03-07-26'!$A$2:$T$124,20,0)</f>
        <v>#N/A</v>
      </c>
      <c r="T13" s="29" t="s">
        <v>525</v>
      </c>
      <c r="U13" s="29">
        <v>16</v>
      </c>
      <c r="V13" s="29"/>
      <c r="W13" s="29"/>
      <c r="X13" s="29"/>
      <c r="Y13" s="29"/>
      <c r="Z13" s="29" t="s">
        <v>536</v>
      </c>
      <c r="AA13" s="29"/>
      <c r="AB13" s="29"/>
      <c r="AC13" s="29"/>
      <c r="AD13" s="29"/>
    </row>
    <row r="14" spans="1:30" ht="113.4" customHeight="1" x14ac:dyDescent="0.3">
      <c r="A14" s="1">
        <v>113</v>
      </c>
      <c r="B14" s="21" t="s">
        <v>84</v>
      </c>
      <c r="C14" s="12">
        <v>8826368500</v>
      </c>
      <c r="D14" s="10" t="s">
        <v>85</v>
      </c>
      <c r="E14" s="10" t="s">
        <v>14</v>
      </c>
      <c r="F14" s="10" t="s">
        <v>15</v>
      </c>
      <c r="G14" s="11" t="s">
        <v>16</v>
      </c>
      <c r="H14" s="12">
        <v>1950</v>
      </c>
      <c r="I14" s="12">
        <v>487.5</v>
      </c>
      <c r="J14" s="10" t="s">
        <v>22</v>
      </c>
      <c r="K14" s="10" t="s">
        <v>86</v>
      </c>
      <c r="L14" s="10" t="s">
        <v>87</v>
      </c>
      <c r="M14" s="12"/>
      <c r="N14" s="14" t="s">
        <v>25</v>
      </c>
      <c r="O14" s="29" t="e">
        <f>VLOOKUP(A14,'[1]05-06-26'!$A$2:$T$136,20,0)</f>
        <v>#N/A</v>
      </c>
      <c r="P14" s="29" t="e">
        <f>VLOOKUP(A14,'[1]12-06-26'!$A$2:$T$115,20,0)</f>
        <v>#N/A</v>
      </c>
      <c r="Q14" s="29" t="str">
        <f>VLOOKUP(A14,'[1]19-06-26'!$A$2:$T$113,20,0)</f>
        <v>B Orchid  7     FF sachet + Grass</v>
      </c>
      <c r="R14" s="29" t="str">
        <f>VLOOKUP(A14,'[1]26-06-26'!$A$2:$T$121,20,0)</f>
        <v>O Asiatic ( 14 Inch ) 4     Grass</v>
      </c>
      <c r="S14" s="29" t="str">
        <f>VLOOKUP(A14,'[2]03-07-26'!$A$2:$T$124,20,0)</f>
        <v>Baloon Flowers  5     FF Sachet + Grass</v>
      </c>
      <c r="T14" s="29" t="s">
        <v>529</v>
      </c>
      <c r="U14" s="29">
        <v>7</v>
      </c>
      <c r="V14" s="29"/>
      <c r="W14" s="29"/>
      <c r="X14" s="29"/>
      <c r="Y14" s="29"/>
      <c r="Z14" s="29" t="s">
        <v>536</v>
      </c>
      <c r="AA14" s="29"/>
      <c r="AB14" s="29"/>
      <c r="AC14" s="29"/>
      <c r="AD14" s="29"/>
    </row>
    <row r="15" spans="1:30" ht="113.4" customHeight="1" x14ac:dyDescent="0.3">
      <c r="A15" s="1">
        <v>2519</v>
      </c>
      <c r="B15" s="8" t="s">
        <v>88</v>
      </c>
      <c r="C15" s="8">
        <v>9972167341</v>
      </c>
      <c r="D15" s="10" t="s">
        <v>89</v>
      </c>
      <c r="E15" s="10" t="s">
        <v>21</v>
      </c>
      <c r="F15" s="10" t="s">
        <v>15</v>
      </c>
      <c r="G15" s="18" t="s">
        <v>53</v>
      </c>
      <c r="H15" s="12">
        <v>1450</v>
      </c>
      <c r="I15" s="12">
        <v>362.5</v>
      </c>
      <c r="J15" s="10" t="s">
        <v>30</v>
      </c>
      <c r="K15" s="10" t="s">
        <v>90</v>
      </c>
      <c r="L15" s="12"/>
      <c r="M15" s="12"/>
      <c r="N15" s="14" t="s">
        <v>91</v>
      </c>
      <c r="O15" s="29" t="str">
        <f>VLOOKUP(A15,'[1]05-06-26'!$A$2:$T$136,20,0)</f>
        <v>Pur Eustom ( 14 Inch ) 2 P n W Glad ( 14 Inch ) 7   FF Sachet + Grass</v>
      </c>
      <c r="P15" s="29" t="e">
        <f>VLOOKUP(A15,'[1]12-06-26'!$A$2:$T$115,20,0)</f>
        <v>#N/A</v>
      </c>
      <c r="Q15" s="29" t="e">
        <f>VLOOKUP(A15,'[1]19-06-26'!$A$2:$T$113,20,0)</f>
        <v>#N/A</v>
      </c>
      <c r="R15" s="29" t="e">
        <f>VLOOKUP(A15,'[1]26-06-26'!$A$2:$T$121,20,0)</f>
        <v>#N/A</v>
      </c>
      <c r="S15" s="29" t="str">
        <f>VLOOKUP(A15,'[2]03-07-26'!$A$2:$T$124,20,0)</f>
        <v>Sunflower ( 12 Inch ) 2 Pur n P Car ( 14 Inch ) 7   FF Sachet + Grass</v>
      </c>
      <c r="T15" s="29" t="s">
        <v>526</v>
      </c>
      <c r="U15" s="29">
        <v>2</v>
      </c>
      <c r="V15" s="29" t="s">
        <v>523</v>
      </c>
      <c r="W15" s="29">
        <v>7</v>
      </c>
      <c r="X15" s="29"/>
      <c r="Y15" s="29"/>
      <c r="Z15" s="29" t="s">
        <v>535</v>
      </c>
      <c r="AA15" s="29"/>
      <c r="AB15" s="29"/>
      <c r="AC15" s="29"/>
      <c r="AD15" s="29"/>
    </row>
    <row r="16" spans="1:30" ht="113.4" customHeight="1" x14ac:dyDescent="0.3">
      <c r="A16" s="1">
        <v>2582</v>
      </c>
      <c r="B16" s="21" t="s">
        <v>92</v>
      </c>
      <c r="C16" s="9">
        <v>9873404809</v>
      </c>
      <c r="D16" s="10" t="s">
        <v>93</v>
      </c>
      <c r="E16" s="10" t="s">
        <v>21</v>
      </c>
      <c r="F16" s="10" t="s">
        <v>15</v>
      </c>
      <c r="G16" s="10" t="s">
        <v>36</v>
      </c>
      <c r="H16" s="12">
        <v>1450</v>
      </c>
      <c r="I16" s="12">
        <v>362.5</v>
      </c>
      <c r="J16" s="13" t="s">
        <v>30</v>
      </c>
      <c r="K16" s="10" t="s">
        <v>94</v>
      </c>
      <c r="L16" s="12"/>
      <c r="M16" s="12"/>
      <c r="N16" s="14" t="s">
        <v>25</v>
      </c>
      <c r="O16" s="29" t="str">
        <f>VLOOKUP(A16,'[1]05-06-26'!$A$2:$T$136,20,0)</f>
        <v>Y Spray Daisy ( 14 Inch ) 3     FF Sachet + Grass</v>
      </c>
      <c r="P16" s="29" t="e">
        <f>VLOOKUP(A16,'[1]12-06-26'!$A$2:$T$115,20,0)</f>
        <v>#N/A</v>
      </c>
      <c r="Q16" s="29" t="str">
        <f>VLOOKUP(A16,'[1]19-06-26'!$A$2:$T$113,20,0)</f>
        <v xml:space="preserve">R n P Car ( 14 Inch ) 16    FF Sachet + Grass </v>
      </c>
      <c r="R16" s="29" t="str">
        <f>VLOOKUP(A16,'[1]26-06-26'!$A$2:$T$121,20,0)</f>
        <v>P n W Glad ( 14 Inch ) 16     Grass</v>
      </c>
      <c r="S16" s="29" t="str">
        <f>VLOOKUP(A16,'[2]03-07-26'!$A$2:$T$124,20,0)</f>
        <v>G Spray Daisy ( 14 Inch ) 5     Grass</v>
      </c>
      <c r="T16" s="29" t="s">
        <v>543</v>
      </c>
      <c r="U16" s="29">
        <v>3</v>
      </c>
      <c r="V16" s="29"/>
      <c r="W16" s="29"/>
      <c r="X16" s="29"/>
      <c r="Y16" s="29"/>
      <c r="Z16" s="29" t="s">
        <v>535</v>
      </c>
      <c r="AA16" s="29"/>
      <c r="AB16" s="29"/>
      <c r="AC16" s="29"/>
      <c r="AD16" s="29"/>
    </row>
    <row r="17" spans="1:30" ht="113.4" customHeight="1" x14ac:dyDescent="0.3">
      <c r="A17" s="1">
        <v>2978</v>
      </c>
      <c r="B17" s="8" t="s">
        <v>95</v>
      </c>
      <c r="C17" s="12">
        <v>9050551471</v>
      </c>
      <c r="D17" s="10" t="s">
        <v>96</v>
      </c>
      <c r="E17" s="10" t="s">
        <v>44</v>
      </c>
      <c r="F17" s="10" t="s">
        <v>15</v>
      </c>
      <c r="G17" s="17" t="s">
        <v>53</v>
      </c>
      <c r="H17" s="12">
        <v>999</v>
      </c>
      <c r="I17" s="12">
        <v>249.75</v>
      </c>
      <c r="J17" s="13" t="s">
        <v>17</v>
      </c>
      <c r="K17" s="10" t="s">
        <v>97</v>
      </c>
      <c r="L17" s="12"/>
      <c r="M17" s="12"/>
      <c r="N17" s="14" t="s">
        <v>98</v>
      </c>
      <c r="O17" s="29" t="e">
        <f>VLOOKUP(A17,'[1]05-06-26'!$A$2:$T$136,20,0)</f>
        <v>#N/A</v>
      </c>
      <c r="P17" s="29" t="e">
        <f>VLOOKUP(A17,'[1]12-06-26'!$A$2:$T$115,20,0)</f>
        <v>#N/A</v>
      </c>
      <c r="Q17" s="29" t="e">
        <f>VLOOKUP(A17,'[1]19-06-26'!$A$2:$T$113,20,0)</f>
        <v>#N/A</v>
      </c>
      <c r="R17" s="29" t="e">
        <f>VLOOKUP(A17,'[1]26-06-26'!$A$2:$T$121,20,0)</f>
        <v>#N/A</v>
      </c>
      <c r="S17" s="29" t="e">
        <f>VLOOKUP(A17,'[2]03-07-26'!$A$2:$T$124,20,0)</f>
        <v>#N/A</v>
      </c>
      <c r="T17" s="29" t="s">
        <v>525</v>
      </c>
      <c r="U17" s="29">
        <v>9</v>
      </c>
      <c r="V17" s="29"/>
      <c r="W17" s="29"/>
      <c r="X17" s="29"/>
      <c r="Y17" s="29"/>
      <c r="Z17" s="29" t="s">
        <v>536</v>
      </c>
      <c r="AA17" s="29"/>
      <c r="AB17" s="29"/>
      <c r="AC17" s="29"/>
      <c r="AD17" s="29"/>
    </row>
    <row r="18" spans="1:30" ht="113.4" customHeight="1" x14ac:dyDescent="0.3">
      <c r="A18" s="1">
        <v>3290</v>
      </c>
      <c r="B18" s="8" t="s">
        <v>99</v>
      </c>
      <c r="C18" s="12">
        <v>8789906098</v>
      </c>
      <c r="D18" s="10" t="s">
        <v>100</v>
      </c>
      <c r="E18" s="10" t="s">
        <v>21</v>
      </c>
      <c r="F18" s="10" t="s">
        <v>15</v>
      </c>
      <c r="G18" s="11" t="s">
        <v>16</v>
      </c>
      <c r="H18" s="12">
        <v>1450</v>
      </c>
      <c r="I18" s="12">
        <v>362.5</v>
      </c>
      <c r="J18" s="10" t="s">
        <v>30</v>
      </c>
      <c r="K18" s="10" t="s">
        <v>101</v>
      </c>
      <c r="L18" s="12"/>
      <c r="M18" s="12"/>
      <c r="N18" s="14" t="s">
        <v>102</v>
      </c>
      <c r="O18" s="29" t="str">
        <f>VLOOKUP(A18,'[1]05-06-26'!$A$2:$T$136,20,0)</f>
        <v>P n Y Spray Daisy ( 14 Inch ) 5     FF Sachet + Grass</v>
      </c>
      <c r="P18" s="29" t="str">
        <f>VLOOKUP(A18,'[1]12-06-26'!$A$2:$T$115,20,0)</f>
        <v>P n W Glad ( 14 Inch ) 16     Grass</v>
      </c>
      <c r="Q18" s="29" t="str">
        <f>VLOOKUP(A18,'[1]19-06-26'!$A$2:$T$113,20,0)</f>
        <v xml:space="preserve">O Asiatic ( 14 Inch ) 3    Grass </v>
      </c>
      <c r="R18" s="29" t="e">
        <f>VLOOKUP(A18,'[1]26-06-26'!$A$2:$T$121,20,0)</f>
        <v>#N/A</v>
      </c>
      <c r="S18" s="29" t="e">
        <f>VLOOKUP(A18,'[2]03-07-26'!$A$2:$T$124,20,0)</f>
        <v>#N/A</v>
      </c>
      <c r="T18" s="29" t="s">
        <v>525</v>
      </c>
      <c r="U18" s="29">
        <v>16</v>
      </c>
      <c r="V18" s="29"/>
      <c r="W18" s="29"/>
      <c r="X18" s="29"/>
      <c r="Y18" s="29"/>
      <c r="Z18" s="29" t="s">
        <v>536</v>
      </c>
      <c r="AA18" s="29"/>
      <c r="AB18" s="29"/>
      <c r="AC18" s="29"/>
      <c r="AD18" s="29"/>
    </row>
    <row r="19" spans="1:30" ht="113.4" customHeight="1" x14ac:dyDescent="0.3">
      <c r="A19" s="1">
        <v>1899</v>
      </c>
      <c r="B19" s="8" t="s">
        <v>103</v>
      </c>
      <c r="C19" s="12">
        <v>9811227080</v>
      </c>
      <c r="D19" s="10" t="s">
        <v>104</v>
      </c>
      <c r="E19" s="10" t="s">
        <v>14</v>
      </c>
      <c r="F19" s="10" t="s">
        <v>15</v>
      </c>
      <c r="G19" s="11" t="s">
        <v>16</v>
      </c>
      <c r="H19" s="10">
        <v>4850</v>
      </c>
      <c r="I19" s="12">
        <v>606.25</v>
      </c>
      <c r="J19" s="22" t="s">
        <v>105</v>
      </c>
      <c r="K19" s="10" t="s">
        <v>106</v>
      </c>
      <c r="L19" s="12"/>
      <c r="M19" s="12"/>
      <c r="N19" s="14" t="s">
        <v>511</v>
      </c>
      <c r="O19" s="29" t="str">
        <f>VLOOKUP(A19,'[1]05-06-26'!$A$2:$T$136,20,0)</f>
        <v>P n Y Spray Daisy ( 14 Inch ) 9     FF Sachet + Grass</v>
      </c>
      <c r="P19" s="29" t="str">
        <f>VLOOKUP(A19,'[1]12-06-26'!$A$2:$T$115,20,0)</f>
        <v>Y Asiatic ( 14 Inch ) 6     Grass</v>
      </c>
      <c r="Q19" s="29" t="e">
        <f>VLOOKUP(A19,'[1]19-06-26'!$A$2:$T$113,20,0)</f>
        <v>#N/A</v>
      </c>
      <c r="R19" s="29" t="e">
        <f>VLOOKUP(A19,'[1]26-06-26'!$A$2:$T$121,20,0)</f>
        <v>#N/A</v>
      </c>
      <c r="S19" s="29" t="str">
        <f>VLOOKUP(A19,'[2]03-07-26'!$A$2:$T$124,20,0)</f>
        <v>P n W Glad ( 14 Inch ) 26     Grass</v>
      </c>
      <c r="T19" s="29" t="s">
        <v>523</v>
      </c>
      <c r="U19" s="29">
        <v>26</v>
      </c>
      <c r="V19" s="29"/>
      <c r="W19" s="29"/>
      <c r="X19" s="29"/>
      <c r="Y19" s="29"/>
      <c r="Z19" s="29" t="s">
        <v>535</v>
      </c>
      <c r="AA19" s="29"/>
      <c r="AB19" s="29"/>
      <c r="AC19" s="29"/>
      <c r="AD19" s="29"/>
    </row>
    <row r="20" spans="1:30" ht="113.4" customHeight="1" x14ac:dyDescent="0.3">
      <c r="A20" s="1">
        <v>2918</v>
      </c>
      <c r="B20" s="8" t="s">
        <v>107</v>
      </c>
      <c r="C20" s="9">
        <v>9212408077</v>
      </c>
      <c r="D20" s="10" t="s">
        <v>108</v>
      </c>
      <c r="E20" s="10" t="s">
        <v>21</v>
      </c>
      <c r="F20" s="10" t="s">
        <v>15</v>
      </c>
      <c r="G20" s="10" t="s">
        <v>109</v>
      </c>
      <c r="H20" s="12">
        <v>999</v>
      </c>
      <c r="I20" s="12">
        <v>249.75</v>
      </c>
      <c r="J20" s="13" t="s">
        <v>17</v>
      </c>
      <c r="K20" s="10" t="s">
        <v>110</v>
      </c>
      <c r="L20" s="12"/>
      <c r="M20" s="12"/>
      <c r="N20" s="14" t="s">
        <v>57</v>
      </c>
      <c r="O20" s="29" t="str">
        <f>VLOOKUP(A20,'[1]05-06-26'!$A$2:$T$136,20,0)</f>
        <v>P n W Car ( 14 Inch ) 9     FF Sachet + Grass</v>
      </c>
      <c r="P20" s="29" t="str">
        <f>VLOOKUP(A20,'[1]12-06-26'!$A$2:$T$115,20,0)</f>
        <v>Mix Alstroemeria ( 12 Inch ) 9     FF Sachet + Grass</v>
      </c>
      <c r="Q20" s="29" t="str">
        <f>VLOOKUP(A20,'[1]19-06-26'!$A$2:$T$113,20,0)</f>
        <v xml:space="preserve">O Asiatic ( 14 Inch ) 2    Grass </v>
      </c>
      <c r="R20" s="29" t="e">
        <f>VLOOKUP(A20,'[1]26-06-26'!$A$2:$T$121,20,0)</f>
        <v>#N/A</v>
      </c>
      <c r="S20" s="29" t="str">
        <f>VLOOKUP(A20,'[2]03-07-26'!$A$2:$T$124,20,0)</f>
        <v>P n W Glad ( 14 Inch ) 9     Grass</v>
      </c>
      <c r="T20" s="29" t="s">
        <v>525</v>
      </c>
      <c r="U20" s="29">
        <v>9</v>
      </c>
      <c r="V20" s="29"/>
      <c r="W20" s="29"/>
      <c r="X20" s="29"/>
      <c r="Y20" s="29"/>
      <c r="Z20" s="29" t="s">
        <v>536</v>
      </c>
      <c r="AA20" s="29"/>
      <c r="AB20" s="29"/>
      <c r="AC20" s="29"/>
      <c r="AD20" s="29"/>
    </row>
    <row r="21" spans="1:30" ht="113.4" customHeight="1" x14ac:dyDescent="0.3">
      <c r="A21" s="1">
        <v>3357</v>
      </c>
      <c r="B21" s="8" t="s">
        <v>111</v>
      </c>
      <c r="C21" s="12">
        <v>9958582708</v>
      </c>
      <c r="D21" s="10" t="s">
        <v>112</v>
      </c>
      <c r="E21" s="10" t="s">
        <v>77</v>
      </c>
      <c r="F21" s="10" t="s">
        <v>15</v>
      </c>
      <c r="G21" s="18" t="s">
        <v>53</v>
      </c>
      <c r="H21" s="12">
        <v>1450</v>
      </c>
      <c r="I21" s="12">
        <v>362.5</v>
      </c>
      <c r="J21" s="13" t="s">
        <v>30</v>
      </c>
      <c r="K21" s="10" t="s">
        <v>113</v>
      </c>
      <c r="L21" s="12"/>
      <c r="M21" s="12"/>
      <c r="N21" s="14" t="s">
        <v>102</v>
      </c>
      <c r="O21" s="29" t="str">
        <f>VLOOKUP(A21,'[1]05-06-26'!$A$2:$T$136,20,0)</f>
        <v>O Asiatic ( 14 Inch ) 3     Grass</v>
      </c>
      <c r="P21" s="29" t="str">
        <f>VLOOKUP(A21,'[1]12-06-26'!$A$2:$T$115,20,0)</f>
        <v>Mix Alstroemeria ( 12 Inch ) 16     FF Sachet + Grass</v>
      </c>
      <c r="Q21" s="29" t="str">
        <f>VLOOKUP(A21,'[1]19-06-26'!$A$2:$T$113,20,0)</f>
        <v xml:space="preserve">P Eustoma ( 12 Inch ) 3    FF Sachet + Grass </v>
      </c>
      <c r="R21" s="29" t="str">
        <f>VLOOKUP(A21,'[1]26-06-26'!$A$2:$T$121,20,0)</f>
        <v>Pur n P Car ( 14 Inch ) 16     FF sachet + Grass</v>
      </c>
      <c r="S21" s="29" t="e">
        <f>VLOOKUP(A21,'[2]03-07-26'!$A$2:$T$124,20,0)</f>
        <v>#N/A</v>
      </c>
      <c r="T21" s="29" t="s">
        <v>523</v>
      </c>
      <c r="U21" s="29">
        <v>16</v>
      </c>
      <c r="V21" s="29"/>
      <c r="W21" s="29"/>
      <c r="X21" s="29"/>
      <c r="Y21" s="29"/>
      <c r="Z21" s="29" t="s">
        <v>535</v>
      </c>
      <c r="AA21" s="29"/>
      <c r="AB21" s="29"/>
      <c r="AC21" s="29"/>
      <c r="AD21" s="29"/>
    </row>
    <row r="22" spans="1:30" ht="113.4" customHeight="1" x14ac:dyDescent="0.3">
      <c r="A22" s="1">
        <v>588</v>
      </c>
      <c r="B22" s="16" t="s">
        <v>114</v>
      </c>
      <c r="C22" s="1">
        <v>9810145564</v>
      </c>
      <c r="D22" s="13" t="s">
        <v>115</v>
      </c>
      <c r="E22" s="1" t="s">
        <v>21</v>
      </c>
      <c r="F22" s="10" t="s">
        <v>15</v>
      </c>
      <c r="G22" s="11" t="s">
        <v>16</v>
      </c>
      <c r="H22" s="12">
        <v>1600</v>
      </c>
      <c r="I22" s="12">
        <v>200</v>
      </c>
      <c r="J22" s="10" t="s">
        <v>37</v>
      </c>
      <c r="K22" s="13" t="s">
        <v>116</v>
      </c>
      <c r="L22" s="10" t="s">
        <v>117</v>
      </c>
      <c r="M22" s="12"/>
      <c r="N22" s="14" t="s">
        <v>512</v>
      </c>
      <c r="O22" s="29" t="str">
        <f>VLOOKUP(A22,'[1]05-06-26'!$A$2:$T$136,20,0)</f>
        <v>Sunflower ( 14 Inch ) 2     FF Sachet + Grass</v>
      </c>
      <c r="P22" s="29" t="str">
        <f>VLOOKUP(A22,'[1]12-06-26'!$A$2:$T$115,20,0)</f>
        <v>Mix Alstroemeria ( 12 Inch ) 7     FF Sachet + Grass</v>
      </c>
      <c r="Q22" s="29" t="str">
        <f>VLOOKUP(A22,'[1]19-06-26'!$A$2:$T$113,20,0)</f>
        <v>P n W Glad ( 14 Inch ) 7     Grass</v>
      </c>
      <c r="R22" s="29" t="str">
        <f>VLOOKUP(A22,'[1]26-06-26'!$A$2:$T$121,20,0)</f>
        <v>Sunflower ( 12 Inch ) 2     FF sachet + Grass</v>
      </c>
      <c r="S22" s="29" t="str">
        <f>VLOOKUP(A22,'[2]03-07-26'!$A$2:$T$124,20,0)</f>
        <v>Rajni ( 14 Inch ) 7     Grass</v>
      </c>
      <c r="T22" s="29" t="s">
        <v>524</v>
      </c>
      <c r="U22" s="29">
        <v>7</v>
      </c>
      <c r="V22" s="29"/>
      <c r="W22" s="29"/>
      <c r="X22" s="29"/>
      <c r="Y22" s="29"/>
      <c r="Z22" s="29" t="s">
        <v>535</v>
      </c>
      <c r="AA22" s="29"/>
      <c r="AB22" s="29"/>
      <c r="AC22" s="29"/>
      <c r="AD22" s="29"/>
    </row>
    <row r="23" spans="1:30" ht="113.4" customHeight="1" x14ac:dyDescent="0.3">
      <c r="A23" s="1">
        <v>3368</v>
      </c>
      <c r="B23" s="16" t="s">
        <v>118</v>
      </c>
      <c r="C23" s="8">
        <v>9971681194</v>
      </c>
      <c r="D23" s="10" t="s">
        <v>119</v>
      </c>
      <c r="E23" s="10" t="s">
        <v>14</v>
      </c>
      <c r="F23" s="13" t="s">
        <v>60</v>
      </c>
      <c r="G23" s="11" t="s">
        <v>16</v>
      </c>
      <c r="H23" s="12">
        <v>2300</v>
      </c>
      <c r="I23" s="12">
        <v>287.5</v>
      </c>
      <c r="J23" s="13" t="s">
        <v>120</v>
      </c>
      <c r="K23" s="10" t="s">
        <v>121</v>
      </c>
      <c r="L23" s="12"/>
      <c r="M23" s="12"/>
      <c r="N23" s="14" t="s">
        <v>513</v>
      </c>
      <c r="O23" s="29" t="str">
        <f>VLOOKUP(A23,'[1]05-06-26'!$A$2:$T$136,20,0)</f>
        <v>P Spray Daisy ( 14 Inch ) 3     FF Sachet + Grass</v>
      </c>
      <c r="P23" s="29" t="str">
        <f>VLOOKUP(A23,'[1]12-06-26'!$A$2:$T$115,20,0)</f>
        <v>Mix Alstroemeria ( 12 Inch ) 11     FF Sachet + Grass</v>
      </c>
      <c r="Q23" s="29" t="str">
        <f>VLOOKUP(A23,'[1]19-06-26'!$A$2:$T$113,20,0)</f>
        <v>P Asiatic ( 14 Inch ) 2     Grass</v>
      </c>
      <c r="R23" s="29" t="e">
        <f>VLOOKUP(A23,'[1]26-06-26'!$A$2:$T$121,20,0)</f>
        <v>#N/A</v>
      </c>
      <c r="S23" s="29" t="str">
        <f>VLOOKUP(A23,'[2]03-07-26'!$A$2:$T$124,20,0)</f>
        <v>Sunflower ( 12 Inch ) 3     FF Sachet + Grass</v>
      </c>
      <c r="T23" s="29" t="s">
        <v>524</v>
      </c>
      <c r="U23" s="29">
        <v>11</v>
      </c>
      <c r="V23" s="29"/>
      <c r="W23" s="29"/>
      <c r="X23" s="29"/>
      <c r="Y23" s="29"/>
      <c r="Z23" s="29" t="s">
        <v>535</v>
      </c>
      <c r="AA23" s="29"/>
      <c r="AB23" s="29"/>
      <c r="AC23" s="29"/>
      <c r="AD23" s="29"/>
    </row>
    <row r="24" spans="1:30" ht="113.4" customHeight="1" x14ac:dyDescent="0.3">
      <c r="A24" s="1">
        <v>3338</v>
      </c>
      <c r="B24" s="16" t="s">
        <v>122</v>
      </c>
      <c r="C24" s="12">
        <v>9871797835</v>
      </c>
      <c r="D24" s="10" t="s">
        <v>123</v>
      </c>
      <c r="E24" s="10" t="s">
        <v>21</v>
      </c>
      <c r="F24" s="10" t="s">
        <v>15</v>
      </c>
      <c r="G24" s="18" t="s">
        <v>53</v>
      </c>
      <c r="H24" s="12">
        <v>1450</v>
      </c>
      <c r="I24" s="12">
        <v>362.5</v>
      </c>
      <c r="J24" s="13" t="s">
        <v>30</v>
      </c>
      <c r="K24" s="10" t="s">
        <v>124</v>
      </c>
      <c r="L24" s="12"/>
      <c r="M24" s="12"/>
      <c r="N24" s="14" t="s">
        <v>50</v>
      </c>
      <c r="O24" s="29" t="str">
        <f>VLOOKUP(A24,'[1]05-06-26'!$A$2:$T$136,20,0)</f>
        <v>O Asiatic ( 14 Inch ) 3     Grass</v>
      </c>
      <c r="P24" s="29" t="str">
        <f>VLOOKUP(A24,'[1]12-06-26'!$A$2:$T$115,20,0)</f>
        <v>P n W Spray Daisy ( 14 Inch ) 5     FF Sachet + Grass</v>
      </c>
      <c r="Q24" s="29" t="e">
        <f>VLOOKUP(A24,'[1]19-06-26'!$A$2:$T$113,20,0)</f>
        <v>#N/A</v>
      </c>
      <c r="R24" s="29" t="str">
        <f>VLOOKUP(A24,'[1]26-06-26'!$A$2:$T$121,20,0)</f>
        <v>P n W Glad ( 14 Inch ) 16     Grass</v>
      </c>
      <c r="S24" s="29" t="str">
        <f>VLOOKUP(A24,'[2]03-07-26'!$A$2:$T$124,20,0)</f>
        <v>Sunflower ( 12 Inch ) 4     FF Sachet + Grass</v>
      </c>
      <c r="T24" s="29" t="s">
        <v>525</v>
      </c>
      <c r="U24" s="29">
        <v>16</v>
      </c>
      <c r="V24" s="29"/>
      <c r="W24" s="29"/>
      <c r="X24" s="29"/>
      <c r="Y24" s="29"/>
      <c r="Z24" s="29" t="s">
        <v>536</v>
      </c>
      <c r="AA24" s="29"/>
      <c r="AB24" s="29"/>
      <c r="AC24" s="29"/>
      <c r="AD24" s="29"/>
    </row>
    <row r="25" spans="1:30" ht="113.4" customHeight="1" x14ac:dyDescent="0.3">
      <c r="A25" s="1">
        <v>3381</v>
      </c>
      <c r="B25" s="8" t="s">
        <v>125</v>
      </c>
      <c r="C25" s="12">
        <v>9769021701</v>
      </c>
      <c r="D25" s="10" t="s">
        <v>126</v>
      </c>
      <c r="E25" s="10" t="s">
        <v>77</v>
      </c>
      <c r="F25" s="10" t="s">
        <v>15</v>
      </c>
      <c r="G25" s="18" t="s">
        <v>53</v>
      </c>
      <c r="H25" s="12">
        <v>2750</v>
      </c>
      <c r="I25" s="12">
        <v>687.5</v>
      </c>
      <c r="J25" s="13" t="s">
        <v>127</v>
      </c>
      <c r="K25" s="12"/>
      <c r="L25" s="12"/>
      <c r="M25" s="12"/>
      <c r="N25" s="14" t="s">
        <v>25</v>
      </c>
      <c r="O25" s="29" t="e">
        <f>VLOOKUP(A25,'[1]05-06-26'!$A$2:$T$136,20,0)</f>
        <v>#N/A</v>
      </c>
      <c r="P25" s="29" t="e">
        <f>VLOOKUP(A25,'[1]12-06-26'!$A$2:$T$115,20,0)</f>
        <v>#N/A</v>
      </c>
      <c r="Q25" s="29" t="str">
        <f>VLOOKUP(A25,'[1]19-06-26'!$A$2:$T$113,20,0)</f>
        <v>R n P Car ( 14 Inch ) 32     FF sachet + Grass</v>
      </c>
      <c r="R25" s="29" t="str">
        <f>VLOOKUP(A25,'[1]26-06-26'!$A$2:$T$121,20,0)</f>
        <v>O Asiatic ( 14 Inch ) 6     2 Gypaols</v>
      </c>
      <c r="S25" s="29" t="str">
        <f>VLOOKUP(A25,'[2]03-07-26'!$A$2:$T$124,20,0)</f>
        <v>P n W Glad ( 14 Inch ) 32     Grass</v>
      </c>
      <c r="T25" s="29" t="s">
        <v>544</v>
      </c>
      <c r="U25" s="29">
        <v>10</v>
      </c>
      <c r="V25" s="29"/>
      <c r="W25" s="29"/>
      <c r="X25" s="29"/>
      <c r="Y25" s="29"/>
      <c r="Z25" s="29" t="s">
        <v>551</v>
      </c>
      <c r="AA25" s="29"/>
      <c r="AB25" s="29"/>
      <c r="AC25" s="29"/>
      <c r="AD25" s="29"/>
    </row>
    <row r="26" spans="1:30" ht="113.4" customHeight="1" x14ac:dyDescent="0.3">
      <c r="A26" s="1">
        <v>3382</v>
      </c>
      <c r="B26" s="8" t="s">
        <v>128</v>
      </c>
      <c r="C26" s="12">
        <v>8800691541</v>
      </c>
      <c r="D26" s="10" t="s">
        <v>129</v>
      </c>
      <c r="E26" s="10" t="s">
        <v>21</v>
      </c>
      <c r="F26" s="10" t="s">
        <v>15</v>
      </c>
      <c r="G26" s="10" t="s">
        <v>36</v>
      </c>
      <c r="H26" s="12">
        <v>1450</v>
      </c>
      <c r="I26" s="12">
        <v>362.5</v>
      </c>
      <c r="J26" s="10" t="s">
        <v>30</v>
      </c>
      <c r="K26" s="12"/>
      <c r="L26" s="12"/>
      <c r="M26" s="12"/>
      <c r="N26" s="14" t="s">
        <v>25</v>
      </c>
      <c r="O26" s="29" t="e">
        <f>VLOOKUP(A26,'[1]05-06-26'!$A$2:$T$136,20,0)</f>
        <v>#N/A</v>
      </c>
      <c r="P26" s="29" t="e">
        <f>VLOOKUP(A26,'[1]12-06-26'!$A$2:$T$115,20,0)</f>
        <v>#N/A</v>
      </c>
      <c r="Q26" s="29" t="str">
        <f>VLOOKUP(A26,'[1]19-06-26'!$A$2:$T$113,20,0)</f>
        <v xml:space="preserve">R n P Car ( 14 Inch ) 16    FF Sachet + Grass </v>
      </c>
      <c r="R26" s="29" t="str">
        <f>VLOOKUP(A26,'[1]26-06-26'!$A$2:$T$121,20,0)</f>
        <v>O Asiatic ( 14 Inch ) 3     Grass</v>
      </c>
      <c r="S26" s="29" t="str">
        <f>VLOOKUP(A26,'[2]03-07-26'!$A$2:$T$124,20,0)</f>
        <v>P n W Glad ( 14 Inch ) 16     Grass</v>
      </c>
      <c r="T26" s="29" t="s">
        <v>544</v>
      </c>
      <c r="U26" s="29">
        <v>5</v>
      </c>
      <c r="V26" s="29"/>
      <c r="W26" s="29"/>
      <c r="X26" s="29"/>
      <c r="Y26" s="29"/>
      <c r="Z26" s="29" t="s">
        <v>536</v>
      </c>
      <c r="AA26" s="29"/>
      <c r="AB26" s="29"/>
      <c r="AC26" s="29"/>
      <c r="AD26" s="29"/>
    </row>
    <row r="27" spans="1:30" ht="113.4" customHeight="1" x14ac:dyDescent="0.3">
      <c r="A27" s="1">
        <v>2991</v>
      </c>
      <c r="B27" s="8" t="s">
        <v>130</v>
      </c>
      <c r="C27" s="12">
        <v>9818648787</v>
      </c>
      <c r="D27" s="10" t="s">
        <v>131</v>
      </c>
      <c r="E27" s="10" t="s">
        <v>21</v>
      </c>
      <c r="F27" s="10" t="s">
        <v>15</v>
      </c>
      <c r="G27" s="11" t="s">
        <v>16</v>
      </c>
      <c r="H27" s="12">
        <v>1450</v>
      </c>
      <c r="I27" s="12">
        <v>362.5</v>
      </c>
      <c r="J27" s="10" t="s">
        <v>30</v>
      </c>
      <c r="K27" s="10" t="s">
        <v>132</v>
      </c>
      <c r="L27" s="12"/>
      <c r="M27" s="12"/>
      <c r="N27" s="14" t="s">
        <v>91</v>
      </c>
      <c r="O27" s="29" t="str">
        <f>VLOOKUP(A27,'[1]05-06-26'!$A$2:$T$136,20,0)</f>
        <v>P n W Car ( 14 Inch ) 16     FF Sachet + Grass</v>
      </c>
      <c r="P27" s="29" t="str">
        <f>VLOOKUP(A27,'[1]12-06-26'!$A$2:$T$115,20,0)</f>
        <v>P n W Glad ( 14 Inch ) 16     Grass</v>
      </c>
      <c r="Q27" s="29" t="e">
        <f>VLOOKUP(A27,'[1]19-06-26'!$A$2:$T$113,20,0)</f>
        <v>#N/A</v>
      </c>
      <c r="R27" s="29" t="e">
        <f>VLOOKUP(A27,'[1]26-06-26'!$A$2:$T$121,20,0)</f>
        <v>#N/A</v>
      </c>
      <c r="S27" s="29" t="str">
        <f>VLOOKUP(A27,'[2]03-07-26'!$A$2:$T$124,20,0)</f>
        <v>G Spray Daisy ( 14 Inch ) 5     Grass</v>
      </c>
      <c r="T27" s="29" t="s">
        <v>543</v>
      </c>
      <c r="U27" s="29">
        <v>3</v>
      </c>
      <c r="V27" s="29"/>
      <c r="W27" s="29"/>
      <c r="X27" s="29"/>
      <c r="Y27" s="29"/>
      <c r="Z27" s="29" t="s">
        <v>535</v>
      </c>
      <c r="AA27" s="29"/>
      <c r="AB27" s="29"/>
      <c r="AC27" s="29"/>
      <c r="AD27" s="29"/>
    </row>
    <row r="28" spans="1:30" ht="113.4" customHeight="1" x14ac:dyDescent="0.3">
      <c r="A28" s="1">
        <v>2427</v>
      </c>
      <c r="B28" s="21" t="s">
        <v>133</v>
      </c>
      <c r="C28" s="12">
        <v>9560706242</v>
      </c>
      <c r="D28" s="10" t="s">
        <v>134</v>
      </c>
      <c r="E28" s="10" t="s">
        <v>28</v>
      </c>
      <c r="F28" s="10" t="s">
        <v>15</v>
      </c>
      <c r="G28" s="11" t="s">
        <v>16</v>
      </c>
      <c r="H28" s="12">
        <v>1450</v>
      </c>
      <c r="I28" s="12">
        <v>362.5</v>
      </c>
      <c r="J28" s="10" t="s">
        <v>30</v>
      </c>
      <c r="K28" s="10" t="s">
        <v>135</v>
      </c>
      <c r="L28" s="10" t="s">
        <v>136</v>
      </c>
      <c r="M28" s="12"/>
      <c r="N28" s="14" t="s">
        <v>25</v>
      </c>
      <c r="O28" s="29" t="str">
        <f>VLOOKUP(A28,'[1]05-06-26'!$A$2:$T$136,20,0)</f>
        <v>Y Spray Daisy ( 14 Inch ) 3 P n W Glad ( 14 Inch ) 7   FF Sachet + Grass</v>
      </c>
      <c r="P28" s="29" t="str">
        <f>VLOOKUP(A28,'[1]12-06-26'!$A$2:$T$115,20,0)</f>
        <v>P Asiatic ( 14 Inch ) 2 Mix Alstroemeria ( 12 Inch ) 7   Grass</v>
      </c>
      <c r="Q28" s="29" t="str">
        <f>VLOOKUP(A28,'[1]19-06-26'!$A$2:$T$113,20,0)</f>
        <v xml:space="preserve">Sunflower ( 12 Inch ) 2 Pur n P Car ( 14 Inch ) 7  FF Sachet + Grass </v>
      </c>
      <c r="R28" s="29" t="str">
        <f>VLOOKUP(A28,'[1]26-06-26'!$A$2:$T$121,20,0)</f>
        <v>P Eustoma ( 12 Inch ) 2 P n W Glad ( 14 Inch ) 7   FF sachet + Grass</v>
      </c>
      <c r="S28" s="29" t="str">
        <f>VLOOKUP(A28,'[2]03-07-26'!$A$2:$T$124,20,0)</f>
        <v>G Spray Daisy ( 14 Inch ) 3 Rajni ( 14 Inch ) 7   Grass</v>
      </c>
      <c r="T28" s="29" t="s">
        <v>526</v>
      </c>
      <c r="U28" s="29">
        <v>2</v>
      </c>
      <c r="V28" s="29" t="s">
        <v>525</v>
      </c>
      <c r="W28" s="29">
        <v>7</v>
      </c>
      <c r="X28" s="29"/>
      <c r="Y28" s="29"/>
      <c r="Z28" s="29" t="s">
        <v>535</v>
      </c>
      <c r="AA28" s="29"/>
      <c r="AB28" s="29"/>
      <c r="AC28" s="29"/>
      <c r="AD28" s="29"/>
    </row>
    <row r="29" spans="1:30" ht="113.4" customHeight="1" x14ac:dyDescent="0.3">
      <c r="A29" s="1">
        <v>2858</v>
      </c>
      <c r="B29" s="8" t="s">
        <v>137</v>
      </c>
      <c r="C29" s="12">
        <v>8527991304</v>
      </c>
      <c r="D29" s="10" t="s">
        <v>138</v>
      </c>
      <c r="E29" s="10" t="s">
        <v>21</v>
      </c>
      <c r="F29" s="10" t="s">
        <v>15</v>
      </c>
      <c r="G29" s="17" t="s">
        <v>45</v>
      </c>
      <c r="H29" s="12">
        <v>1450</v>
      </c>
      <c r="I29" s="12">
        <v>362.5</v>
      </c>
      <c r="J29" s="10" t="s">
        <v>30</v>
      </c>
      <c r="K29" s="12"/>
      <c r="L29" s="12"/>
      <c r="M29" s="12"/>
      <c r="N29" s="14" t="s">
        <v>25</v>
      </c>
      <c r="O29" s="29" t="str">
        <f>VLOOKUP(A29,'[1]05-06-26'!$A$2:$T$136,20,0)</f>
        <v>P n W Glad ( 14 Inch ) 16     Grass</v>
      </c>
      <c r="P29" s="29" t="str">
        <f>VLOOKUP(A29,'[1]12-06-26'!$A$2:$T$115,20,0)</f>
        <v>P n Y Spray Daisy ( 14 Inch ) 5     FF Sachet + Grass</v>
      </c>
      <c r="Q29" s="29" t="str">
        <f>VLOOKUP(A29,'[1]19-06-26'!$A$2:$T$113,20,0)</f>
        <v xml:space="preserve">P Eustoma ( 12 Inch ) 3    FF Sachet + Grass </v>
      </c>
      <c r="R29" s="29" t="str">
        <f>VLOOKUP(A29,'[1]26-06-26'!$A$2:$T$121,20,0)</f>
        <v>P n W Car ( 14 Inch ) 16     FF sachet + Grass</v>
      </c>
      <c r="S29" s="29" t="str">
        <f>VLOOKUP(A29,'[2]03-07-26'!$A$2:$T$124,20,0)</f>
        <v>W Asiatic ( 14 Inch ) 3     Grass</v>
      </c>
      <c r="T29" s="29" t="s">
        <v>524</v>
      </c>
      <c r="U29" s="29">
        <v>16</v>
      </c>
      <c r="V29" s="29"/>
      <c r="W29" s="29"/>
      <c r="X29" s="29"/>
      <c r="Y29" s="29"/>
      <c r="Z29" s="29" t="s">
        <v>535</v>
      </c>
      <c r="AA29" s="29"/>
      <c r="AB29" s="29"/>
      <c r="AC29" s="29"/>
      <c r="AD29" s="29"/>
    </row>
    <row r="30" spans="1:30" ht="113.4" customHeight="1" x14ac:dyDescent="0.3">
      <c r="A30" s="1">
        <v>3178</v>
      </c>
      <c r="B30" s="8" t="s">
        <v>139</v>
      </c>
      <c r="C30" s="12">
        <v>8588003677</v>
      </c>
      <c r="D30" s="10" t="s">
        <v>140</v>
      </c>
      <c r="E30" s="10" t="s">
        <v>14</v>
      </c>
      <c r="F30" s="10" t="s">
        <v>15</v>
      </c>
      <c r="G30" s="18" t="s">
        <v>78</v>
      </c>
      <c r="H30" s="12">
        <v>1950</v>
      </c>
      <c r="I30" s="12">
        <v>487.5</v>
      </c>
      <c r="J30" s="10" t="s">
        <v>22</v>
      </c>
      <c r="K30" s="10" t="s">
        <v>141</v>
      </c>
      <c r="L30" s="12"/>
      <c r="M30" s="10" t="s">
        <v>142</v>
      </c>
      <c r="N30" s="14" t="s">
        <v>25</v>
      </c>
      <c r="O30" s="29" t="str">
        <f>VLOOKUP(A30,'[1]05-06-26'!$A$2:$T$136,20,0)</f>
        <v>P Eustoma ( 14 Inch ) 2 Mix Alstroemeria ( 12 Inch ) 11   FF Sachet + Grass</v>
      </c>
      <c r="P30" s="29" t="str">
        <f>VLOOKUP(A30,'[1]12-06-26'!$A$2:$T$115,20,0)</f>
        <v>Sunflower ( 12 Inch ) 3 P n W Car ( 14 Inch ) 11   FF Sachet + Grass</v>
      </c>
      <c r="Q30" s="29" t="str">
        <f>VLOOKUP(A30,'[1]19-06-26'!$A$2:$T$113,20,0)</f>
        <v>P Asiatic ( 14 Inch ) 2 P n W Glad ( 14 Inch ) 11   Grass</v>
      </c>
      <c r="R30" s="29" t="str">
        <f>VLOOKUP(A30,'[1]26-06-26'!$A$2:$T$121,20,0)</f>
        <v>P n Y Spray Daisy ( 14 Inch ) 4 Pink And White Car 11   FF Sachet + Grass</v>
      </c>
      <c r="S30" s="29" t="str">
        <f>VLOOKUP(A30,'[2]03-07-26'!$A$2:$T$124,20,0)</f>
        <v>Sunflower ( 12 Inch ) 3 Rajni ( 14 Inch ) 11   FF Sachet + Grass</v>
      </c>
      <c r="T30" s="29" t="s">
        <v>526</v>
      </c>
      <c r="U30" s="29">
        <v>2</v>
      </c>
      <c r="V30" s="29" t="s">
        <v>530</v>
      </c>
      <c r="W30" s="29">
        <v>11</v>
      </c>
      <c r="X30" s="29"/>
      <c r="Y30" s="29"/>
      <c r="Z30" s="29" t="s">
        <v>535</v>
      </c>
      <c r="AA30" s="29"/>
      <c r="AB30" s="29"/>
      <c r="AC30" s="29"/>
      <c r="AD30" s="29"/>
    </row>
    <row r="31" spans="1:30" ht="113.4" customHeight="1" x14ac:dyDescent="0.3">
      <c r="A31" s="1">
        <v>1377</v>
      </c>
      <c r="B31" s="8" t="s">
        <v>143</v>
      </c>
      <c r="C31" s="12">
        <v>9958988852</v>
      </c>
      <c r="D31" s="10" t="s">
        <v>144</v>
      </c>
      <c r="E31" s="10" t="s">
        <v>28</v>
      </c>
      <c r="F31" s="12" t="s">
        <v>15</v>
      </c>
      <c r="G31" s="12" t="s">
        <v>36</v>
      </c>
      <c r="H31" s="12">
        <v>2300</v>
      </c>
      <c r="I31" s="12">
        <v>287.5</v>
      </c>
      <c r="J31" s="10" t="s">
        <v>120</v>
      </c>
      <c r="K31" s="10" t="s">
        <v>145</v>
      </c>
      <c r="L31" s="12"/>
      <c r="M31" s="10" t="s">
        <v>146</v>
      </c>
      <c r="N31" s="14" t="s">
        <v>25</v>
      </c>
      <c r="O31" s="29" t="str">
        <f>VLOOKUP(A31,'[1]05-06-26'!$A$2:$T$136,20,0)</f>
        <v>Rajni ( 14 Inch ) 11     Grass</v>
      </c>
      <c r="P31" s="29" t="str">
        <f>VLOOKUP(A31,'[1]12-06-26'!$A$2:$T$115,20,0)</f>
        <v>Pur n P Car ( 14 Inch ) 11     FF Sachet + Grass</v>
      </c>
      <c r="Q31" s="29" t="str">
        <f>VLOOKUP(A31,'[1]19-06-26'!$A$2:$T$113,20,0)</f>
        <v>P n W Glad ( 14 Inch ) 11     Grass</v>
      </c>
      <c r="R31" s="29" t="e">
        <f>VLOOKUP(A31,'[1]26-06-26'!$A$2:$T$121,20,0)</f>
        <v>#N/A</v>
      </c>
      <c r="S31" s="29" t="str">
        <f>VLOOKUP(A31,'[2]03-07-26'!$A$2:$T$124,20,0)</f>
        <v>P Asiatic ( 14 Inch ) 2     Grass</v>
      </c>
      <c r="T31" s="29" t="s">
        <v>525</v>
      </c>
      <c r="U31" s="29">
        <v>11</v>
      </c>
      <c r="V31" s="29"/>
      <c r="W31" s="29"/>
      <c r="X31" s="29"/>
      <c r="Y31" s="29"/>
      <c r="Z31" s="29" t="s">
        <v>535</v>
      </c>
      <c r="AA31" s="29"/>
      <c r="AB31" s="29"/>
      <c r="AC31" s="29"/>
      <c r="AD31" s="29"/>
    </row>
    <row r="32" spans="1:30" ht="113.4" customHeight="1" x14ac:dyDescent="0.3">
      <c r="A32" s="1">
        <v>3383</v>
      </c>
      <c r="B32" s="8" t="s">
        <v>147</v>
      </c>
      <c r="C32" s="12">
        <v>8084159730</v>
      </c>
      <c r="D32" s="10" t="s">
        <v>148</v>
      </c>
      <c r="E32" s="10" t="s">
        <v>21</v>
      </c>
      <c r="F32" s="10" t="s">
        <v>149</v>
      </c>
      <c r="G32" s="17" t="s">
        <v>45</v>
      </c>
      <c r="H32" s="12">
        <v>1450</v>
      </c>
      <c r="I32" s="12">
        <v>362.5</v>
      </c>
      <c r="J32" s="13" t="s">
        <v>30</v>
      </c>
      <c r="K32" s="12"/>
      <c r="L32" s="12"/>
      <c r="M32" s="12"/>
      <c r="N32" s="14" t="s">
        <v>25</v>
      </c>
      <c r="O32" s="29" t="e">
        <f>VLOOKUP(A32,'[1]05-06-26'!$A$2:$T$136,20,0)</f>
        <v>#N/A</v>
      </c>
      <c r="P32" s="29" t="e">
        <f>VLOOKUP(A32,'[1]12-06-26'!$A$2:$T$115,20,0)</f>
        <v>#N/A</v>
      </c>
      <c r="Q32" s="29" t="str">
        <f>VLOOKUP(A32,'[1]19-06-26'!$A$2:$T$113,20,0)</f>
        <v xml:space="preserve">R n P Car ( 14 Inch ) 16    FF Sachet + Grass </v>
      </c>
      <c r="R32" s="29" t="str">
        <f>VLOOKUP(A32,'[1]26-06-26'!$A$2:$T$121,20,0)</f>
        <v>O Asiatic ( 14 Inch ) 3     Grass</v>
      </c>
      <c r="S32" s="29" t="str">
        <f>VLOOKUP(A32,'[2]03-07-26'!$A$2:$T$124,20,0)</f>
        <v>P n W Glad ( 14 Inch ) 16     Grass</v>
      </c>
      <c r="T32" s="29" t="s">
        <v>544</v>
      </c>
      <c r="U32" s="29">
        <v>5</v>
      </c>
      <c r="V32" s="29"/>
      <c r="W32" s="29"/>
      <c r="X32" s="29"/>
      <c r="Y32" s="29"/>
      <c r="Z32" s="29" t="s">
        <v>536</v>
      </c>
      <c r="AA32" s="29"/>
      <c r="AB32" s="29"/>
      <c r="AC32" s="29"/>
      <c r="AD32" s="29"/>
    </row>
    <row r="33" spans="1:30" ht="113.4" customHeight="1" x14ac:dyDescent="0.3">
      <c r="A33" s="1">
        <v>2435</v>
      </c>
      <c r="B33" s="8" t="s">
        <v>150</v>
      </c>
      <c r="C33" s="12">
        <v>7426027603</v>
      </c>
      <c r="D33" s="10" t="s">
        <v>151</v>
      </c>
      <c r="E33" s="10" t="s">
        <v>77</v>
      </c>
      <c r="F33" s="10" t="s">
        <v>15</v>
      </c>
      <c r="G33" s="10" t="s">
        <v>152</v>
      </c>
      <c r="H33" s="12">
        <v>1450</v>
      </c>
      <c r="I33" s="12">
        <v>362.5</v>
      </c>
      <c r="J33" s="10" t="s">
        <v>30</v>
      </c>
      <c r="K33" s="10" t="s">
        <v>153</v>
      </c>
      <c r="L33" s="12"/>
      <c r="M33" s="10" t="s">
        <v>154</v>
      </c>
      <c r="N33" s="14" t="s">
        <v>50</v>
      </c>
      <c r="O33" s="29" t="str">
        <f>VLOOKUP(A33,'[1]05-06-26'!$A$2:$T$136,20,0)</f>
        <v>O Asiatic ( 14 Inch ) 3     Grass</v>
      </c>
      <c r="P33" s="29" t="str">
        <f>VLOOKUP(A33,'[1]12-06-26'!$A$2:$T$115,20,0)</f>
        <v>P n W Glad ( 14 Inch ) 16     Grass</v>
      </c>
      <c r="Q33" s="29" t="str">
        <f>VLOOKUP(A33,'[1]19-06-26'!$A$2:$T$113,20,0)</f>
        <v xml:space="preserve">P Eustoma ( 12 Inch ) 3    FF Sachet + Grass </v>
      </c>
      <c r="R33" s="29" t="str">
        <f>VLOOKUP(A33,'[1]26-06-26'!$A$2:$T$121,20,0)</f>
        <v>Alstromeria 16     FF sachet + Grass</v>
      </c>
      <c r="S33" s="29" t="e">
        <f>VLOOKUP(A33,'[2]03-07-26'!$A$2:$T$124,20,0)</f>
        <v>#N/A</v>
      </c>
      <c r="T33" s="29" t="s">
        <v>525</v>
      </c>
      <c r="U33" s="29">
        <v>16</v>
      </c>
      <c r="V33" s="29"/>
      <c r="W33" s="29"/>
      <c r="X33" s="29"/>
      <c r="Y33" s="29"/>
      <c r="Z33" s="29" t="s">
        <v>536</v>
      </c>
      <c r="AA33" s="29"/>
      <c r="AB33" s="29"/>
      <c r="AC33" s="29"/>
      <c r="AD33" s="29"/>
    </row>
    <row r="34" spans="1:30" ht="113.4" customHeight="1" x14ac:dyDescent="0.3">
      <c r="A34" s="1">
        <v>1238</v>
      </c>
      <c r="B34" s="8" t="s">
        <v>155</v>
      </c>
      <c r="C34" s="12">
        <v>9560900277</v>
      </c>
      <c r="D34" s="10" t="s">
        <v>156</v>
      </c>
      <c r="E34" s="10" t="s">
        <v>28</v>
      </c>
      <c r="F34" s="10" t="s">
        <v>15</v>
      </c>
      <c r="G34" s="18" t="s">
        <v>45</v>
      </c>
      <c r="H34" s="12">
        <v>1950</v>
      </c>
      <c r="I34" s="12">
        <v>487.5</v>
      </c>
      <c r="J34" s="23" t="s">
        <v>22</v>
      </c>
      <c r="K34" s="10" t="s">
        <v>157</v>
      </c>
      <c r="L34" s="10" t="s">
        <v>158</v>
      </c>
      <c r="M34" s="12" t="s">
        <v>159</v>
      </c>
      <c r="N34" s="14" t="s">
        <v>25</v>
      </c>
      <c r="O34" s="29" t="str">
        <f>VLOOKUP(A34,'[1]05-06-26'!$A$2:$T$136,20,0)</f>
        <v>Pur n P Eustoma ( 14 Inch ) 4     FF Sachet + Grass</v>
      </c>
      <c r="P34" s="29" t="str">
        <f>VLOOKUP(A34,'[1]12-06-26'!$A$2:$T$115,20,0)</f>
        <v>P n Y Spray Daisy ( 14 Inch ) 7     FF Sachet + Grass</v>
      </c>
      <c r="Q34" s="29" t="str">
        <f>VLOOKUP(A34,'[1]19-06-26'!$A$2:$T$113,20,0)</f>
        <v>Mix Car 22     FF sachet + Grass</v>
      </c>
      <c r="R34" s="29" t="str">
        <f>VLOOKUP(A34,'[1]26-06-26'!$A$2:$T$121,20,0)</f>
        <v>O Asiatic ( 14 Inch ) 4     Grass</v>
      </c>
      <c r="S34" s="29" t="str">
        <f>VLOOKUP(A34,'[2]03-07-26'!$A$2:$T$124,20,0)</f>
        <v>Baloon Flower 4     Grass</v>
      </c>
      <c r="T34" s="29" t="s">
        <v>524</v>
      </c>
      <c r="U34" s="29">
        <v>22</v>
      </c>
      <c r="V34" s="29"/>
      <c r="W34" s="29"/>
      <c r="X34" s="29"/>
      <c r="Y34" s="29"/>
      <c r="Z34" s="29" t="s">
        <v>535</v>
      </c>
      <c r="AA34" s="29"/>
      <c r="AB34" s="29"/>
      <c r="AC34" s="29"/>
      <c r="AD34" s="29"/>
    </row>
    <row r="35" spans="1:30" ht="113.4" customHeight="1" x14ac:dyDescent="0.3">
      <c r="A35" s="1">
        <v>2123</v>
      </c>
      <c r="B35" s="16" t="s">
        <v>160</v>
      </c>
      <c r="C35" s="8">
        <v>9999982765</v>
      </c>
      <c r="D35" s="8" t="s">
        <v>161</v>
      </c>
      <c r="E35" s="10" t="s">
        <v>21</v>
      </c>
      <c r="F35" s="10" t="s">
        <v>15</v>
      </c>
      <c r="G35" s="11" t="s">
        <v>16</v>
      </c>
      <c r="H35" s="10">
        <v>3750</v>
      </c>
      <c r="I35" s="12">
        <v>937.5</v>
      </c>
      <c r="J35" s="24" t="s">
        <v>162</v>
      </c>
      <c r="K35" s="10" t="s">
        <v>163</v>
      </c>
      <c r="L35" s="10"/>
      <c r="M35" s="10" t="s">
        <v>164</v>
      </c>
      <c r="N35" s="14" t="s">
        <v>50</v>
      </c>
      <c r="O35" s="29" t="str">
        <f>VLOOKUP(A35,'[1]05-06-26'!$A$2:$T$136,20,0)</f>
        <v>Sunflower ( 12 Inch ) 5 Mix Alstroemeria ( 12 Inch ) 20   2 Limonium + FF Sachet</v>
      </c>
      <c r="P35" s="29" t="str">
        <f>VLOOKUP(A35,'[1]12-06-26'!$A$2:$T$115,20,0)</f>
        <v>Pur n P Eustoma ( 14 Inch ) 4 Pur n P Car ( 14 Inch ) 16   2 Gypsola + FF Sachet</v>
      </c>
      <c r="Q35" s="29" t="str">
        <f>VLOOKUP(A35,'[1]19-06-26'!$A$2:$T$113,20,0)</f>
        <v>O Asiatic ( 14 Inch ) 4 P n W Glad ( 14 Inch ) 21   Grass</v>
      </c>
      <c r="R35" s="29" t="str">
        <f>VLOOKUP(A35,'[1]26-06-26'!$A$2:$T$121,20,0)</f>
        <v xml:space="preserve">G n Y Spray Daisy ( 14 Inch ) 5 Rajni ( 14 Inch ) 20   2 Limonium </v>
      </c>
      <c r="S35" s="29" t="str">
        <f>VLOOKUP(A35,'[2]03-07-26'!$A$2:$T$124,20,0)</f>
        <v>Baloon Flowers  4 Pur n P Car ( 14 Inch ) 20   FF Sachet + Grass</v>
      </c>
      <c r="T35" s="29" t="s">
        <v>522</v>
      </c>
      <c r="U35" s="29">
        <v>5</v>
      </c>
      <c r="V35" s="29" t="s">
        <v>530</v>
      </c>
      <c r="W35" s="29">
        <v>20</v>
      </c>
      <c r="X35" s="29"/>
      <c r="Y35" s="29"/>
      <c r="Z35" s="29" t="s">
        <v>548</v>
      </c>
      <c r="AA35" s="29"/>
      <c r="AB35" s="29"/>
      <c r="AC35" s="29"/>
      <c r="AD35" s="29"/>
    </row>
    <row r="36" spans="1:30" ht="113.4" customHeight="1" x14ac:dyDescent="0.3">
      <c r="A36" s="1">
        <v>48</v>
      </c>
      <c r="B36" s="25" t="s">
        <v>165</v>
      </c>
      <c r="C36" s="12">
        <v>9873660272</v>
      </c>
      <c r="D36" s="10" t="s">
        <v>166</v>
      </c>
      <c r="E36" s="10" t="s">
        <v>28</v>
      </c>
      <c r="F36" s="13" t="s">
        <v>15</v>
      </c>
      <c r="G36" s="11" t="s">
        <v>16</v>
      </c>
      <c r="H36" s="12">
        <v>1950</v>
      </c>
      <c r="I36" s="12">
        <v>487.5</v>
      </c>
      <c r="J36" s="10" t="s">
        <v>22</v>
      </c>
      <c r="K36" s="13" t="s">
        <v>167</v>
      </c>
      <c r="L36" s="12"/>
      <c r="M36" s="12"/>
      <c r="N36" s="14" t="s">
        <v>25</v>
      </c>
      <c r="O36" s="29" t="str">
        <f>VLOOKUP(A36,'[1]05-06-26'!$A$2:$T$136,20,0)</f>
        <v>P n W Glad ( 14 Inch ) 22     Grass</v>
      </c>
      <c r="P36" s="29" t="str">
        <f>VLOOKUP(A36,'[1]12-06-26'!$A$2:$T$115,20,0)</f>
        <v>Mix Alstroemeria ( 12 Inch ) 22     FF Sachet + Grass</v>
      </c>
      <c r="Q36" s="29" t="str">
        <f>VLOOKUP(A36,'[1]19-06-26'!$A$2:$T$113,20,0)</f>
        <v>Sunflower ( 12 Inch ) 5     FF sachet + Grass</v>
      </c>
      <c r="R36" s="29" t="str">
        <f>VLOOKUP(A36,'[1]26-06-26'!$A$2:$T$121,20,0)</f>
        <v>Pur n P Car ( 14 Inch ) 22     FF Sachet + Grass</v>
      </c>
      <c r="S36" s="29" t="str">
        <f>VLOOKUP(A36,'[2]03-07-26'!$A$2:$T$124,20,0)</f>
        <v>G n Y Spray Daisy ( 14 Inch ) 7     Grass</v>
      </c>
      <c r="T36" s="29" t="s">
        <v>543</v>
      </c>
      <c r="U36" s="29">
        <v>4</v>
      </c>
      <c r="V36" s="29"/>
      <c r="W36" s="29"/>
      <c r="X36" s="29"/>
      <c r="Y36" s="29"/>
      <c r="Z36" s="29" t="s">
        <v>535</v>
      </c>
      <c r="AA36" s="29"/>
      <c r="AB36" s="29"/>
      <c r="AC36" s="29"/>
      <c r="AD36" s="29"/>
    </row>
    <row r="37" spans="1:30" ht="113.4" customHeight="1" x14ac:dyDescent="0.3">
      <c r="A37" s="1">
        <v>1914</v>
      </c>
      <c r="B37" s="8" t="s">
        <v>168</v>
      </c>
      <c r="C37" s="12">
        <v>7011107486</v>
      </c>
      <c r="D37" s="10" t="s">
        <v>169</v>
      </c>
      <c r="E37" s="10" t="s">
        <v>21</v>
      </c>
      <c r="F37" s="10" t="s">
        <v>15</v>
      </c>
      <c r="G37" s="11" t="s">
        <v>16</v>
      </c>
      <c r="H37" s="12">
        <v>3000</v>
      </c>
      <c r="I37" s="12">
        <v>375</v>
      </c>
      <c r="J37" s="10" t="s">
        <v>170</v>
      </c>
      <c r="K37" s="10" t="s">
        <v>171</v>
      </c>
      <c r="L37" s="10" t="s">
        <v>172</v>
      </c>
      <c r="M37" s="12"/>
      <c r="N37" s="14" t="s">
        <v>25</v>
      </c>
      <c r="O37" s="29" t="str">
        <f>VLOOKUP(A37,'[1]05-06-26'!$A$2:$T$136,20,0)</f>
        <v>P n W Car ( 14 Inch ) 15     FF Sachet + Grass</v>
      </c>
      <c r="P37" s="29" t="str">
        <f>VLOOKUP(A37,'[1]12-06-26'!$A$2:$T$115,20,0)</f>
        <v>Mix Alstroemeria ( 12 Inch ) 15     FF Sachet + Grass</v>
      </c>
      <c r="Q37" s="29" t="str">
        <f>VLOOKUP(A37,'[1]19-06-26'!$A$2:$T$113,20,0)</f>
        <v>Rajni ( 14 Inch ) 15     Grass</v>
      </c>
      <c r="R37" s="29" t="e">
        <f>VLOOKUP(A37,'[1]26-06-26'!$A$2:$T$121,20,0)</f>
        <v>#N/A</v>
      </c>
      <c r="S37" s="29" t="str">
        <f>VLOOKUP(A37,'[2]03-07-26'!$A$2:$T$124,20,0)</f>
        <v>W Asiatic ( 14 Inch ) 3     Grass</v>
      </c>
      <c r="T37" s="29" t="s">
        <v>525</v>
      </c>
      <c r="U37" s="29">
        <v>15</v>
      </c>
      <c r="V37" s="29"/>
      <c r="W37" s="29"/>
      <c r="X37" s="29"/>
      <c r="Y37" s="29"/>
      <c r="Z37" s="29" t="s">
        <v>536</v>
      </c>
      <c r="AA37" s="29"/>
      <c r="AB37" s="29"/>
      <c r="AC37" s="29"/>
      <c r="AD37" s="29"/>
    </row>
    <row r="38" spans="1:30" ht="113.4" customHeight="1" x14ac:dyDescent="0.3">
      <c r="A38" s="1">
        <v>2083</v>
      </c>
      <c r="B38" s="8" t="s">
        <v>173</v>
      </c>
      <c r="C38" s="12">
        <v>9810570666</v>
      </c>
      <c r="D38" s="10" t="s">
        <v>174</v>
      </c>
      <c r="E38" s="10" t="s">
        <v>21</v>
      </c>
      <c r="F38" s="10" t="s">
        <v>15</v>
      </c>
      <c r="G38" s="11" t="s">
        <v>16</v>
      </c>
      <c r="H38" s="12">
        <v>2300</v>
      </c>
      <c r="I38" s="12">
        <v>287.5</v>
      </c>
      <c r="J38" s="10" t="s">
        <v>120</v>
      </c>
      <c r="K38" s="10" t="s">
        <v>175</v>
      </c>
      <c r="L38" s="10" t="s">
        <v>176</v>
      </c>
      <c r="M38" s="10" t="s">
        <v>177</v>
      </c>
      <c r="N38" s="14" t="s">
        <v>514</v>
      </c>
      <c r="O38" s="29" t="str">
        <f>VLOOKUP(A38,'[1]05-06-26'!$A$2:$T$136,20,0)</f>
        <v xml:space="preserve">P Asiatic ( 14 Inch ) 6     2 Gypsola </v>
      </c>
      <c r="P38" s="29" t="str">
        <f>VLOOKUP(A38,'[1]12-06-26'!$A$2:$T$115,20,0)</f>
        <v>P n W Glad ( 14 Inch ) 32     2 Limonium</v>
      </c>
      <c r="Q38" s="29" t="e">
        <f>VLOOKUP(A38,'[1]19-06-26'!$A$2:$T$113,20,0)</f>
        <v>#N/A</v>
      </c>
      <c r="R38" s="29" t="str">
        <f>VLOOKUP(A38,'[1]26-06-26'!$A$2:$T$121,20,0)</f>
        <v>P n Y Spray Daisy ( 14 Inch ) 4     FF sachet + Grass</v>
      </c>
      <c r="S38" s="29" t="str">
        <f>VLOOKUP(A38,'[2]03-07-26'!$A$2:$T$124,20,0)</f>
        <v>P n W Glad ( 14 Inch ) 11     Grass</v>
      </c>
      <c r="T38" s="29" t="s">
        <v>526</v>
      </c>
      <c r="U38" s="29">
        <v>2</v>
      </c>
      <c r="V38" s="29"/>
      <c r="W38" s="29"/>
      <c r="X38" s="29"/>
      <c r="Y38" s="29"/>
      <c r="Z38" s="29" t="s">
        <v>535</v>
      </c>
      <c r="AA38" s="29"/>
      <c r="AB38" s="29"/>
      <c r="AC38" s="29"/>
      <c r="AD38" s="29"/>
    </row>
    <row r="39" spans="1:30" ht="113.4" customHeight="1" x14ac:dyDescent="0.3">
      <c r="A39" s="1">
        <v>1630</v>
      </c>
      <c r="B39" s="8" t="s">
        <v>178</v>
      </c>
      <c r="C39" s="12">
        <v>9910184448</v>
      </c>
      <c r="D39" s="10" t="s">
        <v>179</v>
      </c>
      <c r="E39" s="10" t="s">
        <v>28</v>
      </c>
      <c r="F39" s="10" t="s">
        <v>15</v>
      </c>
      <c r="G39" s="18" t="s">
        <v>53</v>
      </c>
      <c r="H39" s="12">
        <v>1450</v>
      </c>
      <c r="I39" s="12">
        <v>362.5</v>
      </c>
      <c r="J39" s="10" t="s">
        <v>30</v>
      </c>
      <c r="K39" s="10" t="s">
        <v>180</v>
      </c>
      <c r="L39" s="12"/>
      <c r="M39" s="12"/>
      <c r="N39" s="14" t="s">
        <v>25</v>
      </c>
      <c r="O39" s="29" t="str">
        <f>VLOOKUP(A39,'[1]05-06-26'!$A$2:$T$136,20,0)</f>
        <v>P n W Glad ( 14 Inch ) 16     Grass</v>
      </c>
      <c r="P39" s="29" t="str">
        <f>VLOOKUP(A39,'[1]12-06-26'!$A$2:$T$115,20,0)</f>
        <v>P n Y Spray Daisy ( 14 Inch ) 5     FF Sachet + Grass</v>
      </c>
      <c r="Q39" s="29" t="str">
        <f>VLOOKUP(A39,'[1]19-06-26'!$A$2:$T$113,20,0)</f>
        <v xml:space="preserve">R n P Car ( 14 Inch ) 16    FF Sachet + Grass </v>
      </c>
      <c r="R39" s="29" t="str">
        <f>VLOOKUP(A39,'[1]26-06-26'!$A$2:$T$121,20,0)</f>
        <v>Pur Eustoma ( 12 Inch ) 3     FF sachet + Grass</v>
      </c>
      <c r="S39" s="29" t="str">
        <f>VLOOKUP(A39,'[2]03-07-26'!$A$2:$T$124,20,0)</f>
        <v>Sunflower ( 12 Inch ) 4     FF Sachet + Grass</v>
      </c>
      <c r="T39" s="29" t="s">
        <v>526</v>
      </c>
      <c r="U39" s="29">
        <v>3</v>
      </c>
      <c r="V39" s="29"/>
      <c r="W39" s="29"/>
      <c r="X39" s="29"/>
      <c r="Y39" s="29"/>
      <c r="Z39" s="29" t="s">
        <v>535</v>
      </c>
      <c r="AA39" s="29"/>
      <c r="AB39" s="29"/>
      <c r="AC39" s="29"/>
      <c r="AD39" s="29"/>
    </row>
    <row r="40" spans="1:30" ht="113.4" customHeight="1" x14ac:dyDescent="0.3">
      <c r="A40" s="1">
        <v>628</v>
      </c>
      <c r="B40" s="8" t="s">
        <v>181</v>
      </c>
      <c r="C40" s="12">
        <v>9873675242</v>
      </c>
      <c r="D40" s="10" t="s">
        <v>182</v>
      </c>
      <c r="E40" s="10" t="s">
        <v>21</v>
      </c>
      <c r="F40" s="10" t="s">
        <v>15</v>
      </c>
      <c r="G40" s="11" t="s">
        <v>16</v>
      </c>
      <c r="H40" s="12">
        <v>1450</v>
      </c>
      <c r="I40" s="12">
        <v>362.5</v>
      </c>
      <c r="J40" s="10" t="s">
        <v>30</v>
      </c>
      <c r="K40" s="13" t="s">
        <v>183</v>
      </c>
      <c r="L40" s="12"/>
      <c r="M40" s="12"/>
      <c r="N40" s="14" t="s">
        <v>25</v>
      </c>
      <c r="O40" s="29" t="str">
        <f>VLOOKUP(A40,'[1]05-06-26'!$A$2:$T$136,20,0)</f>
        <v>P n W Glad ( 14 Inch ) 16     Grass</v>
      </c>
      <c r="P40" s="29" t="str">
        <f>VLOOKUP(A40,'[1]12-06-26'!$A$2:$T$115,20,0)</f>
        <v>P n Y Spray Daisy ( 14 Inch ) 5     FF Sachet + Grass</v>
      </c>
      <c r="Q40" s="29" t="str">
        <f>VLOOKUP(A40,'[1]19-06-26'!$A$2:$T$113,20,0)</f>
        <v xml:space="preserve">R n P Car ( 14 Inch ) 16    FF Sachet + Grass </v>
      </c>
      <c r="R40" s="29" t="str">
        <f>VLOOKUP(A40,'[1]26-06-26'!$A$2:$T$121,20,0)</f>
        <v>Pur Eustoma ( 12 Inch ) 3     FF sachet + Grass</v>
      </c>
      <c r="S40" s="29" t="str">
        <f>VLOOKUP(A40,'[2]03-07-26'!$A$2:$T$124,20,0)</f>
        <v>Sunflower ( 12 Inch ) 4     FF Sachet + Grass</v>
      </c>
      <c r="T40" s="29" t="s">
        <v>526</v>
      </c>
      <c r="U40" s="29">
        <v>3</v>
      </c>
      <c r="V40" s="29"/>
      <c r="W40" s="29"/>
      <c r="X40" s="29"/>
      <c r="Y40" s="29"/>
      <c r="Z40" s="29" t="s">
        <v>535</v>
      </c>
      <c r="AA40" s="29"/>
      <c r="AB40" s="29"/>
      <c r="AC40" s="29"/>
      <c r="AD40" s="29"/>
    </row>
    <row r="41" spans="1:30" ht="113.4" customHeight="1" x14ac:dyDescent="0.3">
      <c r="A41" s="1">
        <v>2311</v>
      </c>
      <c r="B41" s="8" t="s">
        <v>184</v>
      </c>
      <c r="C41" s="9">
        <v>9986593206</v>
      </c>
      <c r="D41" s="10" t="s">
        <v>185</v>
      </c>
      <c r="E41" s="10" t="s">
        <v>14</v>
      </c>
      <c r="F41" s="10" t="s">
        <v>15</v>
      </c>
      <c r="G41" s="11" t="s">
        <v>16</v>
      </c>
      <c r="H41" s="12">
        <v>1450</v>
      </c>
      <c r="I41" s="12">
        <v>362.5</v>
      </c>
      <c r="J41" s="13" t="s">
        <v>30</v>
      </c>
      <c r="K41" s="10"/>
      <c r="L41" s="12"/>
      <c r="M41" s="12"/>
      <c r="N41" s="14" t="s">
        <v>25</v>
      </c>
      <c r="O41" s="29" t="str">
        <f>VLOOKUP(A41,'[1]05-06-26'!$A$2:$T$136,20,0)</f>
        <v>P n W Glad ( 14 Inch ) 9     Grass</v>
      </c>
      <c r="P41" s="29" t="str">
        <f>VLOOKUP(A41,'[1]12-06-26'!$A$2:$T$115,20,0)</f>
        <v>Pur n P Car ( 14 Inch ) 9     FF Sachet + Grass</v>
      </c>
      <c r="Q41" s="29" t="str">
        <f>VLOOKUP(A41,'[1]19-06-26'!$A$2:$T$113,20,0)</f>
        <v xml:space="preserve">O Asiatic ( 14 Inch ) 3    Grass </v>
      </c>
      <c r="R41" s="29" t="str">
        <f>VLOOKUP(A41,'[1]26-06-26'!$A$2:$T$121,20,0)</f>
        <v>Pur Eustoma ( 12 Inch ) 3     FF sachet + Grass</v>
      </c>
      <c r="S41" s="29" t="str">
        <f>VLOOKUP(A41,'[2]03-07-26'!$A$2:$T$124,20,0)</f>
        <v>Sunflower ( 12 Inch ) 4     FF Sachet + Grass</v>
      </c>
      <c r="T41" s="29" t="s">
        <v>524</v>
      </c>
      <c r="U41" s="29">
        <v>16</v>
      </c>
      <c r="V41" s="29"/>
      <c r="W41" s="29"/>
      <c r="X41" s="29"/>
      <c r="Y41" s="29"/>
      <c r="Z41" s="29" t="s">
        <v>535</v>
      </c>
      <c r="AA41" s="29"/>
      <c r="AB41" s="29"/>
      <c r="AC41" s="29"/>
      <c r="AD41" s="29"/>
    </row>
    <row r="42" spans="1:30" ht="113.4" customHeight="1" x14ac:dyDescent="0.3">
      <c r="A42" s="1">
        <v>3334</v>
      </c>
      <c r="B42" s="8" t="s">
        <v>186</v>
      </c>
      <c r="C42" s="12">
        <v>8420453178</v>
      </c>
      <c r="D42" s="10" t="s">
        <v>187</v>
      </c>
      <c r="E42" s="10" t="s">
        <v>44</v>
      </c>
      <c r="F42" s="10" t="s">
        <v>15</v>
      </c>
      <c r="G42" s="18" t="s">
        <v>78</v>
      </c>
      <c r="H42" s="12">
        <v>1450</v>
      </c>
      <c r="I42" s="12">
        <v>362.5</v>
      </c>
      <c r="J42" s="13" t="s">
        <v>30</v>
      </c>
      <c r="K42" s="12"/>
      <c r="L42" s="12"/>
      <c r="M42" s="12"/>
      <c r="N42" s="14" t="s">
        <v>25</v>
      </c>
      <c r="O42" s="29" t="str">
        <f>VLOOKUP(A42,'[1]05-06-26'!$A$2:$T$136,20,0)</f>
        <v>P n W Glad ( 14 Inch ) 16     Grass</v>
      </c>
      <c r="P42" s="29" t="str">
        <f>VLOOKUP(A42,'[1]12-06-26'!$A$2:$T$115,20,0)</f>
        <v>Pur n P Car ( 14 Inch ) 16     FF Sachet + Grass</v>
      </c>
      <c r="Q42" s="29" t="str">
        <f>VLOOKUP(A42,'[1]19-06-26'!$A$2:$T$113,20,0)</f>
        <v xml:space="preserve">P n W Spray Daisy ( 14 Inch ) 5    FF Sachet + Grass </v>
      </c>
      <c r="R42" s="29" t="str">
        <f>VLOOKUP(A42,'[1]26-06-26'!$A$2:$T$121,20,0)</f>
        <v>Pur Eustoma ( 12 Inch ) 3     FF sachet + Grass</v>
      </c>
      <c r="S42" s="29" t="str">
        <f>VLOOKUP(A42,'[2]03-07-26'!$A$2:$T$124,20,0)</f>
        <v>Sunflower ( 12 Inch ) 4     FF Sachet + Grass</v>
      </c>
      <c r="T42" s="29" t="s">
        <v>526</v>
      </c>
      <c r="U42" s="29">
        <v>3</v>
      </c>
      <c r="V42" s="29"/>
      <c r="W42" s="29"/>
      <c r="X42" s="29"/>
      <c r="Y42" s="29"/>
      <c r="Z42" s="29" t="s">
        <v>535</v>
      </c>
      <c r="AA42" s="29"/>
      <c r="AB42" s="29"/>
      <c r="AC42" s="29"/>
      <c r="AD42" s="29"/>
    </row>
    <row r="43" spans="1:30" ht="113.4" customHeight="1" x14ac:dyDescent="0.3">
      <c r="A43" s="1">
        <v>2385</v>
      </c>
      <c r="B43" s="8" t="s">
        <v>188</v>
      </c>
      <c r="C43" s="12">
        <v>9899170709</v>
      </c>
      <c r="D43" s="10" t="s">
        <v>189</v>
      </c>
      <c r="E43" s="10" t="s">
        <v>28</v>
      </c>
      <c r="F43" s="10" t="s">
        <v>15</v>
      </c>
      <c r="G43" s="11" t="s">
        <v>16</v>
      </c>
      <c r="H43" s="12">
        <v>1950</v>
      </c>
      <c r="I43" s="12">
        <v>487.5</v>
      </c>
      <c r="J43" s="10" t="s">
        <v>22</v>
      </c>
      <c r="K43" s="10" t="s">
        <v>190</v>
      </c>
      <c r="L43" s="10" t="s">
        <v>191</v>
      </c>
      <c r="M43" s="12"/>
      <c r="N43" s="14" t="s">
        <v>25</v>
      </c>
      <c r="O43" s="29" t="str">
        <f>VLOOKUP(A43,'[1]05-06-26'!$A$2:$T$136,20,0)</f>
        <v>W Asiatic ( 14 Inch ) 4     Grass</v>
      </c>
      <c r="P43" s="29" t="str">
        <f>VLOOKUP(A43,'[1]12-06-26'!$A$2:$T$115,20,0)</f>
        <v>P Asiatic ( 14 Inch ) 4     Grass</v>
      </c>
      <c r="Q43" s="29" t="str">
        <f>VLOOKUP(A43,'[1]19-06-26'!$A$2:$T$113,20,0)</f>
        <v>R n P Car ( 14 Inch ) 22     FF sachet + Grass</v>
      </c>
      <c r="R43" s="29" t="str">
        <f>VLOOKUP(A43,'[1]26-06-26'!$A$2:$T$121,20,0)</f>
        <v>P n Y Spray Daisy ( 14 Inch ) 7     FF Sachet + Grass</v>
      </c>
      <c r="S43" s="29" t="str">
        <f>VLOOKUP(A43,'[2]03-07-26'!$A$2:$T$124,20,0)</f>
        <v>P n W Glad ( 14 Inch ) 22     Grass</v>
      </c>
      <c r="T43" s="29" t="s">
        <v>523</v>
      </c>
      <c r="U43" s="29">
        <v>22</v>
      </c>
      <c r="V43" s="29"/>
      <c r="W43" s="29"/>
      <c r="X43" s="29"/>
      <c r="Y43" s="29"/>
      <c r="Z43" s="29" t="s">
        <v>535</v>
      </c>
      <c r="AA43" s="29"/>
      <c r="AB43" s="29"/>
      <c r="AC43" s="29"/>
      <c r="AD43" s="29"/>
    </row>
    <row r="44" spans="1:30" ht="113.4" customHeight="1" x14ac:dyDescent="0.3">
      <c r="A44" s="1">
        <v>3076</v>
      </c>
      <c r="B44" s="21" t="s">
        <v>192</v>
      </c>
      <c r="C44" s="12">
        <v>8454952029</v>
      </c>
      <c r="D44" s="10" t="s">
        <v>193</v>
      </c>
      <c r="E44" s="10" t="s">
        <v>28</v>
      </c>
      <c r="F44" s="10" t="s">
        <v>15</v>
      </c>
      <c r="G44" s="11" t="s">
        <v>16</v>
      </c>
      <c r="H44" s="12">
        <v>2750</v>
      </c>
      <c r="I44" s="12">
        <v>687.5</v>
      </c>
      <c r="J44" s="10" t="s">
        <v>127</v>
      </c>
      <c r="K44" s="10" t="s">
        <v>194</v>
      </c>
      <c r="L44" s="12"/>
      <c r="M44" s="12"/>
      <c r="N44" s="14" t="s">
        <v>25</v>
      </c>
      <c r="O44" s="29" t="str">
        <f>VLOOKUP(A44,'[1]05-06-26'!$A$2:$T$136,20,0)</f>
        <v>Pur Eustom ( 14 Inch ) 3 Mix Alstroemeria ( 12 Inch ) 16   2 Gypsola + FF Sachet</v>
      </c>
      <c r="P44" s="29" t="str">
        <f>VLOOKUP(A44,'[1]12-06-26'!$A$2:$T$115,20,0)</f>
        <v>Y Asiatic ( 14 Inch ) 3 P n W Glad ( 14 Inch ) 16   2 Limonium</v>
      </c>
      <c r="Q44" s="29" t="str">
        <f>VLOOKUP(A44,'[1]19-06-26'!$A$2:$T$113,20,0)</f>
        <v>Sunflower ( 12 Inch ) 4 Pur n P Car ( 14 Inch ) 16   FF sachet + Grass</v>
      </c>
      <c r="R44" s="29" t="str">
        <f>VLOOKUP(A44,'[1]26-06-26'!$A$2:$T$121,20,0)</f>
        <v>P n Y Spray Daisy ( 14 Inch ) 5 P n W Glad ( 14 Inch ) 15   2 Gypsola + FF Sachet</v>
      </c>
      <c r="S44" s="29" t="e">
        <f>VLOOKUP(A44,'[2]03-07-26'!$A$2:$T$124,20,0)</f>
        <v>#N/A</v>
      </c>
      <c r="T44" s="29" t="s">
        <v>526</v>
      </c>
      <c r="U44" s="29">
        <v>3</v>
      </c>
      <c r="V44" s="29" t="s">
        <v>523</v>
      </c>
      <c r="W44" s="29">
        <v>16</v>
      </c>
      <c r="X44" s="29"/>
      <c r="Y44" s="29"/>
      <c r="Z44" s="29" t="s">
        <v>552</v>
      </c>
      <c r="AA44" s="29"/>
      <c r="AB44" s="29"/>
      <c r="AC44" s="29"/>
      <c r="AD44" s="29"/>
    </row>
    <row r="45" spans="1:30" ht="113.4" customHeight="1" x14ac:dyDescent="0.3">
      <c r="A45" s="1">
        <v>2583</v>
      </c>
      <c r="B45" s="8" t="s">
        <v>195</v>
      </c>
      <c r="C45" s="12">
        <v>9818096329</v>
      </c>
      <c r="D45" s="10" t="s">
        <v>196</v>
      </c>
      <c r="E45" s="10" t="s">
        <v>28</v>
      </c>
      <c r="F45" s="10" t="s">
        <v>15</v>
      </c>
      <c r="G45" s="10" t="s">
        <v>36</v>
      </c>
      <c r="H45" s="12">
        <v>1950</v>
      </c>
      <c r="I45" s="12">
        <v>487.5</v>
      </c>
      <c r="J45" s="10" t="s">
        <v>22</v>
      </c>
      <c r="K45" s="10" t="s">
        <v>197</v>
      </c>
      <c r="L45" s="10" t="s">
        <v>198</v>
      </c>
      <c r="M45" s="10" t="s">
        <v>199</v>
      </c>
      <c r="N45" s="14" t="s">
        <v>200</v>
      </c>
      <c r="O45" s="29" t="str">
        <f>VLOOKUP(A45,'[1]05-06-26'!$A$2:$T$136,20,0)</f>
        <v>Pur Eustom ( 14 Inch ) 2 Mix Alstroemeria ( 12 Inch ) 11   FF Sachet + Grass</v>
      </c>
      <c r="P45" s="29" t="str">
        <f>VLOOKUP(A45,'[1]12-06-26'!$A$2:$T$115,20,0)</f>
        <v>Sunflower ( 12 Inch ) 3 Pur n P Car ( 14 Inch ) 11   FF Sachet + Grass</v>
      </c>
      <c r="Q45" s="29" t="str">
        <f>VLOOKUP(A45,'[1]19-06-26'!$A$2:$T$113,20,0)</f>
        <v>P Asiatic ( 14 Inch ) 2 P n W Glad ( 14 Inch ) 11   Grass</v>
      </c>
      <c r="R45" s="29" t="e">
        <f>VLOOKUP(A45,'[1]26-06-26'!$A$2:$T$121,20,0)</f>
        <v>#N/A</v>
      </c>
      <c r="S45" s="29" t="str">
        <f>VLOOKUP(A45,'[2]03-07-26'!$A$2:$T$124,20,0)</f>
        <v>Sunflower ( 12 Inch ) 3 Rajni ( 14 Inch ) 11   FF Sachet + Grass</v>
      </c>
      <c r="T45" s="29" t="s">
        <v>545</v>
      </c>
      <c r="U45" s="29">
        <v>4</v>
      </c>
      <c r="V45" s="29" t="s">
        <v>525</v>
      </c>
      <c r="W45" s="29">
        <v>11</v>
      </c>
      <c r="X45" s="29"/>
      <c r="Y45" s="29"/>
      <c r="Z45" s="29" t="s">
        <v>536</v>
      </c>
      <c r="AA45" s="29"/>
      <c r="AB45" s="29"/>
      <c r="AC45" s="29"/>
      <c r="AD45" s="29"/>
    </row>
    <row r="46" spans="1:30" ht="113.4" customHeight="1" x14ac:dyDescent="0.3">
      <c r="A46" s="1">
        <v>1467</v>
      </c>
      <c r="B46" s="8" t="s">
        <v>201</v>
      </c>
      <c r="C46" s="12">
        <v>7838930274</v>
      </c>
      <c r="D46" s="10" t="s">
        <v>202</v>
      </c>
      <c r="E46" s="10" t="s">
        <v>21</v>
      </c>
      <c r="F46" s="10" t="s">
        <v>15</v>
      </c>
      <c r="G46" s="11" t="s">
        <v>16</v>
      </c>
      <c r="H46" s="12">
        <v>1600</v>
      </c>
      <c r="I46" s="12">
        <v>200</v>
      </c>
      <c r="J46" s="10" t="s">
        <v>37</v>
      </c>
      <c r="K46" s="10" t="s">
        <v>203</v>
      </c>
      <c r="L46" s="10" t="s">
        <v>204</v>
      </c>
      <c r="M46" s="12"/>
      <c r="N46" s="14" t="s">
        <v>510</v>
      </c>
      <c r="O46" s="29" t="e">
        <f>VLOOKUP(A46,'[1]05-06-26'!$A$2:$T$136,20,0)</f>
        <v>#N/A</v>
      </c>
      <c r="P46" s="29" t="str">
        <f>VLOOKUP(A46,'[1]12-06-26'!$A$2:$T$115,20,0)</f>
        <v>Glad ( 12 Inch ) 7     Grass</v>
      </c>
      <c r="Q46" s="29" t="str">
        <f>VLOOKUP(A46,'[1]19-06-26'!$A$2:$T$113,20,0)</f>
        <v>P n W Glad ( 14 Inch ) 11     Grass</v>
      </c>
      <c r="R46" s="29" t="str">
        <f>VLOOKUP(A46,'[1]26-06-26'!$A$2:$T$121,20,0)</f>
        <v>P n W Car  ( 14 Inch ) 7     FF sachet + Grass</v>
      </c>
      <c r="S46" s="29" t="str">
        <f>VLOOKUP(A46,'[2]03-07-26'!$A$2:$T$124,20,0)</f>
        <v>Rajni ( 14 Inch ) 7     Grass</v>
      </c>
      <c r="T46" s="29" t="s">
        <v>524</v>
      </c>
      <c r="U46" s="29">
        <v>7</v>
      </c>
      <c r="V46" s="29"/>
      <c r="W46" s="29"/>
      <c r="X46" s="29"/>
      <c r="Y46" s="29"/>
      <c r="Z46" s="29" t="s">
        <v>535</v>
      </c>
      <c r="AA46" s="29"/>
      <c r="AB46" s="29"/>
      <c r="AC46" s="29"/>
      <c r="AD46" s="29"/>
    </row>
    <row r="47" spans="1:30" ht="113.4" customHeight="1" x14ac:dyDescent="0.3">
      <c r="A47" s="1">
        <v>2404</v>
      </c>
      <c r="B47" s="8" t="s">
        <v>205</v>
      </c>
      <c r="C47" s="12">
        <v>9810444444</v>
      </c>
      <c r="D47" s="10" t="s">
        <v>206</v>
      </c>
      <c r="E47" s="10" t="s">
        <v>14</v>
      </c>
      <c r="F47" s="13" t="s">
        <v>15</v>
      </c>
      <c r="G47" s="11" t="s">
        <v>16</v>
      </c>
      <c r="H47" s="12">
        <v>6350</v>
      </c>
      <c r="I47" s="12">
        <v>793.75</v>
      </c>
      <c r="J47" s="10" t="s">
        <v>207</v>
      </c>
      <c r="K47" s="10" t="s">
        <v>208</v>
      </c>
      <c r="L47" s="10"/>
      <c r="M47" s="10" t="s">
        <v>209</v>
      </c>
      <c r="N47" s="14" t="s">
        <v>515</v>
      </c>
      <c r="O47" s="29" t="str">
        <f>VLOOKUP(A47,'[1]05-06-26'!$A$2:$T$136,20,0)</f>
        <v>W Asiatic ( 14 Inch ) 3 G Orchid  4 Rajni ( 14 Inch ) 12 Grass</v>
      </c>
      <c r="P47" s="29" t="str">
        <f>VLOOKUP(A47,'[1]12-06-26'!$A$2:$T$115,20,0)</f>
        <v>Y Asiatic ( 14 Inch ) 4 BOP ( 15 Inch ) 3 Pur n P Car ( 14 Inch ) 12 3 Areca palm + 3 Gypsola</v>
      </c>
      <c r="Q47" s="29" t="str">
        <f>VLOOKUP(A47,'[1]19-06-26'!$A$2:$T$113,20,0)</f>
        <v>O Asiatic ( 14 Inch ) 3 B Orchid  4 P n W Glad ( 14 Inch ) 12 Grass</v>
      </c>
      <c r="R47" s="29" t="str">
        <f>VLOOKUP(A47,'[1]26-06-26'!$A$2:$T$121,20,0)</f>
        <v>P Asiatic ( 14 Inch ) 3 Pur Eustoma ( 12 Inch ) 3 Rajni ( 14 Inch ) 12 3 Areca Palm + 3 Gypsola</v>
      </c>
      <c r="S47" s="29" t="str">
        <f>VLOOKUP(A47,'[2]03-07-26'!$A$2:$T$124,20,0)</f>
        <v>W Asiatic ( 14 Inch ) 3 Baloon Flower  4 R n W Car ( 14 Inch ) 12 3 Areca Palm + 3 Limonium</v>
      </c>
      <c r="T47" s="29" t="s">
        <v>526</v>
      </c>
      <c r="U47" s="29">
        <v>3</v>
      </c>
      <c r="V47" s="29" t="s">
        <v>527</v>
      </c>
      <c r="W47" s="29">
        <v>3</v>
      </c>
      <c r="X47" s="29" t="s">
        <v>528</v>
      </c>
      <c r="Y47" s="29">
        <v>12</v>
      </c>
      <c r="Z47" s="29" t="s">
        <v>536</v>
      </c>
      <c r="AA47" s="29"/>
      <c r="AB47" s="29"/>
      <c r="AC47" s="29"/>
      <c r="AD47" s="29"/>
    </row>
    <row r="48" spans="1:30" ht="113.4" customHeight="1" x14ac:dyDescent="0.3">
      <c r="A48" s="13" t="s">
        <v>210</v>
      </c>
      <c r="B48" s="8" t="s">
        <v>211</v>
      </c>
      <c r="C48" s="12">
        <v>9993806367</v>
      </c>
      <c r="D48" s="10" t="s">
        <v>212</v>
      </c>
      <c r="E48" s="10" t="s">
        <v>21</v>
      </c>
      <c r="F48" s="10" t="s">
        <v>15</v>
      </c>
      <c r="G48" s="11" t="s">
        <v>16</v>
      </c>
      <c r="H48" s="12">
        <v>1450</v>
      </c>
      <c r="I48" s="12">
        <v>362.5</v>
      </c>
      <c r="J48" s="26" t="s">
        <v>30</v>
      </c>
      <c r="K48" s="10" t="s">
        <v>213</v>
      </c>
      <c r="L48" s="12"/>
      <c r="M48" s="12"/>
      <c r="N48" s="14" t="s">
        <v>50</v>
      </c>
      <c r="O48" s="29" t="e">
        <f>VLOOKUP(A48,'[1]05-06-26'!$A$2:$T$136,20,0)</f>
        <v>#N/A</v>
      </c>
      <c r="P48" s="29" t="e">
        <f>VLOOKUP(A48,'[1]12-06-26'!$A$2:$T$115,20,0)</f>
        <v>#N/A</v>
      </c>
      <c r="Q48" s="29" t="e">
        <f>VLOOKUP(A48,'[1]19-06-26'!$A$2:$T$113,20,0)</f>
        <v>#N/A</v>
      </c>
      <c r="R48" s="29" t="e">
        <f>VLOOKUP(A48,'[1]26-06-26'!$A$2:$T$121,20,0)</f>
        <v>#N/A</v>
      </c>
      <c r="S48" s="29" t="e">
        <f>VLOOKUP(A48,'[2]03-07-26'!$A$2:$T$124,20,0)</f>
        <v>#N/A</v>
      </c>
      <c r="T48" s="29" t="s">
        <v>523</v>
      </c>
      <c r="U48" s="29">
        <v>16</v>
      </c>
      <c r="V48" s="29"/>
      <c r="W48" s="29"/>
      <c r="X48" s="29"/>
      <c r="Y48" s="29"/>
      <c r="Z48" s="29" t="s">
        <v>535</v>
      </c>
      <c r="AA48" s="29"/>
      <c r="AB48" s="29"/>
      <c r="AC48" s="29"/>
      <c r="AD48" s="29"/>
    </row>
    <row r="49" spans="1:30" ht="113.4" customHeight="1" x14ac:dyDescent="0.3">
      <c r="A49" s="1">
        <v>2372</v>
      </c>
      <c r="B49" s="8" t="s">
        <v>214</v>
      </c>
      <c r="C49" s="12">
        <v>9910955257</v>
      </c>
      <c r="D49" s="10" t="s">
        <v>215</v>
      </c>
      <c r="E49" s="10" t="s">
        <v>28</v>
      </c>
      <c r="F49" s="10" t="s">
        <v>15</v>
      </c>
      <c r="G49" s="11" t="s">
        <v>16</v>
      </c>
      <c r="H49" s="12">
        <v>1950</v>
      </c>
      <c r="I49" s="12">
        <v>487.5</v>
      </c>
      <c r="J49" s="13" t="s">
        <v>22</v>
      </c>
      <c r="K49" s="10" t="s">
        <v>216</v>
      </c>
      <c r="L49" s="12"/>
      <c r="M49" s="12"/>
      <c r="N49" s="14" t="s">
        <v>41</v>
      </c>
      <c r="O49" s="29" t="str">
        <f>VLOOKUP(A49,'[1]05-06-26'!$A$2:$T$136,20,0)</f>
        <v>Mix Alstroemeria ( 12 Inch ) 22     FF Sachet + Grass</v>
      </c>
      <c r="P49" s="29" t="str">
        <f>VLOOKUP(A49,'[1]12-06-26'!$A$2:$T$115,20,0)</f>
        <v>Pur n P Eustoma ( 14 Inch ) 4     FF Sachet + Grass</v>
      </c>
      <c r="Q49" s="29" t="str">
        <f>VLOOKUP(A49,'[1]19-06-26'!$A$2:$T$113,20,0)</f>
        <v>O Asiatic ( 14 Inch ) 4     Grass</v>
      </c>
      <c r="R49" s="29" t="e">
        <f>VLOOKUP(A49,'[1]26-06-26'!$A$2:$T$121,20,0)</f>
        <v>#N/A</v>
      </c>
      <c r="S49" s="29" t="str">
        <f>VLOOKUP(A49,'[2]03-07-26'!$A$2:$T$124,20,0)</f>
        <v>Pur n P Car ( 14 Inch ) 22     FF Sachet + Grass</v>
      </c>
      <c r="T49" s="29" t="s">
        <v>544</v>
      </c>
      <c r="U49" s="29">
        <v>7</v>
      </c>
      <c r="V49" s="29"/>
      <c r="W49" s="29"/>
      <c r="X49" s="29"/>
      <c r="Y49" s="29"/>
      <c r="Z49" s="29" t="s">
        <v>536</v>
      </c>
      <c r="AA49" s="29"/>
      <c r="AB49" s="29"/>
      <c r="AC49" s="29"/>
      <c r="AD49" s="29"/>
    </row>
    <row r="50" spans="1:30" ht="113.4" customHeight="1" x14ac:dyDescent="0.3">
      <c r="A50" s="1">
        <v>3388</v>
      </c>
      <c r="B50" s="8" t="s">
        <v>217</v>
      </c>
      <c r="C50" s="12">
        <v>9811822238</v>
      </c>
      <c r="D50" s="10" t="s">
        <v>218</v>
      </c>
      <c r="E50" s="10" t="s">
        <v>21</v>
      </c>
      <c r="F50" s="10" t="s">
        <v>15</v>
      </c>
      <c r="G50" s="11" t="s">
        <v>16</v>
      </c>
      <c r="H50" s="12">
        <v>1950</v>
      </c>
      <c r="I50" s="12">
        <v>487.5</v>
      </c>
      <c r="J50" s="10" t="s">
        <v>22</v>
      </c>
      <c r="K50" s="12"/>
      <c r="L50" s="12"/>
      <c r="M50" s="12"/>
      <c r="N50" s="14" t="s">
        <v>50</v>
      </c>
      <c r="O50" s="29" t="e">
        <f>VLOOKUP(A50,'[1]05-06-26'!$A$2:$T$136,20,0)</f>
        <v>#N/A</v>
      </c>
      <c r="P50" s="29" t="e">
        <f>VLOOKUP(A50,'[1]12-06-26'!$A$2:$T$115,20,0)</f>
        <v>#N/A</v>
      </c>
      <c r="Q50" s="29" t="e">
        <f>VLOOKUP(A50,'[1]19-06-26'!$A$2:$T$113,20,0)</f>
        <v>#N/A</v>
      </c>
      <c r="R50" s="29" t="str">
        <f>VLOOKUP(A50,'[1]26-06-26'!$A$2:$T$121,20,0)</f>
        <v>Pur n P Car ( 14 Inch ) 22     FF Sachet + Grass</v>
      </c>
      <c r="S50" s="29" t="str">
        <f>VLOOKUP(A50,'[2]03-07-26'!$A$2:$T$124,20,0)</f>
        <v>O Asiatic ( 14 Inch ) 4     Grass</v>
      </c>
      <c r="T50" s="29" t="s">
        <v>524</v>
      </c>
      <c r="U50" s="29">
        <v>22</v>
      </c>
      <c r="V50" s="29"/>
      <c r="W50" s="29"/>
      <c r="X50" s="29"/>
      <c r="Y50" s="29"/>
      <c r="Z50" s="29" t="s">
        <v>535</v>
      </c>
      <c r="AA50" s="29"/>
      <c r="AB50" s="29"/>
      <c r="AC50" s="29"/>
      <c r="AD50" s="29"/>
    </row>
    <row r="51" spans="1:30" ht="113.4" customHeight="1" x14ac:dyDescent="0.3">
      <c r="A51" s="1">
        <v>2712</v>
      </c>
      <c r="B51" s="8" t="s">
        <v>219</v>
      </c>
      <c r="C51" s="12">
        <v>8860253167</v>
      </c>
      <c r="D51" s="10" t="s">
        <v>220</v>
      </c>
      <c r="E51" s="10" t="s">
        <v>21</v>
      </c>
      <c r="F51" s="10" t="s">
        <v>15</v>
      </c>
      <c r="G51" s="10" t="s">
        <v>36</v>
      </c>
      <c r="H51" s="12">
        <v>1450</v>
      </c>
      <c r="I51" s="12">
        <v>362.5</v>
      </c>
      <c r="J51" s="10" t="s">
        <v>30</v>
      </c>
      <c r="K51" s="10" t="s">
        <v>221</v>
      </c>
      <c r="L51" s="12"/>
      <c r="M51" s="10" t="s">
        <v>222</v>
      </c>
      <c r="N51" s="14" t="s">
        <v>50</v>
      </c>
      <c r="O51" s="29" t="str">
        <f>VLOOKUP(A51,'[1]05-06-26'!$A$2:$T$136,20,0)</f>
        <v>Sunflower ( 12 Inch ) 2 Mix Alstroemeria ( 12 Inch ) 7   FF Sachet + Grass</v>
      </c>
      <c r="P51" s="29" t="e">
        <f>VLOOKUP(A51,'[1]12-06-26'!$A$2:$T$115,20,0)</f>
        <v>#N/A</v>
      </c>
      <c r="Q51" s="29" t="str">
        <f>VLOOKUP(A51,'[1]19-06-26'!$A$2:$T$113,20,0)</f>
        <v xml:space="preserve">P Spray Daisy ( 14 Inch ) 3 Pur n P Car ( 14 Inch ) 7  FF Sachet + Grass </v>
      </c>
      <c r="R51" s="29" t="str">
        <f>VLOOKUP(A51,'[1]26-06-26'!$A$2:$T$121,20,0)</f>
        <v>P Asiatic ( 14 Inch ) 2 P n W Glad ( 14 Inch ) 7   Grass</v>
      </c>
      <c r="S51" s="29" t="str">
        <f>VLOOKUP(A51,'[2]03-07-26'!$A$2:$T$124,20,0)</f>
        <v>Sunflower ( 12 Inch ) 2 Rajni ( 14 Inch ) 7   FF Sachet + Grass</v>
      </c>
      <c r="T51" s="29" t="s">
        <v>542</v>
      </c>
      <c r="U51" s="29">
        <v>3</v>
      </c>
      <c r="V51" s="29" t="s">
        <v>525</v>
      </c>
      <c r="W51" s="29">
        <v>7</v>
      </c>
      <c r="X51" s="29"/>
      <c r="Y51" s="29"/>
      <c r="Z51" s="29" t="s">
        <v>536</v>
      </c>
      <c r="AA51" s="29"/>
      <c r="AB51" s="29"/>
      <c r="AC51" s="29"/>
      <c r="AD51" s="29"/>
    </row>
    <row r="52" spans="1:30" ht="113.4" customHeight="1" x14ac:dyDescent="0.3">
      <c r="A52" s="1">
        <v>3139</v>
      </c>
      <c r="B52" s="8" t="s">
        <v>223</v>
      </c>
      <c r="C52" s="12">
        <v>9810247803</v>
      </c>
      <c r="D52" s="10" t="s">
        <v>224</v>
      </c>
      <c r="E52" s="10" t="s">
        <v>28</v>
      </c>
      <c r="F52" s="10" t="s">
        <v>15</v>
      </c>
      <c r="G52" s="18" t="s">
        <v>53</v>
      </c>
      <c r="H52" s="12">
        <v>1450</v>
      </c>
      <c r="I52" s="12">
        <v>362.5</v>
      </c>
      <c r="J52" s="13" t="s">
        <v>30</v>
      </c>
      <c r="K52" s="10" t="s">
        <v>225</v>
      </c>
      <c r="L52" s="10" t="s">
        <v>226</v>
      </c>
      <c r="M52" s="12"/>
      <c r="N52" s="14" t="s">
        <v>50</v>
      </c>
      <c r="O52" s="29" t="str">
        <f>VLOOKUP(A52,'[1]05-06-26'!$A$2:$T$136,20,0)</f>
        <v>O Asiatic ( 14 Inch ) 3     Grass</v>
      </c>
      <c r="P52" s="29" t="str">
        <f>VLOOKUP(A52,'[1]12-06-26'!$A$2:$T$115,20,0)</f>
        <v>P n W Glad ( 14 Inch ) 16     Grass</v>
      </c>
      <c r="Q52" s="29" t="str">
        <f>VLOOKUP(A52,'[1]19-06-26'!$A$2:$T$113,20,0)</f>
        <v xml:space="preserve">Pur Eustom ( 12 Inch ) 3    FF Sachet + Grass </v>
      </c>
      <c r="R52" s="29" t="str">
        <f>VLOOKUP(A52,'[1]26-06-26'!$A$2:$T$121,20,0)</f>
        <v>P n Y Spray Daisy ( 14 Inch ) 5     FF sachet + Grass</v>
      </c>
      <c r="S52" s="29" t="str">
        <f>VLOOKUP(A52,'[2]03-07-26'!$A$2:$T$124,20,0)</f>
        <v>Pur n P Car ( 14 Inch ) 16     FF Sachet + Grass</v>
      </c>
      <c r="T52" s="29" t="s">
        <v>523</v>
      </c>
      <c r="U52" s="29">
        <v>16</v>
      </c>
      <c r="V52" s="29"/>
      <c r="W52" s="29"/>
      <c r="X52" s="29"/>
      <c r="Y52" s="29"/>
      <c r="Z52" s="29" t="s">
        <v>535</v>
      </c>
      <c r="AA52" s="29"/>
      <c r="AB52" s="29"/>
      <c r="AC52" s="29"/>
      <c r="AD52" s="29"/>
    </row>
    <row r="53" spans="1:30" ht="113.4" customHeight="1" x14ac:dyDescent="0.3">
      <c r="A53" s="1">
        <v>1571</v>
      </c>
      <c r="B53" s="8" t="s">
        <v>227</v>
      </c>
      <c r="C53" s="12">
        <v>9910019898</v>
      </c>
      <c r="D53" s="10" t="s">
        <v>228</v>
      </c>
      <c r="E53" s="10" t="s">
        <v>28</v>
      </c>
      <c r="F53" s="10" t="s">
        <v>15</v>
      </c>
      <c r="G53" s="10" t="s">
        <v>29</v>
      </c>
      <c r="H53" s="12">
        <v>1600</v>
      </c>
      <c r="I53" s="12">
        <v>200</v>
      </c>
      <c r="J53" s="10" t="s">
        <v>37</v>
      </c>
      <c r="K53" s="10" t="s">
        <v>229</v>
      </c>
      <c r="L53" s="10" t="s">
        <v>230</v>
      </c>
      <c r="M53" s="12"/>
      <c r="N53" s="14" t="s">
        <v>516</v>
      </c>
      <c r="O53" s="29" t="str">
        <f>VLOOKUP(A53,'[1]05-06-26'!$A$2:$T$136,20,0)</f>
        <v>R n W Car ( 14 Inch ) 7     FF Sachet + Grass</v>
      </c>
      <c r="P53" s="29" t="str">
        <f>VLOOKUP(A53,'[1]12-06-26'!$A$2:$T$115,20,0)</f>
        <v>Rajni ( 14 Inch ) 7     Grass</v>
      </c>
      <c r="Q53" s="29" t="str">
        <f>VLOOKUP(A53,'[1]19-06-26'!$A$2:$T$113,20,0)</f>
        <v>P n W Glad ( 14 Inch ) 7     Grass</v>
      </c>
      <c r="R53" s="29" t="str">
        <f>VLOOKUP(A53,'[1]26-06-26'!$A$2:$T$121,20,0)</f>
        <v>P n W Car ( 14 Inch ) 7     FF sachet + Grass</v>
      </c>
      <c r="S53" s="29" t="str">
        <f>VLOOKUP(A53,'[2]03-07-26'!$A$2:$T$124,20,0)</f>
        <v>Rajni ( 14 Inch ) 7     Grass</v>
      </c>
      <c r="T53" s="29" t="s">
        <v>524</v>
      </c>
      <c r="U53" s="29">
        <v>7</v>
      </c>
      <c r="V53" s="29"/>
      <c r="W53" s="29"/>
      <c r="X53" s="29"/>
      <c r="Y53" s="29"/>
      <c r="Z53" s="29" t="s">
        <v>535</v>
      </c>
      <c r="AA53" s="29"/>
      <c r="AB53" s="29"/>
      <c r="AC53" s="29"/>
      <c r="AD53" s="29"/>
    </row>
    <row r="54" spans="1:30" ht="113.4" customHeight="1" x14ac:dyDescent="0.3">
      <c r="A54" s="13">
        <v>207</v>
      </c>
      <c r="B54" s="8" t="s">
        <v>231</v>
      </c>
      <c r="C54" s="13">
        <v>9958305888</v>
      </c>
      <c r="D54" s="13" t="s">
        <v>232</v>
      </c>
      <c r="E54" s="13" t="s">
        <v>28</v>
      </c>
      <c r="F54" s="10" t="s">
        <v>15</v>
      </c>
      <c r="G54" s="17" t="s">
        <v>53</v>
      </c>
      <c r="H54" s="12">
        <v>1450</v>
      </c>
      <c r="I54" s="12">
        <v>362.5</v>
      </c>
      <c r="J54" s="10" t="s">
        <v>30</v>
      </c>
      <c r="K54" s="13" t="s">
        <v>233</v>
      </c>
      <c r="L54" s="10" t="s">
        <v>55</v>
      </c>
      <c r="M54" s="12"/>
      <c r="N54" s="14" t="s">
        <v>91</v>
      </c>
      <c r="O54" s="29" t="str">
        <f>VLOOKUP(A54,'[1]05-06-26'!$A$2:$T$136,20,0)</f>
        <v>P Asiatic ( 14 Inch ) 3     Grass</v>
      </c>
      <c r="P54" s="29" t="str">
        <f>VLOOKUP(A54,'[1]12-06-26'!$A$2:$T$115,20,0)</f>
        <v>P n W Glad ( 14 Inch ) 16     Grass</v>
      </c>
      <c r="Q54" s="29" t="str">
        <f>VLOOKUP(A54,'[1]19-06-26'!$A$2:$T$113,20,0)</f>
        <v xml:space="preserve">R n P Car ( 14 Inch ) 16    FF Sachet + Grass </v>
      </c>
      <c r="R54" s="29" t="str">
        <f>VLOOKUP(A54,'[1]26-06-26'!$A$2:$T$121,20,0)</f>
        <v>Pur Eustoma ( 12 Inch ) 3     FF sachet + Grass</v>
      </c>
      <c r="S54" s="29" t="str">
        <f>VLOOKUP(A54,'[2]03-07-26'!$A$2:$T$124,20,0)</f>
        <v>O Asiatic ( 14 Inch ) 3     Grass</v>
      </c>
      <c r="T54" s="29" t="s">
        <v>523</v>
      </c>
      <c r="U54" s="29">
        <v>16</v>
      </c>
      <c r="V54" s="29"/>
      <c r="W54" s="29"/>
      <c r="X54" s="29"/>
      <c r="Y54" s="29"/>
      <c r="Z54" s="29" t="s">
        <v>535</v>
      </c>
      <c r="AA54" s="29"/>
      <c r="AB54" s="29"/>
      <c r="AC54" s="29"/>
      <c r="AD54" s="29"/>
    </row>
    <row r="55" spans="1:30" ht="113.4" customHeight="1" x14ac:dyDescent="0.3">
      <c r="A55" s="1">
        <v>953</v>
      </c>
      <c r="B55" s="8" t="s">
        <v>234</v>
      </c>
      <c r="C55" s="1">
        <v>9818647402</v>
      </c>
      <c r="D55" s="13" t="s">
        <v>235</v>
      </c>
      <c r="E55" s="10" t="s">
        <v>14</v>
      </c>
      <c r="F55" s="13" t="s">
        <v>15</v>
      </c>
      <c r="G55" s="11" t="s">
        <v>16</v>
      </c>
      <c r="H55" s="12">
        <v>2750</v>
      </c>
      <c r="I55" s="12">
        <v>687.5</v>
      </c>
      <c r="J55" s="10" t="s">
        <v>127</v>
      </c>
      <c r="K55" s="10" t="s">
        <v>236</v>
      </c>
      <c r="L55" s="10"/>
      <c r="M55" s="10" t="s">
        <v>237</v>
      </c>
      <c r="N55" s="14" t="s">
        <v>50</v>
      </c>
      <c r="O55" s="29" t="str">
        <f>VLOOKUP(A55,'[1]05-06-26'!$A$2:$T$136,20,0)</f>
        <v>P n Y Spray Daisy ( 14 Inch ) 5 Mix Alstroemeria ( 12 Inch ) 16   2 Gypsola + FF Sachet</v>
      </c>
      <c r="P55" s="29" t="str">
        <f>VLOOKUP(A55,'[1]12-06-26'!$A$2:$T$115,20,0)</f>
        <v>Sunflower ( 12 Inch ) 4 Pur n P Car ( 14 Inch ) 16   2 Limonium + FF sachet</v>
      </c>
      <c r="Q55" s="29" t="str">
        <f>VLOOKUP(A55,'[1]19-06-26'!$A$2:$T$113,20,0)</f>
        <v>P Eustoma ( 12 Inch ) 4 P n W Glad ( 14 Inch ) 16   FF sachet + Grass</v>
      </c>
      <c r="R55" s="29" t="str">
        <f>VLOOKUP(A55,'[1]26-06-26'!$A$2:$T$121,20,0)</f>
        <v>P Asiatic ( 14 Inch ) 3 Alstomeria( 12 Inch ) 15   2 Gypaols</v>
      </c>
      <c r="S55" s="29" t="str">
        <f>VLOOKUP(A55,'[2]03-07-26'!$A$2:$T$124,20,0)</f>
        <v>Sunflower ( 12 Inch ) 4 Rajni ( 14 Inch ) 16   FF Sachet + Grass</v>
      </c>
      <c r="T55" s="29" t="s">
        <v>544</v>
      </c>
      <c r="U55" s="29">
        <v>5</v>
      </c>
      <c r="V55" s="29" t="s">
        <v>525</v>
      </c>
      <c r="W55" s="29">
        <v>16</v>
      </c>
      <c r="X55" s="29"/>
      <c r="Y55" s="29"/>
      <c r="Z55" s="29" t="s">
        <v>548</v>
      </c>
      <c r="AA55" s="29"/>
      <c r="AB55" s="29"/>
      <c r="AC55" s="29"/>
      <c r="AD55" s="29"/>
    </row>
    <row r="56" spans="1:30" ht="113.4" customHeight="1" x14ac:dyDescent="0.3">
      <c r="A56" s="1">
        <v>1618</v>
      </c>
      <c r="B56" s="8" t="s">
        <v>238</v>
      </c>
      <c r="C56" s="12" t="s">
        <v>239</v>
      </c>
      <c r="D56" s="10" t="s">
        <v>240</v>
      </c>
      <c r="E56" s="10" t="s">
        <v>21</v>
      </c>
      <c r="F56" s="10" t="s">
        <v>15</v>
      </c>
      <c r="G56" s="10" t="s">
        <v>29</v>
      </c>
      <c r="H56" s="12">
        <v>3000</v>
      </c>
      <c r="I56" s="12">
        <v>375</v>
      </c>
      <c r="J56" s="10" t="s">
        <v>170</v>
      </c>
      <c r="K56" s="10" t="s">
        <v>241</v>
      </c>
      <c r="L56" s="10" t="s">
        <v>242</v>
      </c>
      <c r="M56" s="12"/>
      <c r="N56" s="14" t="s">
        <v>517</v>
      </c>
      <c r="O56" s="29" t="str">
        <f>VLOOKUP(A56,'[1]05-06-26'!$A$2:$T$136,20,0)</f>
        <v>Pur Eustom ( 14 Inch ) 3     FF Sachet + Grass</v>
      </c>
      <c r="P56" s="29" t="str">
        <f>VLOOKUP(A56,'[1]12-06-26'!$A$2:$T$115,20,0)</f>
        <v>BOP ( 14 Inch ) 3     FF Sachet + Grass</v>
      </c>
      <c r="Q56" s="29" t="str">
        <f>VLOOKUP(A56,'[1]19-06-26'!$A$2:$T$113,20,0)</f>
        <v>P Asiatic ( 14 Inch ) 3     Grass</v>
      </c>
      <c r="R56" s="29" t="str">
        <f>VLOOKUP(A56,'[1]26-06-26'!$A$2:$T$121,20,0)</f>
        <v>G n Y Spray Daisy ( 14 Inch ) 4     FF sachet + Grass</v>
      </c>
      <c r="S56" s="29" t="str">
        <f>VLOOKUP(A56,'[2]03-07-26'!$A$2:$T$124,20,0)</f>
        <v>P Oriental ( 15 Inch ) 3     Grass</v>
      </c>
      <c r="T56" s="29" t="s">
        <v>525</v>
      </c>
      <c r="U56" s="29">
        <v>15</v>
      </c>
      <c r="V56" s="29"/>
      <c r="W56" s="29"/>
      <c r="X56" s="29"/>
      <c r="Y56" s="29"/>
      <c r="Z56" s="29" t="s">
        <v>536</v>
      </c>
      <c r="AA56" s="29"/>
      <c r="AB56" s="29"/>
      <c r="AC56" s="29"/>
      <c r="AD56" s="29"/>
    </row>
    <row r="57" spans="1:30" ht="113.4" customHeight="1" x14ac:dyDescent="0.3">
      <c r="A57" s="1">
        <v>833</v>
      </c>
      <c r="B57" s="8" t="s">
        <v>243</v>
      </c>
      <c r="C57" s="1">
        <v>9560889949</v>
      </c>
      <c r="D57" s="13" t="s">
        <v>244</v>
      </c>
      <c r="E57" s="10" t="s">
        <v>14</v>
      </c>
      <c r="F57" s="13" t="s">
        <v>15</v>
      </c>
      <c r="G57" s="11" t="s">
        <v>16</v>
      </c>
      <c r="H57" s="12">
        <v>3500</v>
      </c>
      <c r="I57" s="12">
        <v>875</v>
      </c>
      <c r="J57" s="12" t="s">
        <v>67</v>
      </c>
      <c r="K57" s="13" t="s">
        <v>245</v>
      </c>
      <c r="L57" s="12"/>
      <c r="M57" s="12"/>
      <c r="N57" s="14" t="s">
        <v>50</v>
      </c>
      <c r="O57" s="29" t="str">
        <f>VLOOKUP(A57,'[1]05-06-26'!$A$2:$T$136,20,0)</f>
        <v>P n Y Spray Daisy ( 14 Inch ) 5 Mix Alstroemeria ( 12 Inch ) 18   2 Limonium + FF Sachet</v>
      </c>
      <c r="P57" s="29" t="e">
        <f>VLOOKUP(A57,'[1]12-06-26'!$A$2:$T$115,20,0)</f>
        <v>#N/A</v>
      </c>
      <c r="Q57" s="29" t="e">
        <f>VLOOKUP(A57,'[1]19-06-26'!$A$2:$T$113,20,0)</f>
        <v>#N/A</v>
      </c>
      <c r="R57" s="29" t="str">
        <f>VLOOKUP(A57,'[1]26-06-26'!$A$2:$T$121,20,0)</f>
        <v>O Asiatic ( 14 Inch ) 4 Pur n p Car ( 14 inch ) 18   2 Gypsola</v>
      </c>
      <c r="S57" s="29" t="str">
        <f>VLOOKUP(A57,'[2]03-07-26'!$A$2:$T$124,20,0)</f>
        <v xml:space="preserve">Baloon Flowers  5 Rajni ( 14 Inch ) 18   2 Limonium </v>
      </c>
      <c r="T57" s="29" t="s">
        <v>522</v>
      </c>
      <c r="U57" s="29">
        <v>5</v>
      </c>
      <c r="V57" s="29" t="s">
        <v>524</v>
      </c>
      <c r="W57" s="29">
        <v>20</v>
      </c>
      <c r="X57" s="29"/>
      <c r="Y57" s="29"/>
      <c r="Z57" s="29" t="s">
        <v>548</v>
      </c>
      <c r="AA57" s="29"/>
      <c r="AB57" s="29"/>
      <c r="AC57" s="29"/>
      <c r="AD57" s="29"/>
    </row>
    <row r="58" spans="1:30" ht="113.4" customHeight="1" x14ac:dyDescent="0.3">
      <c r="A58" s="1">
        <v>3391</v>
      </c>
      <c r="B58" s="8" t="s">
        <v>246</v>
      </c>
      <c r="C58" s="12">
        <v>9013524554</v>
      </c>
      <c r="D58" s="10" t="s">
        <v>247</v>
      </c>
      <c r="E58" s="10" t="s">
        <v>21</v>
      </c>
      <c r="F58" s="10" t="s">
        <v>15</v>
      </c>
      <c r="G58" s="11" t="s">
        <v>16</v>
      </c>
      <c r="H58" s="12">
        <v>1450</v>
      </c>
      <c r="I58" s="12">
        <v>362.5</v>
      </c>
      <c r="J58" s="10" t="s">
        <v>30</v>
      </c>
      <c r="K58" s="12"/>
      <c r="L58" s="12"/>
      <c r="M58" s="12"/>
      <c r="N58" s="14" t="s">
        <v>50</v>
      </c>
      <c r="O58" s="29" t="e">
        <f>VLOOKUP(A58,'[1]05-06-26'!$A$2:$T$136,20,0)</f>
        <v>#N/A</v>
      </c>
      <c r="P58" s="29" t="e">
        <f>VLOOKUP(A58,'[1]12-06-26'!$A$2:$T$115,20,0)</f>
        <v>#N/A</v>
      </c>
      <c r="Q58" s="29" t="e">
        <f>VLOOKUP(A58,'[1]19-06-26'!$A$2:$T$113,20,0)</f>
        <v>#N/A</v>
      </c>
      <c r="R58" s="29" t="str">
        <f>VLOOKUP(A58,'[1]26-06-26'!$A$2:$T$121,20,0)</f>
        <v>Pur n P Car ( 14 Inch ) 16     FF sachet + Grass</v>
      </c>
      <c r="S58" s="29" t="str">
        <f>VLOOKUP(A58,'[2]03-07-26'!$A$2:$T$124,20,0)</f>
        <v>P Asiatic ( 14 Inch ) 3     Grass</v>
      </c>
      <c r="T58" s="29" t="s">
        <v>524</v>
      </c>
      <c r="U58" s="29">
        <v>16</v>
      </c>
      <c r="V58" s="29"/>
      <c r="W58" s="29"/>
      <c r="X58" s="29"/>
      <c r="Y58" s="29"/>
      <c r="Z58" s="29" t="s">
        <v>535</v>
      </c>
      <c r="AA58" s="29"/>
      <c r="AB58" s="29"/>
      <c r="AC58" s="29"/>
      <c r="AD58" s="29"/>
    </row>
    <row r="59" spans="1:30" ht="113.4" customHeight="1" x14ac:dyDescent="0.3">
      <c r="A59" s="1">
        <v>2798</v>
      </c>
      <c r="B59" s="8" t="s">
        <v>248</v>
      </c>
      <c r="C59" s="12">
        <v>9999283603</v>
      </c>
      <c r="D59" s="10" t="s">
        <v>249</v>
      </c>
      <c r="E59" s="10" t="s">
        <v>77</v>
      </c>
      <c r="F59" s="10" t="s">
        <v>15</v>
      </c>
      <c r="G59" s="17" t="s">
        <v>53</v>
      </c>
      <c r="H59" s="12">
        <v>1450</v>
      </c>
      <c r="I59" s="12">
        <v>362.5</v>
      </c>
      <c r="J59" s="13" t="s">
        <v>30</v>
      </c>
      <c r="K59" s="10" t="s">
        <v>250</v>
      </c>
      <c r="L59" s="12"/>
      <c r="M59" s="12"/>
      <c r="N59" s="14" t="s">
        <v>50</v>
      </c>
      <c r="O59" s="29" t="str">
        <f>VLOOKUP(A59,'[1]05-06-26'!$A$2:$T$136,20,0)</f>
        <v>O Asiatic ( 14 Inch ) 3     Grass</v>
      </c>
      <c r="P59" s="29" t="str">
        <f>VLOOKUP(A59,'[1]12-06-26'!$A$2:$T$115,20,0)</f>
        <v>P n W Glad ( 14 Inch ) 16     Grass</v>
      </c>
      <c r="Q59" s="29" t="str">
        <f>VLOOKUP(A59,'[1]19-06-26'!$A$2:$T$113,20,0)</f>
        <v xml:space="preserve">Pur Eustom ( 12 Inch ) 3    FF Sachet + Grass </v>
      </c>
      <c r="R59" s="29" t="str">
        <f>VLOOKUP(A59,'[1]26-06-26'!$A$2:$T$121,20,0)</f>
        <v>Alstromeria 16     FF sachet + Grass</v>
      </c>
      <c r="S59" s="29" t="str">
        <f>VLOOKUP(A59,'[2]03-07-26'!$A$2:$T$124,20,0)</f>
        <v>Pur n P Car ( 14 Inch ) 16     FF Sachet + Grass</v>
      </c>
      <c r="T59" s="29" t="s">
        <v>522</v>
      </c>
      <c r="U59" s="29">
        <v>4</v>
      </c>
      <c r="V59" s="29"/>
      <c r="W59" s="29"/>
      <c r="X59" s="29"/>
      <c r="Y59" s="29"/>
      <c r="Z59" s="29" t="s">
        <v>536</v>
      </c>
      <c r="AA59" s="29"/>
      <c r="AB59" s="29"/>
      <c r="AC59" s="29"/>
      <c r="AD59" s="29"/>
    </row>
    <row r="60" spans="1:30" ht="113.4" customHeight="1" x14ac:dyDescent="0.3">
      <c r="A60" s="1">
        <v>2803</v>
      </c>
      <c r="B60" s="8" t="s">
        <v>251</v>
      </c>
      <c r="C60" s="12">
        <v>9007706833</v>
      </c>
      <c r="D60" s="10" t="s">
        <v>252</v>
      </c>
      <c r="E60" s="10" t="s">
        <v>21</v>
      </c>
      <c r="F60" s="10" t="s">
        <v>15</v>
      </c>
      <c r="G60" s="10" t="s">
        <v>253</v>
      </c>
      <c r="H60" s="12">
        <v>1450</v>
      </c>
      <c r="I60" s="12">
        <v>362.5</v>
      </c>
      <c r="J60" s="13" t="s">
        <v>17</v>
      </c>
      <c r="K60" s="10" t="s">
        <v>254</v>
      </c>
      <c r="L60" s="12"/>
      <c r="M60" s="10"/>
      <c r="N60" s="14" t="s">
        <v>50</v>
      </c>
      <c r="O60" s="29" t="str">
        <f>VLOOKUP(A60,'[1]05-06-26'!$A$2:$T$136,20,0)</f>
        <v>P n W Glad ( 14 Inch ) 16     Grass</v>
      </c>
      <c r="P60" s="29" t="str">
        <f>VLOOKUP(A60,'[1]12-06-26'!$A$2:$T$115,20,0)</f>
        <v>Y Asiatic ( 14 Inch ) 3     Grass</v>
      </c>
      <c r="Q60" s="29" t="str">
        <f>VLOOKUP(A60,'[1]19-06-26'!$A$2:$T$113,20,0)</f>
        <v xml:space="preserve">Pur Eustom ( 12 Inch ) 3    FF Sachet + Grass </v>
      </c>
      <c r="R60" s="29" t="str">
        <f>VLOOKUP(A60,'[1]26-06-26'!$A$2:$T$121,20,0)</f>
        <v>Alstromeria 16     FF sachet + Grass</v>
      </c>
      <c r="S60" s="29" t="str">
        <f>VLOOKUP(A60,'[2]03-07-26'!$A$2:$T$124,20,0)</f>
        <v>Pur n P Car ( 14 Inch ) 16     FF Sachet + Grass</v>
      </c>
      <c r="T60" s="29" t="s">
        <v>522</v>
      </c>
      <c r="U60" s="29">
        <v>4</v>
      </c>
      <c r="V60" s="29"/>
      <c r="W60" s="29"/>
      <c r="X60" s="29"/>
      <c r="Y60" s="29"/>
      <c r="Z60" s="29" t="s">
        <v>536</v>
      </c>
      <c r="AA60" s="29"/>
      <c r="AB60" s="29"/>
      <c r="AC60" s="29"/>
      <c r="AD60" s="29"/>
    </row>
    <row r="61" spans="1:30" ht="113.4" customHeight="1" x14ac:dyDescent="0.3">
      <c r="A61" s="1">
        <v>3389</v>
      </c>
      <c r="B61" s="8" t="s">
        <v>255</v>
      </c>
      <c r="C61" s="12">
        <v>9975423958</v>
      </c>
      <c r="D61" s="10" t="s">
        <v>256</v>
      </c>
      <c r="E61" s="10" t="s">
        <v>77</v>
      </c>
      <c r="F61" s="10" t="s">
        <v>15</v>
      </c>
      <c r="G61" s="18" t="s">
        <v>53</v>
      </c>
      <c r="H61" s="12">
        <v>1950</v>
      </c>
      <c r="I61" s="12">
        <v>487.5</v>
      </c>
      <c r="J61" s="10" t="s">
        <v>22</v>
      </c>
      <c r="K61" s="10" t="s">
        <v>257</v>
      </c>
      <c r="L61" s="12"/>
      <c r="M61" s="12"/>
      <c r="N61" s="14" t="s">
        <v>50</v>
      </c>
      <c r="O61" s="29" t="e">
        <f>VLOOKUP(A61,'[1]05-06-26'!$A$2:$T$136,20,0)</f>
        <v>#N/A</v>
      </c>
      <c r="P61" s="29" t="e">
        <f>VLOOKUP(A61,'[1]12-06-26'!$A$2:$T$115,20,0)</f>
        <v>#N/A</v>
      </c>
      <c r="Q61" s="29" t="e">
        <f>VLOOKUP(A61,'[1]19-06-26'!$A$2:$T$113,20,0)</f>
        <v>#N/A</v>
      </c>
      <c r="R61" s="29" t="str">
        <f>VLOOKUP(A61,'[1]26-06-26'!$A$2:$T$121,20,0)</f>
        <v>Alstromeria 22     FF Sachet + Grass</v>
      </c>
      <c r="S61" s="29" t="str">
        <f>VLOOKUP(A61,'[2]03-07-26'!$A$2:$T$124,20,0)</f>
        <v>O Asiatic ( 14 Inch ) 4     Grass</v>
      </c>
      <c r="T61" s="29" t="s">
        <v>525</v>
      </c>
      <c r="U61" s="29">
        <v>22</v>
      </c>
      <c r="V61" s="29"/>
      <c r="W61" s="29"/>
      <c r="X61" s="29"/>
      <c r="Y61" s="29"/>
      <c r="Z61" s="29" t="s">
        <v>536</v>
      </c>
      <c r="AA61" s="29"/>
      <c r="AB61" s="29"/>
      <c r="AC61" s="29"/>
      <c r="AD61" s="29"/>
    </row>
    <row r="62" spans="1:30" ht="113.4" customHeight="1" x14ac:dyDescent="0.3">
      <c r="A62" s="1">
        <v>2652</v>
      </c>
      <c r="B62" s="21" t="s">
        <v>258</v>
      </c>
      <c r="C62" s="12">
        <v>8527486150</v>
      </c>
      <c r="D62" s="10" t="s">
        <v>259</v>
      </c>
      <c r="E62" s="10" t="s">
        <v>77</v>
      </c>
      <c r="F62" s="10" t="s">
        <v>15</v>
      </c>
      <c r="G62" s="17" t="s">
        <v>53</v>
      </c>
      <c r="H62" s="12">
        <v>1450</v>
      </c>
      <c r="I62" s="12">
        <v>362.5</v>
      </c>
      <c r="J62" s="10" t="s">
        <v>30</v>
      </c>
      <c r="K62" s="10" t="s">
        <v>260</v>
      </c>
      <c r="L62" s="10" t="s">
        <v>261</v>
      </c>
      <c r="M62" s="10" t="s">
        <v>262</v>
      </c>
      <c r="N62" s="14" t="s">
        <v>50</v>
      </c>
      <c r="O62" s="29" t="str">
        <f>VLOOKUP(A62,'[1]05-06-26'!$A$2:$T$136,20,0)</f>
        <v>O Asiatic ( 14 Inch ) 2 P n W Glad ( 14 Inch ) 7   Grass</v>
      </c>
      <c r="P62" s="29" t="str">
        <f>VLOOKUP(A62,'[1]12-06-26'!$A$2:$T$115,20,0)</f>
        <v>Pur Eustoma ( 12 Inch ) 2 Mix Alstroemeria ( 12 Inch ) 7   FF Sachet + Grass</v>
      </c>
      <c r="Q62" s="29" t="str">
        <f>VLOOKUP(A62,'[1]19-06-26'!$A$2:$T$113,20,0)</f>
        <v xml:space="preserve">P Spray Daisy ( 14 Inch ) 3 Pur n P Car ( 14 Inch ) 7  FF Sachet + Grass </v>
      </c>
      <c r="R62" s="29" t="str">
        <f>VLOOKUP(A62,'[1]26-06-26'!$A$2:$T$121,20,0)</f>
        <v>P Asiatic ( 14 Inch ) 2 p Car ( 14 inch ) 7   FF sachet + Grass</v>
      </c>
      <c r="S62" s="29" t="str">
        <f>VLOOKUP(A62,'[2]03-07-26'!$A$2:$T$124,20,0)</f>
        <v>Sunflower ( 12 Inch ) 2 P n W Glad ( 14 Inch ) 7   FF Sachet + Grass</v>
      </c>
      <c r="T62" s="29" t="s">
        <v>542</v>
      </c>
      <c r="U62" s="29">
        <v>3</v>
      </c>
      <c r="V62" s="29" t="s">
        <v>530</v>
      </c>
      <c r="W62" s="29">
        <v>7</v>
      </c>
      <c r="X62" s="29"/>
      <c r="Y62" s="29"/>
      <c r="Z62" s="29" t="s">
        <v>536</v>
      </c>
      <c r="AA62" s="29"/>
      <c r="AB62" s="29"/>
      <c r="AC62" s="29"/>
      <c r="AD62" s="29"/>
    </row>
    <row r="63" spans="1:30" ht="113.4" customHeight="1" x14ac:dyDescent="0.3">
      <c r="A63" s="1">
        <v>2259</v>
      </c>
      <c r="B63" s="8" t="s">
        <v>263</v>
      </c>
      <c r="C63" s="12">
        <v>9818659010</v>
      </c>
      <c r="D63" s="10" t="s">
        <v>264</v>
      </c>
      <c r="E63" s="10" t="s">
        <v>14</v>
      </c>
      <c r="F63" s="10" t="s">
        <v>60</v>
      </c>
      <c r="G63" s="11" t="s">
        <v>16</v>
      </c>
      <c r="H63" s="12">
        <v>3950</v>
      </c>
      <c r="I63" s="12">
        <v>493.75</v>
      </c>
      <c r="J63" s="24" t="s">
        <v>265</v>
      </c>
      <c r="K63" s="10" t="s">
        <v>266</v>
      </c>
      <c r="L63" s="10"/>
      <c r="M63" s="10" t="s">
        <v>267</v>
      </c>
      <c r="N63" s="14" t="s">
        <v>518</v>
      </c>
      <c r="O63" s="29" t="str">
        <f>VLOOKUP(A63,'[1]05-06-26'!$A$2:$T$136,20,0)</f>
        <v>Pur n P Eustoma ( 14 Inch ) 4     FF Sachet + Grass</v>
      </c>
      <c r="P63" s="29" t="str">
        <f>VLOOKUP(A63,'[1]12-06-26'!$A$2:$T$115,20,0)</f>
        <v>Pur n P Car ( 14 Inch ) 20     FF Sachet + Grass</v>
      </c>
      <c r="Q63" s="29" t="str">
        <f>VLOOKUP(A63,'[1]19-06-26'!$A$2:$T$113,20,0)</f>
        <v>P n W Glad ( 14 Inch ) 20     Grass</v>
      </c>
      <c r="R63" s="29" t="str">
        <f>VLOOKUP(A63,'[1]26-06-26'!$A$2:$T$121,20,0)</f>
        <v>G n Y Spray Daisy ( 14 Inch ) 6     FF sachet + Grass</v>
      </c>
      <c r="S63" s="29" t="str">
        <f>VLOOKUP(A63,'[2]03-07-26'!$A$2:$T$124,20,0)</f>
        <v>Baloon Flowers  5     FF Sachet + Grass</v>
      </c>
      <c r="T63" s="29" t="s">
        <v>529</v>
      </c>
      <c r="U63" s="29">
        <v>6</v>
      </c>
      <c r="V63" s="29"/>
      <c r="W63" s="29"/>
      <c r="X63" s="29"/>
      <c r="Y63" s="29"/>
      <c r="Z63" s="29" t="s">
        <v>536</v>
      </c>
      <c r="AA63" s="29"/>
      <c r="AB63" s="29"/>
      <c r="AC63" s="29"/>
      <c r="AD63" s="29"/>
    </row>
    <row r="64" spans="1:30" ht="113.4" customHeight="1" x14ac:dyDescent="0.3">
      <c r="A64" s="1">
        <v>3077</v>
      </c>
      <c r="B64" s="8" t="s">
        <v>268</v>
      </c>
      <c r="C64" s="12">
        <v>9999435065</v>
      </c>
      <c r="D64" s="10" t="s">
        <v>269</v>
      </c>
      <c r="E64" s="10" t="s">
        <v>77</v>
      </c>
      <c r="F64" s="10" t="s">
        <v>15</v>
      </c>
      <c r="G64" s="17" t="s">
        <v>78</v>
      </c>
      <c r="H64" s="12">
        <v>1950</v>
      </c>
      <c r="I64" s="12">
        <v>487.5</v>
      </c>
      <c r="J64" s="10" t="s">
        <v>22</v>
      </c>
      <c r="K64" s="10" t="s">
        <v>270</v>
      </c>
      <c r="L64" s="10" t="s">
        <v>271</v>
      </c>
      <c r="M64" s="12"/>
      <c r="N64" s="14" t="s">
        <v>50</v>
      </c>
      <c r="O64" s="29" t="str">
        <f>VLOOKUP(A64,'[1]05-06-26'!$A$2:$T$136,20,0)</f>
        <v>Pur Eustom ( 14 Inch ) 2 Mix Alstroemeria ( 12 Inch ) 11   FF Sachet + Grass</v>
      </c>
      <c r="P64" s="29" t="str">
        <f>VLOOKUP(A64,'[1]12-06-26'!$A$2:$T$115,20,0)</f>
        <v>P n Y Spray Daisy ( 14 Inch ) 4 P n W Glad ( 14 Inch ) 11   FF Sachet + Grass</v>
      </c>
      <c r="Q64" s="29" t="str">
        <f>VLOOKUP(A64,'[1]19-06-26'!$A$2:$T$113,20,0)</f>
        <v>Eustoma  2 Pur n P Car ( 14 Inch ) 11   FF sachet + Grass</v>
      </c>
      <c r="R64" s="29" t="str">
        <f>VLOOKUP(A64,'[1]26-06-26'!$A$2:$T$121,20,0)</f>
        <v>Sunflower ( 12 Inch ) 3 Alstomeria( 12 Inch ) 11   FF Sachet + Grass</v>
      </c>
      <c r="S64" s="29" t="str">
        <f>VLOOKUP(A64,'[2]03-07-26'!$A$2:$T$124,20,0)</f>
        <v>W Asiatic ( 14 Inch ) 2 P n W Glad ( 14 Inch ) 11   Grass</v>
      </c>
      <c r="T64" s="29" t="s">
        <v>544</v>
      </c>
      <c r="U64" s="29">
        <v>4</v>
      </c>
      <c r="V64" s="29" t="s">
        <v>523</v>
      </c>
      <c r="W64" s="29">
        <v>11</v>
      </c>
      <c r="X64" s="29"/>
      <c r="Y64" s="29"/>
      <c r="Z64" s="29" t="s">
        <v>536</v>
      </c>
      <c r="AA64" s="29"/>
      <c r="AB64" s="29"/>
      <c r="AC64" s="29"/>
      <c r="AD64" s="29"/>
    </row>
    <row r="65" spans="1:30" ht="113.4" customHeight="1" x14ac:dyDescent="0.3">
      <c r="A65" s="1">
        <v>1268</v>
      </c>
      <c r="B65" s="16" t="s">
        <v>272</v>
      </c>
      <c r="C65" s="12">
        <v>9810290780</v>
      </c>
      <c r="D65" s="10" t="s">
        <v>273</v>
      </c>
      <c r="E65" s="10" t="s">
        <v>21</v>
      </c>
      <c r="F65" s="10" t="s">
        <v>15</v>
      </c>
      <c r="G65" s="10" t="s">
        <v>29</v>
      </c>
      <c r="H65" s="12">
        <v>1950</v>
      </c>
      <c r="I65" s="12">
        <v>487.5</v>
      </c>
      <c r="J65" s="10" t="s">
        <v>22</v>
      </c>
      <c r="K65" s="10" t="s">
        <v>274</v>
      </c>
      <c r="L65" s="10" t="s">
        <v>275</v>
      </c>
      <c r="M65" s="12"/>
      <c r="N65" s="14" t="s">
        <v>50</v>
      </c>
      <c r="O65" s="29" t="str">
        <f>VLOOKUP(A65,'[1]05-06-26'!$A$2:$T$136,20,0)</f>
        <v>Mix Alstroemeria ( 12 Inch ) 22     FF Sachet + Grass</v>
      </c>
      <c r="P65" s="29" t="e">
        <f>VLOOKUP(A65,'[1]12-06-26'!$A$2:$T$115,20,0)</f>
        <v>#N/A</v>
      </c>
      <c r="Q65" s="29" t="str">
        <f>VLOOKUP(A65,'[1]19-06-26'!$A$2:$T$113,20,0)</f>
        <v>O Asiatic ( 14 Inch ) 4     Grass</v>
      </c>
      <c r="R65" s="29" t="str">
        <f>VLOOKUP(A65,'[1]26-06-26'!$A$2:$T$121,20,0)</f>
        <v>Pur n P Car ( 14 Inch ) 22     FF Sachet + Grass</v>
      </c>
      <c r="S65" s="29" t="str">
        <f>VLOOKUP(A65,'[2]03-07-26'!$A$2:$T$124,20,0)</f>
        <v>Sunflower ( 12 Inch ) 5     FF Sachet + Grass</v>
      </c>
      <c r="T65" s="29" t="s">
        <v>523</v>
      </c>
      <c r="U65" s="29">
        <v>22</v>
      </c>
      <c r="V65" s="29"/>
      <c r="W65" s="29"/>
      <c r="X65" s="29"/>
      <c r="Y65" s="29"/>
      <c r="Z65" s="29" t="s">
        <v>535</v>
      </c>
      <c r="AA65" s="29"/>
      <c r="AB65" s="29"/>
      <c r="AC65" s="29"/>
      <c r="AD65" s="29"/>
    </row>
    <row r="66" spans="1:30" ht="113.4" customHeight="1" x14ac:dyDescent="0.3">
      <c r="A66" s="1">
        <v>3013</v>
      </c>
      <c r="B66" s="8" t="s">
        <v>276</v>
      </c>
      <c r="C66" s="12">
        <v>8652750573</v>
      </c>
      <c r="D66" s="10" t="s">
        <v>277</v>
      </c>
      <c r="E66" s="10" t="s">
        <v>21</v>
      </c>
      <c r="F66" s="10" t="s">
        <v>15</v>
      </c>
      <c r="G66" s="17" t="s">
        <v>78</v>
      </c>
      <c r="H66" s="12">
        <v>1450</v>
      </c>
      <c r="I66" s="12">
        <v>362.5</v>
      </c>
      <c r="J66" s="10" t="s">
        <v>30</v>
      </c>
      <c r="K66" s="10" t="s">
        <v>278</v>
      </c>
      <c r="L66" s="12"/>
      <c r="M66" s="12"/>
      <c r="N66" s="14" t="s">
        <v>41</v>
      </c>
      <c r="O66" s="29" t="str">
        <f>VLOOKUP(A66,'[1]05-06-26'!$A$2:$T$136,20,0)</f>
        <v>P Spray Daisy ( 14 Inch ) 3 P n W Glad ( 14 Inch ) 7   FF Sachet + Grass</v>
      </c>
      <c r="P66" s="29" t="str">
        <f>VLOOKUP(A66,'[1]12-06-26'!$A$2:$T$115,20,0)</f>
        <v>Pur Eustoma ( 12 Inch ) 2 Pur n P Car ( 14 Inch ) 7   FF Sachet + Grass</v>
      </c>
      <c r="Q66" s="29" t="str">
        <f>VLOOKUP(A66,'[1]19-06-26'!$A$2:$T$113,20,0)</f>
        <v xml:space="preserve">Sunflower ( 12 Inch ) 2 Mix Alstroemeria (  12 Inch ) 7  FF Sachet + Grass </v>
      </c>
      <c r="R66" s="29" t="str">
        <f>VLOOKUP(A66,'[1]26-06-26'!$A$2:$T$121,20,0)</f>
        <v>P Asiatic ( 14 Inch ) 2 Glad ( 14 Inch ) 7   Grass</v>
      </c>
      <c r="S66" s="29" t="str">
        <f>VLOOKUP(A66,'[2]03-07-26'!$A$2:$T$124,20,0)</f>
        <v>G Spray Daisy ( 14 Inch ) 3 P n W Car ( 14 Inch ) 7   FF Sachet + Grass</v>
      </c>
      <c r="T66" s="29" t="s">
        <v>522</v>
      </c>
      <c r="U66" s="29">
        <v>2</v>
      </c>
      <c r="V66" s="29" t="s">
        <v>523</v>
      </c>
      <c r="W66" s="29">
        <v>7</v>
      </c>
      <c r="X66" s="29"/>
      <c r="Y66" s="29"/>
      <c r="Z66" s="29" t="s">
        <v>536</v>
      </c>
      <c r="AA66" s="29"/>
      <c r="AB66" s="29"/>
      <c r="AC66" s="29"/>
      <c r="AD66" s="29"/>
    </row>
    <row r="67" spans="1:30" ht="113.4" customHeight="1" x14ac:dyDescent="0.3">
      <c r="A67" s="1">
        <v>2454</v>
      </c>
      <c r="B67" s="8" t="s">
        <v>279</v>
      </c>
      <c r="C67" s="10" t="s">
        <v>280</v>
      </c>
      <c r="D67" s="10" t="s">
        <v>281</v>
      </c>
      <c r="E67" s="10" t="s">
        <v>21</v>
      </c>
      <c r="F67" s="10" t="s">
        <v>15</v>
      </c>
      <c r="G67" s="11" t="s">
        <v>16</v>
      </c>
      <c r="H67" s="12">
        <v>1950</v>
      </c>
      <c r="I67" s="12">
        <v>487.5</v>
      </c>
      <c r="J67" s="10" t="s">
        <v>22</v>
      </c>
      <c r="K67" s="10" t="s">
        <v>282</v>
      </c>
      <c r="L67" s="12"/>
      <c r="M67" s="12"/>
      <c r="N67" s="14" t="s">
        <v>50</v>
      </c>
      <c r="O67" s="29" t="str">
        <f>VLOOKUP(A67,'[1]05-06-26'!$A$2:$T$136,20,0)</f>
        <v>P n Y Spray Daisy ( 14 Inch ) 4 Mix Alstroemeria ( 12 Inch ) 11   FF Sachet + Grass</v>
      </c>
      <c r="P67" s="29" t="str">
        <f>VLOOKUP(A67,'[1]12-06-26'!$A$2:$T$115,20,0)</f>
        <v>Sunflower ( 12 Inch ) 3 P n W Glad ( 14 Inch ) 11   FF Sachet + Grass</v>
      </c>
      <c r="Q67" s="29" t="str">
        <f>VLOOKUP(A67,'[1]19-06-26'!$A$2:$T$113,20,0)</f>
        <v>P Eustoma ( 12 Inch ) 2 Pur n P Car ( 14 Inch ) 11   FF sachet + Grass</v>
      </c>
      <c r="R67" s="29" t="str">
        <f>VLOOKUP(A67,'[1]26-06-26'!$A$2:$T$121,20,0)</f>
        <v>P Asiatic ( 14 Inch ) 2 Glad ( 14 Inch ) 11   Grass</v>
      </c>
      <c r="S67" s="29" t="str">
        <f>VLOOKUP(A67,'[2]03-07-26'!$A$2:$T$124,20,0)</f>
        <v>Sunflower ( 12 Inch ) 3 Rajni ( 14 Inch ) 11   FF Sachet + Grass</v>
      </c>
      <c r="T67" s="29" t="s">
        <v>545</v>
      </c>
      <c r="U67" s="29">
        <v>4</v>
      </c>
      <c r="V67" s="29" t="s">
        <v>530</v>
      </c>
      <c r="W67" s="29">
        <v>11</v>
      </c>
      <c r="X67" s="29"/>
      <c r="Y67" s="29"/>
      <c r="Z67" s="29" t="s">
        <v>536</v>
      </c>
      <c r="AA67" s="29"/>
      <c r="AB67" s="29"/>
      <c r="AC67" s="29"/>
      <c r="AD67" s="29"/>
    </row>
    <row r="68" spans="1:30" ht="113.4" customHeight="1" x14ac:dyDescent="0.3">
      <c r="A68" s="1">
        <v>2806</v>
      </c>
      <c r="B68" s="21" t="s">
        <v>283</v>
      </c>
      <c r="C68" s="9">
        <v>8800423311</v>
      </c>
      <c r="D68" s="10" t="s">
        <v>284</v>
      </c>
      <c r="E68" s="10" t="s">
        <v>14</v>
      </c>
      <c r="F68" s="10" t="s">
        <v>15</v>
      </c>
      <c r="G68" s="10" t="s">
        <v>29</v>
      </c>
      <c r="H68" s="12">
        <v>1450</v>
      </c>
      <c r="I68" s="12">
        <v>362.5</v>
      </c>
      <c r="J68" s="13" t="s">
        <v>30</v>
      </c>
      <c r="K68" s="10" t="s">
        <v>285</v>
      </c>
      <c r="L68" s="10" t="s">
        <v>286</v>
      </c>
      <c r="M68" s="12"/>
      <c r="N68" s="14" t="s">
        <v>91</v>
      </c>
      <c r="O68" s="29" t="e">
        <f>VLOOKUP(A68,'[1]05-06-26'!$A$2:$T$136,20,0)</f>
        <v>#N/A</v>
      </c>
      <c r="P68" s="29" t="e">
        <f>VLOOKUP(A68,'[1]12-06-26'!$A$2:$T$115,20,0)</f>
        <v>#N/A</v>
      </c>
      <c r="Q68" s="29" t="e">
        <f>VLOOKUP(A68,'[1]19-06-26'!$A$2:$T$113,20,0)</f>
        <v>#N/A</v>
      </c>
      <c r="R68" s="29" t="e">
        <f>VLOOKUP(A68,'[1]26-06-26'!$A$2:$T$121,20,0)</f>
        <v>#N/A</v>
      </c>
      <c r="S68" s="29" t="str">
        <f>VLOOKUP(A68,'[2]03-07-26'!$A$2:$T$124,20,0)</f>
        <v>Pur n P Car ( 14 Inch ) 16     FF Sachet + Grass</v>
      </c>
      <c r="T68" s="29" t="s">
        <v>543</v>
      </c>
      <c r="U68" s="29">
        <v>3</v>
      </c>
      <c r="V68" s="29"/>
      <c r="W68" s="29"/>
      <c r="X68" s="29"/>
      <c r="Y68" s="29"/>
      <c r="Z68" s="29" t="s">
        <v>535</v>
      </c>
      <c r="AA68" s="29"/>
      <c r="AB68" s="29"/>
      <c r="AC68" s="29"/>
      <c r="AD68" s="29"/>
    </row>
    <row r="69" spans="1:30" ht="113.4" customHeight="1" x14ac:dyDescent="0.3">
      <c r="A69" s="1">
        <v>2985</v>
      </c>
      <c r="B69" s="8" t="s">
        <v>287</v>
      </c>
      <c r="C69" s="12">
        <v>9810768350</v>
      </c>
      <c r="D69" s="10" t="s">
        <v>288</v>
      </c>
      <c r="E69" s="10" t="s">
        <v>28</v>
      </c>
      <c r="F69" s="10" t="s">
        <v>15</v>
      </c>
      <c r="G69" s="11" t="s">
        <v>16</v>
      </c>
      <c r="H69" s="12">
        <v>1450</v>
      </c>
      <c r="I69" s="12">
        <v>362.5</v>
      </c>
      <c r="J69" s="10" t="s">
        <v>30</v>
      </c>
      <c r="K69" s="10" t="s">
        <v>289</v>
      </c>
      <c r="L69" s="12"/>
      <c r="M69" s="12"/>
      <c r="N69" s="14" t="s">
        <v>41</v>
      </c>
      <c r="O69" s="29" t="str">
        <f>VLOOKUP(A69,'[1]05-06-26'!$A$2:$T$136,20,0)</f>
        <v>O Asiatic ( 14 Inch ) 3     Grass</v>
      </c>
      <c r="P69" s="29" t="str">
        <f>VLOOKUP(A69,'[1]12-06-26'!$A$2:$T$115,20,0)</f>
        <v>P n W Glad ( 14 Inch ) 16     Grass</v>
      </c>
      <c r="Q69" s="29" t="str">
        <f>VLOOKUP(A69,'[1]19-06-26'!$A$2:$T$113,20,0)</f>
        <v xml:space="preserve">Pur Eustom ( 12 Inch ) 3    FF Sachet + Grass </v>
      </c>
      <c r="R69" s="29" t="str">
        <f>VLOOKUP(A69,'[1]26-06-26'!$A$2:$T$121,20,0)</f>
        <v>P n Y Spray Daisy ( 14 Inch ) 5     FF sachet + Grass</v>
      </c>
      <c r="S69" s="29" t="str">
        <f>VLOOKUP(A69,'[2]03-07-26'!$A$2:$T$124,20,0)</f>
        <v>Pur n P Car ( 14 Inch ) 16     FF Sachet + Grass</v>
      </c>
      <c r="T69" s="29" t="s">
        <v>523</v>
      </c>
      <c r="U69" s="29">
        <v>16</v>
      </c>
      <c r="V69" s="29"/>
      <c r="W69" s="29"/>
      <c r="X69" s="29"/>
      <c r="Y69" s="29"/>
      <c r="Z69" s="29" t="s">
        <v>535</v>
      </c>
      <c r="AA69" s="29"/>
      <c r="AB69" s="29"/>
      <c r="AC69" s="29"/>
      <c r="AD69" s="29"/>
    </row>
    <row r="70" spans="1:30" ht="113.4" customHeight="1" x14ac:dyDescent="0.3">
      <c r="A70" s="1">
        <v>467</v>
      </c>
      <c r="B70" s="8" t="s">
        <v>290</v>
      </c>
      <c r="C70" s="1">
        <v>9867722349</v>
      </c>
      <c r="D70" s="1" t="s">
        <v>291</v>
      </c>
      <c r="E70" s="10" t="s">
        <v>28</v>
      </c>
      <c r="F70" s="13" t="s">
        <v>15</v>
      </c>
      <c r="G70" s="17" t="s">
        <v>53</v>
      </c>
      <c r="H70" s="12">
        <v>1450</v>
      </c>
      <c r="I70" s="12">
        <v>362.5</v>
      </c>
      <c r="J70" s="10" t="s">
        <v>30</v>
      </c>
      <c r="K70" s="13" t="s">
        <v>292</v>
      </c>
      <c r="L70" s="12"/>
      <c r="M70" s="12"/>
      <c r="N70" s="14" t="s">
        <v>41</v>
      </c>
      <c r="O70" s="29" t="str">
        <f>VLOOKUP(A70,'[1]05-06-26'!$A$2:$T$136,20,0)</f>
        <v>Mix Alstroemeria ( 12 Inch ) 16     FF Sachet + Grass</v>
      </c>
      <c r="P70" s="29" t="e">
        <f>VLOOKUP(A70,'[1]12-06-26'!$A$2:$T$115,20,0)</f>
        <v>#N/A</v>
      </c>
      <c r="Q70" s="29" t="str">
        <f>VLOOKUP(A70,'[1]19-06-26'!$A$2:$T$113,20,0)</f>
        <v xml:space="preserve">O Asiatic ( 14 Inch ) 3    Grass </v>
      </c>
      <c r="R70" s="29" t="str">
        <f>VLOOKUP(A70,'[1]26-06-26'!$A$2:$T$121,20,0)</f>
        <v>P n W Glad ( 14 Inch ) 16     Grass</v>
      </c>
      <c r="S70" s="29" t="str">
        <f>VLOOKUP(A70,'[2]03-07-26'!$A$2:$T$124,20,0)</f>
        <v>Pur n P Car ( 14 Inch ) 16     FF Sachet + Grass</v>
      </c>
      <c r="T70" s="29" t="s">
        <v>523</v>
      </c>
      <c r="U70" s="29">
        <v>16</v>
      </c>
      <c r="V70" s="29"/>
      <c r="W70" s="29"/>
      <c r="X70" s="29"/>
      <c r="Y70" s="29"/>
      <c r="Z70" s="29" t="s">
        <v>535</v>
      </c>
      <c r="AA70" s="29"/>
      <c r="AB70" s="29"/>
      <c r="AC70" s="29"/>
      <c r="AD70" s="29"/>
    </row>
    <row r="71" spans="1:30" ht="113.4" customHeight="1" x14ac:dyDescent="0.3">
      <c r="A71" s="1">
        <v>1433</v>
      </c>
      <c r="B71" s="8" t="s">
        <v>293</v>
      </c>
      <c r="C71" s="9">
        <v>9818603355</v>
      </c>
      <c r="D71" s="10" t="s">
        <v>294</v>
      </c>
      <c r="E71" s="10" t="s">
        <v>44</v>
      </c>
      <c r="F71" s="10" t="s">
        <v>15</v>
      </c>
      <c r="G71" s="17" t="s">
        <v>45</v>
      </c>
      <c r="H71" s="12">
        <v>1450</v>
      </c>
      <c r="I71" s="12">
        <v>362.5</v>
      </c>
      <c r="J71" s="13" t="s">
        <v>30</v>
      </c>
      <c r="K71" s="10" t="s">
        <v>295</v>
      </c>
      <c r="L71" s="10" t="s">
        <v>296</v>
      </c>
      <c r="M71" s="10" t="s">
        <v>267</v>
      </c>
      <c r="N71" s="14" t="s">
        <v>41</v>
      </c>
      <c r="O71" s="29" t="str">
        <f>VLOOKUP(A71,'[1]05-06-26'!$A$2:$T$136,20,0)</f>
        <v>P Spray Daisy ( 14 Inch ) 3     FF Sachet + Grass</v>
      </c>
      <c r="P71" s="29" t="str">
        <f>VLOOKUP(A71,'[1]12-06-26'!$A$2:$T$115,20,0)</f>
        <v>Pur n P Car ( 14 Inch ) 9     FF Sachet + Grass</v>
      </c>
      <c r="Q71" s="29" t="str">
        <f>VLOOKUP(A71,'[1]19-06-26'!$A$2:$T$113,20,0)</f>
        <v xml:space="preserve">Mix Alstroemeria ( 12 Inch ) 9    FF Sachet + Grass </v>
      </c>
      <c r="R71" s="29" t="str">
        <f>VLOOKUP(A71,'[1]26-06-26'!$A$2:$T$121,20,0)</f>
        <v>Pur Eustoma ( 12 Inch ) 2     FF aschet + Grass</v>
      </c>
      <c r="S71" s="29" t="str">
        <f>VLOOKUP(A71,'[2]03-07-26'!$A$2:$T$124,20,0)</f>
        <v>P n W Glad ( 14 Inch ) 16     Grass</v>
      </c>
      <c r="T71" s="29" t="s">
        <v>522</v>
      </c>
      <c r="U71" s="29">
        <v>4</v>
      </c>
      <c r="V71" s="29"/>
      <c r="W71" s="29"/>
      <c r="X71" s="29"/>
      <c r="Y71" s="29"/>
      <c r="Z71" s="29" t="s">
        <v>536</v>
      </c>
      <c r="AA71" s="29"/>
      <c r="AB71" s="29"/>
      <c r="AC71" s="29"/>
      <c r="AD71" s="29"/>
    </row>
    <row r="72" spans="1:30" ht="113.4" customHeight="1" x14ac:dyDescent="0.3">
      <c r="A72" s="1">
        <v>3354</v>
      </c>
      <c r="B72" s="8" t="s">
        <v>297</v>
      </c>
      <c r="C72" s="12">
        <v>9971944440</v>
      </c>
      <c r="D72" s="10" t="s">
        <v>298</v>
      </c>
      <c r="E72" s="10" t="s">
        <v>14</v>
      </c>
      <c r="F72" s="10" t="s">
        <v>15</v>
      </c>
      <c r="G72" s="11" t="s">
        <v>16</v>
      </c>
      <c r="H72" s="12">
        <v>1450</v>
      </c>
      <c r="I72" s="12">
        <v>362.5</v>
      </c>
      <c r="J72" s="10" t="s">
        <v>30</v>
      </c>
      <c r="K72" s="12"/>
      <c r="L72" s="12"/>
      <c r="M72" s="12"/>
      <c r="N72" s="14" t="s">
        <v>41</v>
      </c>
      <c r="O72" s="29" t="str">
        <f>VLOOKUP(A72,'[1]05-06-26'!$A$2:$T$136,20,0)</f>
        <v>Mix Alstroemeria ( 12 Inch ) 16     FF Sachet + Grass</v>
      </c>
      <c r="P72" s="29" t="str">
        <f>VLOOKUP(A72,'[1]12-06-26'!$A$2:$T$115,20,0)</f>
        <v>R n W Car ( 14 Inch ) 16     FF Sachet + Grass</v>
      </c>
      <c r="Q72" s="29" t="str">
        <f>VLOOKUP(A72,'[1]19-06-26'!$A$2:$T$113,20,0)</f>
        <v xml:space="preserve">Pur Eustom ( 12 Inch ) 3    FF Sachet + Grass </v>
      </c>
      <c r="R72" s="29" t="str">
        <f>VLOOKUP(A72,'[1]26-06-26'!$A$2:$T$121,20,0)</f>
        <v>P n W Glad ( 14 Inch ) 16     Grass</v>
      </c>
      <c r="S72" s="29" t="str">
        <f>VLOOKUP(A72,'[2]03-07-26'!$A$2:$T$124,20,0)</f>
        <v>Sunflower ( 12 Inch ) 4     FF Sachet + Grass</v>
      </c>
      <c r="T72" s="29" t="s">
        <v>523</v>
      </c>
      <c r="U72" s="29">
        <v>16</v>
      </c>
      <c r="V72" s="29"/>
      <c r="W72" s="29"/>
      <c r="X72" s="29"/>
      <c r="Y72" s="29"/>
      <c r="Z72" s="29" t="s">
        <v>535</v>
      </c>
      <c r="AA72" s="29"/>
      <c r="AB72" s="29"/>
      <c r="AC72" s="29"/>
      <c r="AD72" s="29"/>
    </row>
    <row r="73" spans="1:30" ht="113.4" customHeight="1" x14ac:dyDescent="0.3">
      <c r="A73" s="1">
        <v>1389</v>
      </c>
      <c r="B73" s="27" t="s">
        <v>299</v>
      </c>
      <c r="C73" s="12">
        <v>9811998878</v>
      </c>
      <c r="D73" s="10" t="s">
        <v>300</v>
      </c>
      <c r="E73" s="10" t="s">
        <v>21</v>
      </c>
      <c r="F73" s="10" t="s">
        <v>15</v>
      </c>
      <c r="G73" s="18" t="s">
        <v>45</v>
      </c>
      <c r="H73" s="12">
        <v>3850</v>
      </c>
      <c r="I73" s="12">
        <v>481.25</v>
      </c>
      <c r="J73" s="24" t="s">
        <v>265</v>
      </c>
      <c r="K73" s="10" t="s">
        <v>301</v>
      </c>
      <c r="L73" s="10" t="s">
        <v>302</v>
      </c>
      <c r="M73" s="12"/>
      <c r="N73" s="14" t="s">
        <v>25</v>
      </c>
      <c r="O73" s="29" t="str">
        <f>VLOOKUP(A73,'[1]05-06-26'!$A$2:$T$136,20,0)</f>
        <v>Pur n P Eustoma ( 14 Inch ) 4     FF Sachet + Grass</v>
      </c>
      <c r="P73" s="29" t="str">
        <f>VLOOKUP(A73,'[1]12-06-26'!$A$2:$T$115,20,0)</f>
        <v>Rajni ( 14 Inch ) 20     Grass</v>
      </c>
      <c r="Q73" s="29" t="str">
        <f>VLOOKUP(A73,'[1]19-06-26'!$A$2:$T$113,20,0)</f>
        <v>P Asiatic ( 14 Inch ) 4     Grass</v>
      </c>
      <c r="R73" s="29" t="str">
        <f>VLOOKUP(A73,'[1]26-06-26'!$A$2:$T$121,20,0)</f>
        <v>P n W Glad ( 14 Inch ) 20     Grass</v>
      </c>
      <c r="S73" s="29" t="str">
        <f>VLOOKUP(A73,'[2]03-07-26'!$A$2:$T$124,20,0)</f>
        <v>Sunflower ( 12 Inch ) 5     FF Sachet + Grass</v>
      </c>
      <c r="T73" s="29" t="s">
        <v>523</v>
      </c>
      <c r="U73" s="29">
        <v>20</v>
      </c>
      <c r="V73" s="29"/>
      <c r="W73" s="29"/>
      <c r="X73" s="29"/>
      <c r="Y73" s="29"/>
      <c r="Z73" s="29" t="s">
        <v>535</v>
      </c>
      <c r="AA73" s="29"/>
      <c r="AB73" s="29"/>
      <c r="AC73" s="29"/>
      <c r="AD73" s="29"/>
    </row>
    <row r="74" spans="1:30" ht="113.4" customHeight="1" x14ac:dyDescent="0.3">
      <c r="A74" s="1">
        <v>3394</v>
      </c>
      <c r="B74" s="8" t="s">
        <v>303</v>
      </c>
      <c r="C74" s="12">
        <v>7013060378</v>
      </c>
      <c r="D74" s="10" t="s">
        <v>304</v>
      </c>
      <c r="E74" s="10" t="s">
        <v>21</v>
      </c>
      <c r="F74" s="10" t="s">
        <v>15</v>
      </c>
      <c r="G74" s="10" t="s">
        <v>29</v>
      </c>
      <c r="H74" s="12">
        <v>2750</v>
      </c>
      <c r="I74" s="12">
        <v>687.5</v>
      </c>
      <c r="J74" s="13" t="s">
        <v>30</v>
      </c>
      <c r="K74" s="10" t="s">
        <v>305</v>
      </c>
      <c r="L74" s="12"/>
      <c r="M74" s="12"/>
      <c r="N74" s="14" t="s">
        <v>41</v>
      </c>
      <c r="O74" s="29" t="e">
        <f>VLOOKUP(A74,'[1]05-06-26'!$A$2:$T$136,20,0)</f>
        <v>#N/A</v>
      </c>
      <c r="P74" s="29" t="e">
        <f>VLOOKUP(A74,'[1]12-06-26'!$A$2:$T$115,20,0)</f>
        <v>#N/A</v>
      </c>
      <c r="Q74" s="29" t="e">
        <f>VLOOKUP(A74,'[1]19-06-26'!$A$2:$T$113,20,0)</f>
        <v>#N/A</v>
      </c>
      <c r="R74" s="29" t="e">
        <f>VLOOKUP(A74,'[1]26-06-26'!$A$2:$T$121,20,0)</f>
        <v>#N/A</v>
      </c>
      <c r="S74" s="29" t="str">
        <f>VLOOKUP(A74,'[2]03-07-26'!$A$2:$T$124,20,0)</f>
        <v>Pur n P Car ( 14 Inch ) 32     FF Sachet + Grass</v>
      </c>
      <c r="T74" s="29" t="s">
        <v>526</v>
      </c>
      <c r="U74" s="29">
        <v>6</v>
      </c>
      <c r="V74" s="29"/>
      <c r="W74" s="29"/>
      <c r="X74" s="29"/>
      <c r="Y74" s="29"/>
      <c r="Z74" s="29" t="s">
        <v>551</v>
      </c>
      <c r="AA74" s="29"/>
      <c r="AB74" s="29"/>
      <c r="AC74" s="29"/>
      <c r="AD74" s="29"/>
    </row>
    <row r="75" spans="1:30" ht="113.4" customHeight="1" x14ac:dyDescent="0.3">
      <c r="A75" s="13" t="s">
        <v>306</v>
      </c>
      <c r="B75" s="8" t="s">
        <v>307</v>
      </c>
      <c r="C75" s="1">
        <v>9560068750</v>
      </c>
      <c r="D75" s="1" t="s">
        <v>308</v>
      </c>
      <c r="E75" s="10" t="s">
        <v>14</v>
      </c>
      <c r="F75" s="13" t="s">
        <v>15</v>
      </c>
      <c r="G75" s="11" t="s">
        <v>16</v>
      </c>
      <c r="H75" s="12">
        <v>3950</v>
      </c>
      <c r="I75" s="12">
        <v>493.75</v>
      </c>
      <c r="J75" s="10" t="s">
        <v>265</v>
      </c>
      <c r="K75" s="13" t="s">
        <v>309</v>
      </c>
      <c r="L75" s="10" t="s">
        <v>310</v>
      </c>
      <c r="M75" s="12"/>
      <c r="N75" s="14" t="s">
        <v>50</v>
      </c>
      <c r="O75" s="29" t="e">
        <f>VLOOKUP(A75,'[1]05-06-26'!$A$2:$T$136,20,0)</f>
        <v>#N/A</v>
      </c>
      <c r="P75" s="29" t="e">
        <f>VLOOKUP(A75,'[1]12-06-26'!$A$2:$T$115,20,0)</f>
        <v>#N/A</v>
      </c>
      <c r="Q75" s="29" t="e">
        <f>VLOOKUP(A75,'[1]19-06-26'!$A$2:$T$113,20,0)</f>
        <v>#N/A</v>
      </c>
      <c r="R75" s="29" t="e">
        <f>VLOOKUP(A75,'[1]26-06-26'!$A$2:$T$121,20,0)</f>
        <v>#N/A</v>
      </c>
      <c r="S75" s="29" t="str">
        <f>VLOOKUP(A75,'[2]03-07-26'!$A$2:$T$124,20,0)</f>
        <v>P Asiatic ( 14 Inch ) 4     Grass</v>
      </c>
      <c r="T75" s="29" t="s">
        <v>523</v>
      </c>
      <c r="U75" s="29">
        <v>20</v>
      </c>
      <c r="V75" s="29"/>
      <c r="W75" s="29"/>
      <c r="X75" s="29"/>
      <c r="Y75" s="29"/>
      <c r="Z75" s="29" t="s">
        <v>535</v>
      </c>
      <c r="AA75" s="29"/>
      <c r="AB75" s="29"/>
      <c r="AC75" s="29"/>
      <c r="AD75" s="29"/>
    </row>
    <row r="76" spans="1:30" ht="113.4" customHeight="1" x14ac:dyDescent="0.3">
      <c r="A76" s="1">
        <v>1996</v>
      </c>
      <c r="B76" s="21" t="s">
        <v>311</v>
      </c>
      <c r="C76" s="12">
        <v>9899660037</v>
      </c>
      <c r="D76" s="10" t="s">
        <v>312</v>
      </c>
      <c r="E76" s="10" t="s">
        <v>28</v>
      </c>
      <c r="F76" s="10" t="s">
        <v>15</v>
      </c>
      <c r="G76" s="11" t="s">
        <v>16</v>
      </c>
      <c r="H76" s="12">
        <v>1450</v>
      </c>
      <c r="I76" s="12">
        <v>362.5</v>
      </c>
      <c r="J76" s="10" t="s">
        <v>30</v>
      </c>
      <c r="K76" s="10" t="s">
        <v>313</v>
      </c>
      <c r="L76" s="10" t="s">
        <v>314</v>
      </c>
      <c r="M76" s="12"/>
      <c r="N76" s="14" t="s">
        <v>91</v>
      </c>
      <c r="O76" s="29" t="str">
        <f>VLOOKUP(A76,'[1]05-06-26'!$A$2:$T$136,20,0)</f>
        <v>P n Y Spray Daisy ( 14 Inch ) 5     FF Sachet + Grass</v>
      </c>
      <c r="P76" s="29" t="str">
        <f>VLOOKUP(A76,'[1]12-06-26'!$A$2:$T$115,20,0)</f>
        <v>Sunflower ( 12 Inch ) 4     FF Sachet + Grass</v>
      </c>
      <c r="Q76" s="29" t="str">
        <f>VLOOKUP(A76,'[1]19-06-26'!$A$2:$T$113,20,0)</f>
        <v xml:space="preserve">Pur Eustom ( 12 Inch ) 3    FF Sachet + Grass </v>
      </c>
      <c r="R76" s="29" t="str">
        <f>VLOOKUP(A76,'[1]26-06-26'!$A$2:$T$121,20,0)</f>
        <v>P n W Car ( 14 Inch ) 16     FF sachet + Grass</v>
      </c>
      <c r="S76" s="29" t="str">
        <f>VLOOKUP(A76,'[2]03-07-26'!$A$2:$T$124,20,0)</f>
        <v>O Asiatic ( 14 Inch ) 3     Grass</v>
      </c>
      <c r="T76" s="29" t="s">
        <v>523</v>
      </c>
      <c r="U76" s="29">
        <v>16</v>
      </c>
      <c r="V76" s="29"/>
      <c r="W76" s="29"/>
      <c r="X76" s="29"/>
      <c r="Y76" s="29"/>
      <c r="Z76" s="29" t="s">
        <v>535</v>
      </c>
      <c r="AA76" s="29"/>
      <c r="AB76" s="29"/>
      <c r="AC76" s="29"/>
      <c r="AD76" s="29"/>
    </row>
    <row r="77" spans="1:30" ht="113.4" customHeight="1" x14ac:dyDescent="0.3">
      <c r="A77" s="1">
        <v>87</v>
      </c>
      <c r="B77" s="8" t="s">
        <v>315</v>
      </c>
      <c r="C77" s="1">
        <v>9716199110</v>
      </c>
      <c r="D77" s="1" t="s">
        <v>316</v>
      </c>
      <c r="E77" s="13" t="s">
        <v>44</v>
      </c>
      <c r="F77" s="13" t="s">
        <v>15</v>
      </c>
      <c r="G77" s="17" t="s">
        <v>45</v>
      </c>
      <c r="H77" s="12">
        <v>1450</v>
      </c>
      <c r="I77" s="12">
        <v>362.5</v>
      </c>
      <c r="J77" s="10" t="s">
        <v>30</v>
      </c>
      <c r="K77" s="13" t="s">
        <v>317</v>
      </c>
      <c r="L77" s="12"/>
      <c r="M77" s="12"/>
      <c r="N77" s="14" t="s">
        <v>318</v>
      </c>
      <c r="O77" s="29" t="str">
        <f>VLOOKUP(A77,'[1]05-06-26'!$A$2:$T$136,20,0)</f>
        <v>Pur n P Eustoma ( 14 Inch ) 3     FF Sachet + Grass</v>
      </c>
      <c r="P77" s="29" t="str">
        <f>VLOOKUP(A77,'[1]12-06-26'!$A$2:$T$115,20,0)</f>
        <v>P n Y Spray Daisy ( 14 Inch ) 5     FF Sachet + Grass</v>
      </c>
      <c r="Q77" s="29" t="str">
        <f>VLOOKUP(A77,'[1]19-06-26'!$A$2:$T$113,20,0)</f>
        <v xml:space="preserve">Mix Car 16    Grass </v>
      </c>
      <c r="R77" s="29" t="str">
        <f>VLOOKUP(A77,'[1]26-06-26'!$A$2:$T$121,20,0)</f>
        <v>Asiatic 3     Grass</v>
      </c>
      <c r="S77" s="29" t="str">
        <f>VLOOKUP(A77,'[2]03-07-26'!$A$2:$T$124,20,0)</f>
        <v>P n W Glad ( 14 Inch ) 16     Grass</v>
      </c>
      <c r="T77" s="29" t="s">
        <v>523</v>
      </c>
      <c r="U77" s="29">
        <v>16</v>
      </c>
      <c r="V77" s="29"/>
      <c r="W77" s="29"/>
      <c r="X77" s="29"/>
      <c r="Y77" s="29"/>
      <c r="Z77" s="29" t="s">
        <v>535</v>
      </c>
      <c r="AA77" s="29"/>
      <c r="AB77" s="29"/>
      <c r="AC77" s="29"/>
      <c r="AD77" s="29"/>
    </row>
    <row r="78" spans="1:30" ht="113.4" customHeight="1" x14ac:dyDescent="0.3">
      <c r="A78" s="1">
        <v>781</v>
      </c>
      <c r="B78" s="8" t="s">
        <v>319</v>
      </c>
      <c r="C78" s="1">
        <v>9971391417</v>
      </c>
      <c r="D78" s="1" t="s">
        <v>320</v>
      </c>
      <c r="E78" s="13" t="s">
        <v>44</v>
      </c>
      <c r="F78" s="13" t="s">
        <v>15</v>
      </c>
      <c r="G78" s="17" t="s">
        <v>45</v>
      </c>
      <c r="H78" s="12">
        <v>1450</v>
      </c>
      <c r="I78" s="12">
        <v>362.5</v>
      </c>
      <c r="J78" s="10" t="s">
        <v>30</v>
      </c>
      <c r="K78" s="13" t="s">
        <v>321</v>
      </c>
      <c r="L78" s="12"/>
      <c r="M78" s="12"/>
      <c r="N78" s="14" t="s">
        <v>41</v>
      </c>
      <c r="O78" s="29" t="str">
        <f>VLOOKUP(A78,'[1]05-06-26'!$A$2:$T$136,20,0)</f>
        <v>P Asiatic ( 14 Inch ) 3     Grass</v>
      </c>
      <c r="P78" s="29" t="str">
        <f>VLOOKUP(A78,'[1]12-06-26'!$A$2:$T$115,20,0)</f>
        <v>P n Y Spray Daisy ( 14 Inch ) 5     FF Sachet + Grass</v>
      </c>
      <c r="Q78" s="29" t="str">
        <f>VLOOKUP(A78,'[1]19-06-26'!$A$2:$T$113,20,0)</f>
        <v xml:space="preserve">R n P Car ( 14 Inch ) 16    FF Sachet + Grass </v>
      </c>
      <c r="R78" s="29" t="str">
        <f>VLOOKUP(A78,'[1]26-06-26'!$A$2:$T$121,20,0)</f>
        <v>Mix Alstroemeria 16     Grass</v>
      </c>
      <c r="S78" s="29" t="str">
        <f>VLOOKUP(A78,'[2]03-07-26'!$A$2:$T$124,20,0)</f>
        <v>Sunflower ( 12 Inch ) 4     FF Sachet + Grass</v>
      </c>
      <c r="T78" s="29" t="s">
        <v>524</v>
      </c>
      <c r="U78" s="29">
        <v>16</v>
      </c>
      <c r="V78" s="29"/>
      <c r="W78" s="29"/>
      <c r="X78" s="29"/>
      <c r="Y78" s="29"/>
      <c r="Z78" s="29" t="s">
        <v>535</v>
      </c>
      <c r="AA78" s="29"/>
      <c r="AB78" s="29"/>
      <c r="AC78" s="29"/>
      <c r="AD78" s="29"/>
    </row>
    <row r="79" spans="1:30" ht="113.4" customHeight="1" x14ac:dyDescent="0.3">
      <c r="A79" s="1">
        <v>3099</v>
      </c>
      <c r="B79" s="28" t="s">
        <v>322</v>
      </c>
      <c r="C79" s="12">
        <v>9910993142</v>
      </c>
      <c r="D79" s="10" t="s">
        <v>323</v>
      </c>
      <c r="E79" s="10" t="s">
        <v>324</v>
      </c>
      <c r="F79" s="10" t="s">
        <v>15</v>
      </c>
      <c r="G79" s="18" t="s">
        <v>78</v>
      </c>
      <c r="H79" s="12">
        <v>1950</v>
      </c>
      <c r="I79" s="12">
        <v>487.5</v>
      </c>
      <c r="J79" s="10" t="s">
        <v>22</v>
      </c>
      <c r="K79" s="10" t="s">
        <v>325</v>
      </c>
      <c r="L79" s="12"/>
      <c r="M79" s="12"/>
      <c r="N79" s="14" t="s">
        <v>200</v>
      </c>
      <c r="O79" s="29" t="str">
        <f>VLOOKUP(A79,'[1]05-06-26'!$A$2:$T$136,20,0)</f>
        <v>Pur Eustom ( 14 Inch ) 2 P n W Glad ( 14 Inch ) 11   FF Sachet + Grass</v>
      </c>
      <c r="P79" s="29" t="str">
        <f>VLOOKUP(A79,'[1]12-06-26'!$A$2:$T$115,20,0)</f>
        <v>P n Y Spray Daisy ( 14 Inch ) 4 Mix Alstroemeria ( 12 Inch ) 11   FF Sachet + Grass</v>
      </c>
      <c r="Q79" s="29" t="str">
        <f>VLOOKUP(A79,'[1]19-06-26'!$A$2:$T$113,20,0)</f>
        <v>O Asiatic ( 14 Inch ) 2 Pur n P Car ( 14 Inch ) 11   Grass</v>
      </c>
      <c r="R79" s="29" t="str">
        <f>VLOOKUP(A79,'[1]26-06-26'!$A$2:$T$121,20,0)</f>
        <v>Asiatic 2 Alstromeria 11   FF Sachet + Grass</v>
      </c>
      <c r="S79" s="29" t="str">
        <f>VLOOKUP(A79,'[2]03-07-26'!$A$2:$T$124,20,0)</f>
        <v>Sunflower ( 12 Inch ) 3 P n W Glad ( 14 Inch ) 11   FF Sachet + Grass</v>
      </c>
      <c r="T79" s="29" t="s">
        <v>545</v>
      </c>
      <c r="U79" s="29">
        <v>4</v>
      </c>
      <c r="V79" s="29" t="s">
        <v>525</v>
      </c>
      <c r="W79" s="29">
        <v>11</v>
      </c>
      <c r="X79" s="29"/>
      <c r="Y79" s="29"/>
      <c r="Z79" s="29" t="s">
        <v>536</v>
      </c>
      <c r="AA79" s="29"/>
      <c r="AB79" s="29"/>
      <c r="AC79" s="29"/>
      <c r="AD79" s="29"/>
    </row>
    <row r="80" spans="1:30" ht="113.4" customHeight="1" x14ac:dyDescent="0.3">
      <c r="A80" s="1">
        <v>3047</v>
      </c>
      <c r="B80" s="8" t="s">
        <v>326</v>
      </c>
      <c r="C80" s="9">
        <v>9811222881</v>
      </c>
      <c r="D80" s="10" t="s">
        <v>327</v>
      </c>
      <c r="E80" s="10" t="s">
        <v>21</v>
      </c>
      <c r="F80" s="10" t="s">
        <v>15</v>
      </c>
      <c r="G80" s="17" t="s">
        <v>45</v>
      </c>
      <c r="H80" s="12">
        <v>1450</v>
      </c>
      <c r="I80" s="12">
        <v>362.5</v>
      </c>
      <c r="J80" s="13" t="s">
        <v>30</v>
      </c>
      <c r="K80" s="10" t="s">
        <v>328</v>
      </c>
      <c r="L80" s="12"/>
      <c r="M80" s="12"/>
      <c r="N80" s="14" t="s">
        <v>91</v>
      </c>
      <c r="O80" s="29" t="e">
        <f>VLOOKUP(A80,'[1]05-06-26'!$A$2:$T$136,20,0)</f>
        <v>#N/A</v>
      </c>
      <c r="P80" s="29" t="str">
        <f>VLOOKUP(A80,'[1]12-06-26'!$A$2:$T$115,20,0)</f>
        <v>P Asiatic ( 14 Inch ) 2     Grass</v>
      </c>
      <c r="Q80" s="29" t="str">
        <f>VLOOKUP(A80,'[1]19-06-26'!$A$2:$T$113,20,0)</f>
        <v xml:space="preserve">Pur n P Car ( 14 Inch ) 9    FF Sachet + Grass </v>
      </c>
      <c r="R80" s="29" t="str">
        <f>VLOOKUP(A80,'[1]26-06-26'!$A$2:$T$121,20,0)</f>
        <v>P n W Glad ( 14 Inch ) 9     Grass</v>
      </c>
      <c r="S80" s="29" t="str">
        <f>VLOOKUP(A80,'[2]03-07-26'!$A$2:$T$124,20,0)</f>
        <v>Sunflower ( 12 Inch ) 4     FF Sachet + Grass</v>
      </c>
      <c r="T80" s="29" t="s">
        <v>530</v>
      </c>
      <c r="U80" s="29">
        <v>16</v>
      </c>
      <c r="V80" s="29"/>
      <c r="W80" s="29"/>
      <c r="X80" s="29"/>
      <c r="Y80" s="29"/>
      <c r="Z80" s="29" t="s">
        <v>536</v>
      </c>
      <c r="AA80" s="29"/>
      <c r="AB80" s="29"/>
      <c r="AC80" s="29"/>
      <c r="AD80" s="29"/>
    </row>
    <row r="81" spans="1:30" ht="113.4" customHeight="1" x14ac:dyDescent="0.3">
      <c r="A81" s="1">
        <v>139</v>
      </c>
      <c r="B81" s="8" t="s">
        <v>329</v>
      </c>
      <c r="C81" s="1">
        <v>9899048440</v>
      </c>
      <c r="D81" s="1" t="s">
        <v>330</v>
      </c>
      <c r="E81" s="10" t="s">
        <v>28</v>
      </c>
      <c r="F81" s="13" t="s">
        <v>15</v>
      </c>
      <c r="G81" s="11" t="s">
        <v>16</v>
      </c>
      <c r="H81" s="12">
        <v>4750</v>
      </c>
      <c r="I81" s="12">
        <v>1187.5</v>
      </c>
      <c r="J81" s="10" t="s">
        <v>331</v>
      </c>
      <c r="K81" s="13" t="s">
        <v>332</v>
      </c>
      <c r="L81" s="10" t="s">
        <v>261</v>
      </c>
      <c r="M81" s="12"/>
      <c r="N81" s="14" t="s">
        <v>41</v>
      </c>
      <c r="O81" s="29" t="str">
        <f>VLOOKUP(A81,'[1]05-06-26'!$A$2:$T$136,20,0)</f>
        <v>P n Y Spray Daisy ( 14 Inch ) 10 P n W Glad ( 14 Inch ) 18 P n W Car ( 14 Inch ) 18 Grass</v>
      </c>
      <c r="P81" s="29" t="str">
        <f>VLOOKUP(A81,'[1]12-06-26'!$A$2:$T$115,20,0)</f>
        <v>W Asiatic ( 14 inch ) 6 Mix Alstroemeria ( 12 Inch ) 18 Pur n P Car ( 14 Inch ) 18 Grass</v>
      </c>
      <c r="Q81" s="29" t="str">
        <f>VLOOKUP(A81,'[1]19-06-26'!$A$2:$T$113,20,0)</f>
        <v>Sunflower ( 12 Inch ) 6 P n W Glad ( 14 Inch ) 18 Rajni ( 14 Inch ) 18 Grass</v>
      </c>
      <c r="R81" s="29" t="str">
        <f>VLOOKUP(A81,'[1]26-06-26'!$A$2:$T$121,20,0)</f>
        <v>P n W Spray Daisy 8 P n W Car ( 14 Inch ) 18 Glad ( 14 Inch ) 18 Grass</v>
      </c>
      <c r="S81" s="29" t="str">
        <f>VLOOKUP(A81,'[2]03-07-26'!$A$2:$T$124,20,0)</f>
        <v>O Asiatic ( 14 Inch ) 6 Rajni ( 14 Inch ) 18 Pur n P Car ( 14 Inch ) 18 Grass</v>
      </c>
      <c r="T81" s="29" t="s">
        <v>522</v>
      </c>
      <c r="U81" s="29">
        <v>6</v>
      </c>
      <c r="V81" s="29" t="s">
        <v>530</v>
      </c>
      <c r="W81" s="29">
        <v>18</v>
      </c>
      <c r="X81" s="29" t="s">
        <v>523</v>
      </c>
      <c r="Y81" s="29">
        <v>18</v>
      </c>
      <c r="Z81" s="29" t="s">
        <v>536</v>
      </c>
      <c r="AA81" s="29"/>
      <c r="AB81" s="29"/>
      <c r="AC81" s="29"/>
      <c r="AD81" s="29"/>
    </row>
    <row r="82" spans="1:30" ht="113.4" customHeight="1" x14ac:dyDescent="0.3">
      <c r="A82" s="1">
        <v>36</v>
      </c>
      <c r="B82" s="8" t="s">
        <v>333</v>
      </c>
      <c r="C82" s="20">
        <v>9818690761</v>
      </c>
      <c r="D82" s="13" t="s">
        <v>334</v>
      </c>
      <c r="E82" s="10" t="s">
        <v>14</v>
      </c>
      <c r="F82" s="13" t="s">
        <v>15</v>
      </c>
      <c r="G82" s="17" t="s">
        <v>53</v>
      </c>
      <c r="H82" s="12">
        <v>1450</v>
      </c>
      <c r="I82" s="12">
        <v>362.5</v>
      </c>
      <c r="J82" s="13" t="s">
        <v>30</v>
      </c>
      <c r="K82" s="13" t="s">
        <v>335</v>
      </c>
      <c r="L82" s="12"/>
      <c r="M82" s="12"/>
      <c r="N82" s="14" t="s">
        <v>91</v>
      </c>
      <c r="O82" s="29" t="str">
        <f>VLOOKUP(A82,'[1]05-06-26'!$A$2:$T$136,20,0)</f>
        <v>Sunflower ( 12 Inch ) 2     FF Sachet + Grass</v>
      </c>
      <c r="P82" s="29" t="str">
        <f>VLOOKUP(A82,'[1]12-06-26'!$A$2:$T$115,20,0)</f>
        <v>P n W Glad ( 14 Inch ) 9     Grass</v>
      </c>
      <c r="Q82" s="29" t="str">
        <f>VLOOKUP(A82,'[1]19-06-26'!$A$2:$T$113,20,0)</f>
        <v xml:space="preserve">Mix Alstroemeria ( 12 Inch ) 9    FF Sachet + Grass </v>
      </c>
      <c r="R82" s="29" t="str">
        <f>VLOOKUP(A82,'[1]26-06-26'!$A$2:$T$121,20,0)</f>
        <v>P n W Car ( 14 Inch ) 9     FF aschet + Grass</v>
      </c>
      <c r="S82" s="29" t="str">
        <f>VLOOKUP(A82,'[2]03-07-26'!$A$2:$T$124,20,0)</f>
        <v>P Asiatic ( 14 Inch ) 3     Grass</v>
      </c>
      <c r="T82" s="29" t="s">
        <v>523</v>
      </c>
      <c r="U82" s="29">
        <v>16</v>
      </c>
      <c r="V82" s="29"/>
      <c r="W82" s="29"/>
      <c r="X82" s="29"/>
      <c r="Y82" s="29"/>
      <c r="Z82" s="29" t="s">
        <v>535</v>
      </c>
      <c r="AA82" s="29"/>
      <c r="AB82" s="29"/>
      <c r="AC82" s="29"/>
      <c r="AD82" s="29"/>
    </row>
    <row r="83" spans="1:30" ht="113.4" customHeight="1" x14ac:dyDescent="0.3">
      <c r="A83" s="1">
        <v>43</v>
      </c>
      <c r="B83" s="8" t="s">
        <v>336</v>
      </c>
      <c r="C83" s="20">
        <v>9953515520</v>
      </c>
      <c r="D83" s="13" t="s">
        <v>337</v>
      </c>
      <c r="E83" s="10" t="s">
        <v>14</v>
      </c>
      <c r="F83" s="13" t="s">
        <v>15</v>
      </c>
      <c r="G83" s="11" t="s">
        <v>16</v>
      </c>
      <c r="H83" s="12">
        <v>1450</v>
      </c>
      <c r="I83" s="12">
        <v>362.5</v>
      </c>
      <c r="J83" s="13" t="s">
        <v>30</v>
      </c>
      <c r="K83" s="13" t="s">
        <v>338</v>
      </c>
      <c r="L83" s="10" t="s">
        <v>339</v>
      </c>
      <c r="M83" s="12"/>
      <c r="N83" s="14" t="s">
        <v>41</v>
      </c>
      <c r="O83" s="29" t="str">
        <f>VLOOKUP(A83,'[1]05-06-26'!$A$2:$T$136,20,0)</f>
        <v>P n W Car ( 14 Inch ) 9     FF Sachet + Grass</v>
      </c>
      <c r="P83" s="29" t="str">
        <f>VLOOKUP(A83,'[1]12-06-26'!$A$2:$T$115,20,0)</f>
        <v>Mix Alstroemeria ( 12 Inch ) 9     FF Sachet + Grass</v>
      </c>
      <c r="Q83" s="29" t="str">
        <f>VLOOKUP(A83,'[1]19-06-26'!$A$2:$T$113,20,0)</f>
        <v xml:space="preserve">P n W Glad ( 14 Inch ) 9    Grass </v>
      </c>
      <c r="R83" s="29" t="str">
        <f>VLOOKUP(A83,'[1]26-06-26'!$A$2:$T$121,20,0)</f>
        <v>Y Spray Daisy ( 14 Inch ) 3     FF aschet + Grass</v>
      </c>
      <c r="S83" s="29" t="str">
        <f>VLOOKUP(A83,'[2]03-07-26'!$A$2:$T$124,20,0)</f>
        <v>Pur n P Car ( 14 Inch ) 16     FF Sachet + Grass</v>
      </c>
      <c r="T83" s="29" t="s">
        <v>526</v>
      </c>
      <c r="U83" s="29">
        <v>3</v>
      </c>
      <c r="V83" s="29"/>
      <c r="W83" s="29"/>
      <c r="X83" s="29"/>
      <c r="Y83" s="29"/>
      <c r="Z83" s="29" t="s">
        <v>535</v>
      </c>
      <c r="AA83" s="29"/>
      <c r="AB83" s="29"/>
      <c r="AC83" s="29"/>
      <c r="AD83" s="29"/>
    </row>
    <row r="84" spans="1:30" ht="113.4" customHeight="1" x14ac:dyDescent="0.3">
      <c r="A84" s="13" t="s">
        <v>340</v>
      </c>
      <c r="B84" s="8" t="s">
        <v>341</v>
      </c>
      <c r="C84" s="12">
        <v>9810561802</v>
      </c>
      <c r="D84" s="10" t="s">
        <v>342</v>
      </c>
      <c r="E84" s="10" t="s">
        <v>343</v>
      </c>
      <c r="F84" s="10" t="s">
        <v>15</v>
      </c>
      <c r="G84" s="10" t="s">
        <v>29</v>
      </c>
      <c r="H84" s="12">
        <v>2300</v>
      </c>
      <c r="I84" s="12">
        <v>293.75</v>
      </c>
      <c r="J84" s="10" t="s">
        <v>120</v>
      </c>
      <c r="K84" s="10" t="s">
        <v>344</v>
      </c>
      <c r="L84" s="10" t="s">
        <v>345</v>
      </c>
      <c r="M84" s="12"/>
      <c r="N84" s="14" t="s">
        <v>50</v>
      </c>
      <c r="O84" s="29" t="str">
        <f>VLOOKUP(A84,'[1]05-06-26'!$A$2:$T$136,20,0)</f>
        <v>R n W Car ( 14 Inch ) 11     FF Sachet + Grass</v>
      </c>
      <c r="P84" s="29" t="e">
        <f>VLOOKUP(A84,'[1]12-06-26'!$A$2:$T$115,20,0)</f>
        <v>#N/A</v>
      </c>
      <c r="Q84" s="29" t="str">
        <f>VLOOKUP(A84,'[1]19-06-26'!$A$2:$T$113,20,0)</f>
        <v>P Asiatic ( 14 Inch ) 2     Grass</v>
      </c>
      <c r="R84" s="29" t="str">
        <f>VLOOKUP(A84,'[1]26-06-26'!$A$2:$T$121,20,0)</f>
        <v>Y Spray Daisy ( 14 Inch ) 3     FF sachet + Grass</v>
      </c>
      <c r="S84" s="29" t="str">
        <f>VLOOKUP(A84,'[2]03-07-26'!$A$2:$T$124,20,0)</f>
        <v>Sunflower ( 12 Inch ) 3     FF Sachet + Grass</v>
      </c>
      <c r="T84" s="29" t="s">
        <v>526</v>
      </c>
      <c r="U84" s="29">
        <v>2</v>
      </c>
      <c r="V84" s="29"/>
      <c r="W84" s="29"/>
      <c r="X84" s="29"/>
      <c r="Y84" s="29"/>
      <c r="Z84" s="29" t="s">
        <v>535</v>
      </c>
      <c r="AA84" s="29"/>
      <c r="AB84" s="29"/>
      <c r="AC84" s="29"/>
      <c r="AD84" s="29"/>
    </row>
    <row r="85" spans="1:30" ht="113.4" customHeight="1" x14ac:dyDescent="0.3">
      <c r="A85" s="1">
        <v>1970</v>
      </c>
      <c r="B85" s="8" t="s">
        <v>346</v>
      </c>
      <c r="C85" s="12">
        <v>9811325497</v>
      </c>
      <c r="D85" s="10" t="s">
        <v>347</v>
      </c>
      <c r="E85" s="10" t="s">
        <v>14</v>
      </c>
      <c r="F85" s="10" t="s">
        <v>15</v>
      </c>
      <c r="G85" s="11" t="s">
        <v>16</v>
      </c>
      <c r="H85" s="12">
        <v>1450</v>
      </c>
      <c r="I85" s="12">
        <v>362.5</v>
      </c>
      <c r="J85" s="13" t="s">
        <v>30</v>
      </c>
      <c r="K85" s="10" t="s">
        <v>348</v>
      </c>
      <c r="L85" s="12"/>
      <c r="M85" s="12"/>
      <c r="N85" s="14" t="s">
        <v>41</v>
      </c>
      <c r="O85" s="29" t="e">
        <f>VLOOKUP(A85,'[1]05-06-26'!$A$2:$T$136,20,0)</f>
        <v>#N/A</v>
      </c>
      <c r="P85" s="29" t="e">
        <f>VLOOKUP(A85,'[1]12-06-26'!$A$2:$T$115,20,0)</f>
        <v>#N/A</v>
      </c>
      <c r="Q85" s="29" t="e">
        <f>VLOOKUP(A85,'[1]19-06-26'!$A$2:$T$113,20,0)</f>
        <v>#N/A</v>
      </c>
      <c r="R85" s="29" t="e">
        <f>VLOOKUP(A85,'[1]26-06-26'!$A$2:$T$121,20,0)</f>
        <v>#N/A</v>
      </c>
      <c r="S85" s="29" t="str">
        <f>VLOOKUP(A85,'[2]03-07-26'!$A$2:$T$124,20,0)</f>
        <v>Pur n P Car ( 14 Inch ) 16     FF Sachet + Grass</v>
      </c>
      <c r="T85" s="29" t="s">
        <v>526</v>
      </c>
      <c r="U85" s="29">
        <v>3</v>
      </c>
      <c r="V85" s="29"/>
      <c r="W85" s="29"/>
      <c r="X85" s="29"/>
      <c r="Y85" s="29"/>
      <c r="Z85" s="29" t="s">
        <v>535</v>
      </c>
      <c r="AA85" s="29"/>
      <c r="AB85" s="29"/>
      <c r="AC85" s="29"/>
      <c r="AD85" s="29"/>
    </row>
    <row r="86" spans="1:30" ht="113.4" customHeight="1" x14ac:dyDescent="0.3">
      <c r="A86" s="1">
        <v>2126</v>
      </c>
      <c r="B86" s="8" t="s">
        <v>349</v>
      </c>
      <c r="C86" s="12">
        <v>9620110010</v>
      </c>
      <c r="D86" s="10" t="s">
        <v>350</v>
      </c>
      <c r="E86" s="10" t="s">
        <v>21</v>
      </c>
      <c r="F86" s="10" t="s">
        <v>15</v>
      </c>
      <c r="G86" s="11" t="s">
        <v>16</v>
      </c>
      <c r="H86" s="12">
        <v>2750</v>
      </c>
      <c r="I86" s="12">
        <v>687.5</v>
      </c>
      <c r="J86" s="10" t="s">
        <v>127</v>
      </c>
      <c r="K86" s="10" t="s">
        <v>351</v>
      </c>
      <c r="L86" s="12"/>
      <c r="M86" s="10" t="s">
        <v>352</v>
      </c>
      <c r="N86" s="14" t="s">
        <v>41</v>
      </c>
      <c r="O86" s="29" t="e">
        <f>VLOOKUP(A86,'[1]05-06-26'!$A$2:$T$136,20,0)</f>
        <v>#N/A</v>
      </c>
      <c r="P86" s="29" t="str">
        <f>VLOOKUP(A86,'[1]12-06-26'!$A$2:$T$115,20,0)</f>
        <v>O Asiatic 3 Pur n P Car ( 14 Inch ) 16   2 Limonium + FF Sachet</v>
      </c>
      <c r="Q86" s="29" t="str">
        <f>VLOOKUP(A86,'[1]19-06-26'!$A$2:$T$113,20,0)</f>
        <v>P Eustoma ( 12 Inch ) 4 P n W Glad ( 14 Inch ) 16  FF sachet + Grass FF sachet + Grass</v>
      </c>
      <c r="R86" s="29" t="str">
        <f>VLOOKUP(A86,'[1]26-06-26'!$A$2:$T$121,20,0)</f>
        <v>P n Y Spray Daisy ( 14 Inch ) 5 Mix Carnation  ( 12 Inch ) 15   FF Sachet + Grass</v>
      </c>
      <c r="S86" s="29" t="str">
        <f>VLOOKUP(A86,'[2]03-07-26'!$A$2:$T$124,20,0)</f>
        <v>Sunflower ( 12 Inch ) 4 Rajni ( 14 Inch ) 16   FF Sachet + Grass</v>
      </c>
      <c r="T86" s="29" t="s">
        <v>526</v>
      </c>
      <c r="U86" s="29">
        <v>3</v>
      </c>
      <c r="V86" s="29" t="s">
        <v>530</v>
      </c>
      <c r="W86" s="29">
        <v>16</v>
      </c>
      <c r="X86" s="29"/>
      <c r="Y86" s="29"/>
      <c r="Z86" s="29" t="s">
        <v>536</v>
      </c>
      <c r="AA86" s="29"/>
      <c r="AB86" s="29"/>
      <c r="AC86" s="29"/>
      <c r="AD86" s="29"/>
    </row>
    <row r="87" spans="1:30" ht="113.4" customHeight="1" x14ac:dyDescent="0.3">
      <c r="A87" s="1">
        <v>3081</v>
      </c>
      <c r="B87" s="8" t="s">
        <v>353</v>
      </c>
      <c r="C87" s="12" t="s">
        <v>354</v>
      </c>
      <c r="D87" s="10" t="s">
        <v>355</v>
      </c>
      <c r="E87" s="10" t="s">
        <v>77</v>
      </c>
      <c r="F87" s="10" t="s">
        <v>15</v>
      </c>
      <c r="G87" s="17" t="s">
        <v>78</v>
      </c>
      <c r="H87" s="10">
        <v>1450</v>
      </c>
      <c r="I87" s="12">
        <v>362.5</v>
      </c>
      <c r="J87" s="10" t="s">
        <v>30</v>
      </c>
      <c r="K87" s="10" t="s">
        <v>356</v>
      </c>
      <c r="L87" s="12"/>
      <c r="M87" s="12"/>
      <c r="N87" s="14" t="s">
        <v>91</v>
      </c>
      <c r="O87" s="29" t="str">
        <f>VLOOKUP(A87,'[1]05-06-26'!$A$2:$T$136,20,0)</f>
        <v>Pur Eustom ( 14 Inch ) 2 P n W Glad ( 14 Inch ) 7   FF Sachet + Grass</v>
      </c>
      <c r="P87" s="29" t="str">
        <f>VLOOKUP(A87,'[1]12-06-26'!$A$2:$T$115,20,0)</f>
        <v>W Asiatic ( 14 inch ) 2 Pur n P Car ( 14 Inch ) 7   Grass</v>
      </c>
      <c r="Q87" s="29" t="str">
        <f>VLOOKUP(A87,'[1]19-06-26'!$A$2:$T$113,20,0)</f>
        <v xml:space="preserve">P Spray Daisy ( 14 Inch ) 3 Mix Alstroemeria (  12 Inch ) 7  FF Sachet + Grass </v>
      </c>
      <c r="R87" s="29" t="str">
        <f>VLOOKUP(A87,'[1]26-06-26'!$A$2:$T$121,20,0)</f>
        <v>Eustoma  2 P n W Glad ( 14 Inch ) 7   FF sachet + Grass</v>
      </c>
      <c r="S87" s="29" t="str">
        <f>VLOOKUP(A87,'[2]03-07-26'!$A$2:$T$124,20,0)</f>
        <v>Sunflower ( 12 Inch ) 2 Rajni ( 14 Inch ) 7   FF Sachet + Grass</v>
      </c>
      <c r="T87" s="29" t="s">
        <v>526</v>
      </c>
      <c r="U87" s="29">
        <v>2</v>
      </c>
      <c r="V87" s="29" t="s">
        <v>525</v>
      </c>
      <c r="W87" s="29">
        <v>7</v>
      </c>
      <c r="X87" s="29"/>
      <c r="Y87" s="29"/>
      <c r="Z87" s="29" t="s">
        <v>535</v>
      </c>
      <c r="AA87" s="29"/>
      <c r="AB87" s="29"/>
      <c r="AC87" s="29"/>
      <c r="AD87" s="29"/>
    </row>
    <row r="88" spans="1:30" ht="113.4" customHeight="1" x14ac:dyDescent="0.3">
      <c r="A88" s="1">
        <v>3337</v>
      </c>
      <c r="B88" s="8" t="s">
        <v>358</v>
      </c>
      <c r="C88" s="12">
        <v>9205184535</v>
      </c>
      <c r="D88" s="10" t="s">
        <v>359</v>
      </c>
      <c r="E88" s="10" t="s">
        <v>14</v>
      </c>
      <c r="F88" s="10" t="s">
        <v>15</v>
      </c>
      <c r="G88" s="18" t="s">
        <v>53</v>
      </c>
      <c r="H88" s="12">
        <v>1450</v>
      </c>
      <c r="I88" s="12">
        <v>1450</v>
      </c>
      <c r="J88" s="13" t="s">
        <v>30</v>
      </c>
      <c r="K88" s="10" t="s">
        <v>360</v>
      </c>
      <c r="L88" s="12"/>
      <c r="M88" s="12"/>
      <c r="N88" s="14" t="s">
        <v>41</v>
      </c>
      <c r="O88" s="29" t="str">
        <f>VLOOKUP(A88,'[1]05-06-26'!$A$2:$T$136,20,0)</f>
        <v>P n Y Spray Daisy ( 14 Inch ) 5     FF Sachet + Grass</v>
      </c>
      <c r="P88" s="29" t="str">
        <f>VLOOKUP(A88,'[1]12-06-26'!$A$2:$T$115,20,0)</f>
        <v>Mix Alstroemeria ( 12 Inch ) 16     FF Sachet + Grass</v>
      </c>
      <c r="Q88" s="29" t="str">
        <f>VLOOKUP(A88,'[1]19-06-26'!$A$2:$T$113,20,0)</f>
        <v xml:space="preserve">Pur Eustom ( 12 Inch ) 3    FF Sachet + Grass </v>
      </c>
      <c r="R88" s="29" t="str">
        <f>VLOOKUP(A88,'[1]26-06-26'!$A$2:$T$121,20,0)</f>
        <v>O Asiatic ( 14 Inch ) 3     Grass</v>
      </c>
      <c r="S88" s="29" t="str">
        <f>VLOOKUP(A88,'[2]03-07-26'!$A$2:$T$124,20,0)</f>
        <v>P n W Glad ( 14 Inch ) 16     Grass</v>
      </c>
      <c r="T88" s="29" t="s">
        <v>525</v>
      </c>
      <c r="U88" s="29">
        <v>16</v>
      </c>
      <c r="V88" s="29"/>
      <c r="W88" s="29"/>
      <c r="X88" s="29"/>
      <c r="Y88" s="29"/>
      <c r="Z88" s="29" t="s">
        <v>536</v>
      </c>
      <c r="AA88" s="29"/>
      <c r="AB88" s="29"/>
      <c r="AC88" s="29"/>
      <c r="AD88" s="29"/>
    </row>
    <row r="89" spans="1:30" ht="113.4" customHeight="1" x14ac:dyDescent="0.3">
      <c r="A89" s="1">
        <v>1624</v>
      </c>
      <c r="B89" s="19" t="s">
        <v>361</v>
      </c>
      <c r="C89" s="12">
        <v>9811081666</v>
      </c>
      <c r="D89" s="10" t="s">
        <v>362</v>
      </c>
      <c r="E89" s="10" t="s">
        <v>21</v>
      </c>
      <c r="F89" s="10" t="s">
        <v>15</v>
      </c>
      <c r="G89" s="11" t="s">
        <v>16</v>
      </c>
      <c r="H89" s="12">
        <v>1450</v>
      </c>
      <c r="I89" s="12">
        <v>362.5</v>
      </c>
      <c r="J89" s="10" t="s">
        <v>30</v>
      </c>
      <c r="K89" s="10" t="s">
        <v>363</v>
      </c>
      <c r="L89" s="12"/>
      <c r="M89" s="12"/>
      <c r="N89" s="14" t="s">
        <v>91</v>
      </c>
      <c r="O89" s="29" t="str">
        <f>VLOOKUP(A89,'[1]05-06-26'!$A$2:$T$136,20,0)</f>
        <v>P n Y Spray Daisy ( 14 Inch ) 5     FF Sachet + Grass</v>
      </c>
      <c r="P89" s="29" t="e">
        <f>VLOOKUP(A89,'[1]12-06-26'!$A$2:$T$115,20,0)</f>
        <v>#N/A</v>
      </c>
      <c r="Q89" s="29" t="str">
        <f>VLOOKUP(A89,'[1]19-06-26'!$A$2:$T$113,20,0)</f>
        <v xml:space="preserve">P n W Glad ( 14 Inch ) 16    Grass </v>
      </c>
      <c r="R89" s="29" t="str">
        <f>VLOOKUP(A89,'[1]26-06-26'!$A$2:$T$121,20,0)</f>
        <v>Pur n P Car ( 14 Inch ) 16     FF sachet + Grass</v>
      </c>
      <c r="S89" s="29" t="str">
        <f>VLOOKUP(A89,'[2]03-07-26'!$A$2:$T$124,20,0)</f>
        <v>Sunflower ( 12 Inch ) 4     FF Sachet + Grass</v>
      </c>
      <c r="T89" s="29" t="s">
        <v>526</v>
      </c>
      <c r="U89" s="29">
        <v>3</v>
      </c>
      <c r="V89" s="29"/>
      <c r="W89" s="29"/>
      <c r="X89" s="29"/>
      <c r="Y89" s="29"/>
      <c r="Z89" s="29" t="s">
        <v>535</v>
      </c>
      <c r="AA89" s="29"/>
      <c r="AB89" s="29"/>
      <c r="AC89" s="29"/>
      <c r="AD89" s="29"/>
    </row>
    <row r="90" spans="1:30" ht="113.4" customHeight="1" x14ac:dyDescent="0.3">
      <c r="A90" s="1">
        <v>2775</v>
      </c>
      <c r="B90" s="8" t="s">
        <v>364</v>
      </c>
      <c r="C90" s="12">
        <v>9711590494</v>
      </c>
      <c r="D90" s="10" t="s">
        <v>365</v>
      </c>
      <c r="E90" s="10" t="s">
        <v>21</v>
      </c>
      <c r="F90" s="10" t="s">
        <v>15</v>
      </c>
      <c r="G90" s="17" t="s">
        <v>45</v>
      </c>
      <c r="H90" s="12">
        <v>1950</v>
      </c>
      <c r="I90" s="12">
        <v>487.5</v>
      </c>
      <c r="J90" s="10" t="s">
        <v>30</v>
      </c>
      <c r="K90" s="10" t="s">
        <v>366</v>
      </c>
      <c r="L90" s="12"/>
      <c r="M90" s="12" t="s">
        <v>367</v>
      </c>
      <c r="N90" s="14" t="s">
        <v>41</v>
      </c>
      <c r="O90" s="29" t="str">
        <f>VLOOKUP(A90,'[1]05-06-26'!$A$2:$T$136,20,0)</f>
        <v>Pur Eustom ( 14 Inch ) 2 P n W Glad ( 14 Inch ) 11   FF Sachet + Grass</v>
      </c>
      <c r="P90" s="29" t="str">
        <f>VLOOKUP(A90,'[1]12-06-26'!$A$2:$T$115,20,0)</f>
        <v>Sunflower ( 12 Inch ) 3 Mix Alstroemeria ( 12 Inch ) 11   FF Sachet + Grass</v>
      </c>
      <c r="Q90" s="29" t="str">
        <f>VLOOKUP(A90,'[1]19-06-26'!$A$2:$T$113,20,0)</f>
        <v>P Asiatic ( 14 Inch ) 4     Grass</v>
      </c>
      <c r="R90" s="29" t="str">
        <f>VLOOKUP(A90,'[1]26-06-26'!$A$2:$T$121,20,0)</f>
        <v>Y Spray Daisy ( 14 Inch ) 4 Glad ( 14 Inch ) 11   FF Sachet + Grass</v>
      </c>
      <c r="S90" s="29" t="str">
        <f>VLOOKUP(A90,'[2]03-07-26'!$A$2:$T$124,20,0)</f>
        <v>Eustoma 2 Pur n P Car ( 14 Inch ) 11   FF Sachet + Grass</v>
      </c>
      <c r="T90" s="29" t="s">
        <v>526</v>
      </c>
      <c r="U90" s="29">
        <v>2</v>
      </c>
      <c r="V90" s="29" t="s">
        <v>530</v>
      </c>
      <c r="W90" s="29">
        <v>11</v>
      </c>
      <c r="X90" s="29"/>
      <c r="Y90" s="29"/>
      <c r="Z90" s="29" t="s">
        <v>535</v>
      </c>
      <c r="AA90" s="29"/>
      <c r="AB90" s="29"/>
      <c r="AC90" s="29"/>
      <c r="AD90" s="29"/>
    </row>
    <row r="91" spans="1:30" ht="113.4" customHeight="1" x14ac:dyDescent="0.3">
      <c r="A91" s="1">
        <v>2389</v>
      </c>
      <c r="B91" s="21" t="s">
        <v>368</v>
      </c>
      <c r="C91" s="1">
        <v>9711760109</v>
      </c>
      <c r="D91" s="1" t="s">
        <v>369</v>
      </c>
      <c r="E91" s="10" t="s">
        <v>21</v>
      </c>
      <c r="F91" s="10" t="s">
        <v>15</v>
      </c>
      <c r="G91" s="11" t="s">
        <v>16</v>
      </c>
      <c r="H91" s="12">
        <v>1950</v>
      </c>
      <c r="I91" s="12">
        <v>487.5</v>
      </c>
      <c r="J91" s="10" t="s">
        <v>22</v>
      </c>
      <c r="K91" s="10" t="s">
        <v>370</v>
      </c>
      <c r="L91" s="10" t="s">
        <v>371</v>
      </c>
      <c r="M91" s="10" t="s">
        <v>372</v>
      </c>
      <c r="N91" s="14" t="s">
        <v>41</v>
      </c>
      <c r="O91" s="29" t="str">
        <f>VLOOKUP(A91,'[1]05-06-26'!$A$2:$T$136,20,0)</f>
        <v>Pur n P Eustoma ( 14 Inch ) 4     FF Sachet + Grass</v>
      </c>
      <c r="P91" s="29" t="str">
        <f>VLOOKUP(A91,'[1]12-06-26'!$A$2:$T$115,20,0)</f>
        <v>P n Y Spray Daisy ( 14 Inch ) 7     FF Sachet + Grass</v>
      </c>
      <c r="Q91" s="29" t="str">
        <f>VLOOKUP(A91,'[1]19-06-26'!$A$2:$T$113,20,0)</f>
        <v>P n W Glad ( 14 Inch ) 22     Grass</v>
      </c>
      <c r="R91" s="29" t="str">
        <f>VLOOKUP(A91,'[1]26-06-26'!$A$2:$T$121,20,0)</f>
        <v>O Asiatic ( 14 Inch ) 4     Grass</v>
      </c>
      <c r="S91" s="29" t="str">
        <f>VLOOKUP(A91,'[2]03-07-26'!$A$2:$T$124,20,0)</f>
        <v>Pur n P Car ( 14 Inch ) 22     FF Sachet + Grass</v>
      </c>
      <c r="T91" s="29" t="s">
        <v>530</v>
      </c>
      <c r="U91" s="29">
        <v>22</v>
      </c>
      <c r="V91" s="29"/>
      <c r="W91" s="29"/>
      <c r="X91" s="29"/>
      <c r="Y91" s="29"/>
      <c r="Z91" s="29" t="s">
        <v>536</v>
      </c>
      <c r="AA91" s="29"/>
      <c r="AB91" s="29"/>
      <c r="AC91" s="29"/>
      <c r="AD91" s="29"/>
    </row>
    <row r="92" spans="1:30" ht="113.4" customHeight="1" x14ac:dyDescent="0.3">
      <c r="A92" s="1">
        <v>359</v>
      </c>
      <c r="B92" s="8" t="s">
        <v>373</v>
      </c>
      <c r="C92" s="1">
        <v>9810266546</v>
      </c>
      <c r="D92" s="13" t="s">
        <v>374</v>
      </c>
      <c r="E92" s="10" t="s">
        <v>14</v>
      </c>
      <c r="F92" s="13" t="s">
        <v>15</v>
      </c>
      <c r="G92" s="11" t="s">
        <v>16</v>
      </c>
      <c r="H92" s="12">
        <v>1950</v>
      </c>
      <c r="I92" s="12">
        <v>487.5</v>
      </c>
      <c r="J92" s="10" t="s">
        <v>22</v>
      </c>
      <c r="K92" s="13" t="s">
        <v>375</v>
      </c>
      <c r="L92" s="12"/>
      <c r="M92" s="12"/>
      <c r="N92" s="14" t="s">
        <v>200</v>
      </c>
      <c r="O92" s="29" t="str">
        <f>VLOOKUP(A92,'[1]05-06-26'!$A$2:$T$136,20,0)</f>
        <v>O Asiatic ( 14 Inch ) 4     Grass</v>
      </c>
      <c r="P92" s="29" t="str">
        <f>VLOOKUP(A92,'[1]12-06-26'!$A$2:$T$115,20,0)</f>
        <v>Sunflower ( 12 Inch ) 5     FF Sachet + Grass</v>
      </c>
      <c r="Q92" s="29" t="str">
        <f>VLOOKUP(A92,'[1]19-06-26'!$A$2:$T$113,20,0)</f>
        <v>R n P Car ( 14 Inch ) 22     FF sachet + Grass</v>
      </c>
      <c r="R92" s="29" t="str">
        <f>VLOOKUP(A92,'[1]26-06-26'!$A$2:$T$121,20,0)</f>
        <v>Mix Alstroemeria 20     FF Sachet + Grass</v>
      </c>
      <c r="S92" s="29" t="str">
        <f>VLOOKUP(A92,'[2]03-07-26'!$A$2:$T$124,20,0)</f>
        <v>Baloon Flowers  5     Grass</v>
      </c>
      <c r="T92" s="29" t="s">
        <v>543</v>
      </c>
      <c r="U92" s="29">
        <v>4</v>
      </c>
      <c r="V92" s="29"/>
      <c r="W92" s="29"/>
      <c r="X92" s="29"/>
      <c r="Y92" s="29"/>
      <c r="Z92" s="29" t="s">
        <v>535</v>
      </c>
      <c r="AA92" s="29"/>
      <c r="AB92" s="29"/>
      <c r="AC92" s="29"/>
      <c r="AD92" s="29"/>
    </row>
    <row r="93" spans="1:30" ht="113.4" customHeight="1" x14ac:dyDescent="0.3">
      <c r="A93" s="1">
        <v>3397</v>
      </c>
      <c r="B93" s="8" t="s">
        <v>376</v>
      </c>
      <c r="C93" s="12">
        <v>9810520716</v>
      </c>
      <c r="D93" s="10" t="s">
        <v>377</v>
      </c>
      <c r="E93" s="10" t="s">
        <v>44</v>
      </c>
      <c r="F93" s="10" t="s">
        <v>15</v>
      </c>
      <c r="G93" s="17" t="s">
        <v>45</v>
      </c>
      <c r="H93" s="12">
        <v>1450</v>
      </c>
      <c r="I93" s="12">
        <v>362.5</v>
      </c>
      <c r="J93" s="13" t="s">
        <v>30</v>
      </c>
      <c r="K93" s="10" t="s">
        <v>378</v>
      </c>
      <c r="L93" s="12"/>
      <c r="M93" s="12"/>
      <c r="N93" s="14" t="s">
        <v>41</v>
      </c>
      <c r="O93" s="29" t="e">
        <f>VLOOKUP(A93,'[1]05-06-26'!$A$2:$T$136,20,0)</f>
        <v>#N/A</v>
      </c>
      <c r="P93" s="29" t="e">
        <f>VLOOKUP(A93,'[1]12-06-26'!$A$2:$T$115,20,0)</f>
        <v>#N/A</v>
      </c>
      <c r="Q93" s="29" t="e">
        <f>VLOOKUP(A93,'[1]19-06-26'!$A$2:$T$113,20,0)</f>
        <v>#N/A</v>
      </c>
      <c r="R93" s="29" t="e">
        <f>VLOOKUP(A93,'[1]26-06-26'!$A$2:$T$121,20,0)</f>
        <v>#N/A</v>
      </c>
      <c r="S93" s="29" t="str">
        <f>VLOOKUP(A93,'[2]03-07-26'!$A$2:$T$124,20,0)</f>
        <v>Pur n P Car ( 14 Inch ) 16     FF Sachet + Grass</v>
      </c>
      <c r="T93" s="29" t="s">
        <v>522</v>
      </c>
      <c r="U93" s="29">
        <v>4</v>
      </c>
      <c r="V93" s="29"/>
      <c r="W93" s="29"/>
      <c r="X93" s="29"/>
      <c r="Y93" s="29"/>
      <c r="Z93" s="29" t="s">
        <v>536</v>
      </c>
      <c r="AA93" s="29"/>
      <c r="AB93" s="29"/>
      <c r="AC93" s="29"/>
      <c r="AD93" s="29"/>
    </row>
    <row r="94" spans="1:30" ht="113.4" customHeight="1" x14ac:dyDescent="0.3">
      <c r="A94" s="1">
        <v>2323</v>
      </c>
      <c r="B94" s="8" t="s">
        <v>379</v>
      </c>
      <c r="C94" s="12">
        <v>9632045533</v>
      </c>
      <c r="D94" s="10" t="s">
        <v>380</v>
      </c>
      <c r="E94" s="10" t="s">
        <v>21</v>
      </c>
      <c r="F94" s="10" t="s">
        <v>15</v>
      </c>
      <c r="G94" s="11" t="s">
        <v>16</v>
      </c>
      <c r="H94" s="10">
        <v>3950</v>
      </c>
      <c r="I94" s="12">
        <v>493.75</v>
      </c>
      <c r="J94" s="10" t="s">
        <v>265</v>
      </c>
      <c r="K94" s="10" t="s">
        <v>381</v>
      </c>
      <c r="L94" s="12"/>
      <c r="M94" s="12"/>
      <c r="N94" s="14" t="s">
        <v>41</v>
      </c>
      <c r="O94" s="29" t="e">
        <f>VLOOKUP(A94,'[1]05-06-26'!$A$2:$T$136,20,0)</f>
        <v>#N/A</v>
      </c>
      <c r="P94" s="29" t="e">
        <f>VLOOKUP(A94,'[1]12-06-26'!$A$2:$T$115,20,0)</f>
        <v>#N/A</v>
      </c>
      <c r="Q94" s="29" t="e">
        <f>VLOOKUP(A94,'[1]19-06-26'!$A$2:$T$113,20,0)</f>
        <v>#N/A</v>
      </c>
      <c r="R94" s="29" t="e">
        <f>VLOOKUP(A94,'[1]26-06-26'!$A$2:$T$121,20,0)</f>
        <v>#N/A</v>
      </c>
      <c r="S94" s="29" t="e">
        <f>VLOOKUP(A94,'[2]03-07-26'!$A$2:$T$124,20,0)</f>
        <v>#N/A</v>
      </c>
      <c r="T94" s="29" t="s">
        <v>530</v>
      </c>
      <c r="U94" s="29">
        <v>20</v>
      </c>
      <c r="V94" s="29"/>
      <c r="W94" s="29"/>
      <c r="X94" s="29"/>
      <c r="Y94" s="29"/>
      <c r="Z94" s="29" t="s">
        <v>536</v>
      </c>
      <c r="AA94" s="29"/>
      <c r="AB94" s="29"/>
      <c r="AC94" s="29"/>
      <c r="AD94" s="29"/>
    </row>
    <row r="95" spans="1:30" ht="113.4" customHeight="1" x14ac:dyDescent="0.3">
      <c r="A95" s="1">
        <v>3398</v>
      </c>
      <c r="B95" s="8" t="s">
        <v>383</v>
      </c>
      <c r="C95" s="12">
        <v>9811799912</v>
      </c>
      <c r="D95" s="10" t="s">
        <v>384</v>
      </c>
      <c r="E95" s="10" t="s">
        <v>21</v>
      </c>
      <c r="F95" s="10" t="s">
        <v>15</v>
      </c>
      <c r="G95" s="11" t="s">
        <v>16</v>
      </c>
      <c r="H95" s="12">
        <v>1450</v>
      </c>
      <c r="I95" s="12">
        <v>362.5</v>
      </c>
      <c r="J95" s="10" t="s">
        <v>30</v>
      </c>
      <c r="K95" s="10" t="s">
        <v>385</v>
      </c>
      <c r="L95" s="10" t="s">
        <v>386</v>
      </c>
      <c r="M95" s="12"/>
      <c r="N95" s="14" t="s">
        <v>382</v>
      </c>
      <c r="O95" s="29" t="e">
        <f>VLOOKUP(A95,'[1]05-06-26'!$A$2:$T$136,20,0)</f>
        <v>#N/A</v>
      </c>
      <c r="P95" s="29" t="e">
        <f>VLOOKUP(A95,'[1]12-06-26'!$A$2:$T$115,20,0)</f>
        <v>#N/A</v>
      </c>
      <c r="Q95" s="29" t="e">
        <f>VLOOKUP(A95,'[1]19-06-26'!$A$2:$T$113,20,0)</f>
        <v>#N/A</v>
      </c>
      <c r="R95" s="29" t="e">
        <f>VLOOKUP(A95,'[1]26-06-26'!$A$2:$T$121,20,0)</f>
        <v>#N/A</v>
      </c>
      <c r="S95" s="29" t="e">
        <f>VLOOKUP(A95,'[2]03-07-26'!$A$2:$T$124,20,0)</f>
        <v>#N/A</v>
      </c>
      <c r="T95" s="29" t="s">
        <v>525</v>
      </c>
      <c r="U95" s="29">
        <v>16</v>
      </c>
      <c r="V95" s="29"/>
      <c r="W95" s="29"/>
      <c r="X95" s="29"/>
      <c r="Y95" s="29"/>
      <c r="Z95" s="29" t="s">
        <v>536</v>
      </c>
      <c r="AA95" s="29"/>
      <c r="AB95" s="29"/>
      <c r="AC95" s="29"/>
      <c r="AD95" s="29"/>
    </row>
    <row r="96" spans="1:30" ht="113.4" customHeight="1" x14ac:dyDescent="0.3">
      <c r="A96" s="1">
        <v>3369</v>
      </c>
      <c r="B96" s="8" t="s">
        <v>387</v>
      </c>
      <c r="C96" s="12">
        <v>9987323757</v>
      </c>
      <c r="D96" s="10" t="s">
        <v>388</v>
      </c>
      <c r="E96" s="10" t="s">
        <v>21</v>
      </c>
      <c r="F96" s="10" t="s">
        <v>15</v>
      </c>
      <c r="G96" s="11" t="s">
        <v>16</v>
      </c>
      <c r="H96" s="12">
        <v>1450</v>
      </c>
      <c r="I96" s="12">
        <v>362.5</v>
      </c>
      <c r="J96" s="10" t="s">
        <v>30</v>
      </c>
      <c r="K96" s="12"/>
      <c r="L96" s="12"/>
      <c r="M96" s="12"/>
      <c r="N96" s="14" t="s">
        <v>33</v>
      </c>
      <c r="O96" s="29" t="str">
        <f>VLOOKUP(A96,'[1]05-06-26'!$A$2:$T$136,20,0)</f>
        <v>P n W Glad ( 14 Inch ) 16     Grass</v>
      </c>
      <c r="P96" s="29" t="str">
        <f>VLOOKUP(A96,'[1]12-06-26'!$A$2:$T$115,20,0)</f>
        <v>P n Y Spray Daisy ( 14 Inch ) 5     FF Sachet + Grass</v>
      </c>
      <c r="Q96" s="29" t="e">
        <f>VLOOKUP(A96,'[1]19-06-26'!$A$2:$T$113,20,0)</f>
        <v>#N/A</v>
      </c>
      <c r="R96" s="29" t="e">
        <f>VLOOKUP(A96,'[1]26-06-26'!$A$2:$T$121,20,0)</f>
        <v>#N/A</v>
      </c>
      <c r="S96" s="29" t="e">
        <f>VLOOKUP(A96,'[2]03-07-26'!$A$2:$T$124,20,0)</f>
        <v>#N/A</v>
      </c>
      <c r="T96" s="29" t="s">
        <v>525</v>
      </c>
      <c r="U96" s="29">
        <v>16</v>
      </c>
      <c r="V96" s="29"/>
      <c r="W96" s="29"/>
      <c r="X96" s="29"/>
      <c r="Y96" s="29"/>
      <c r="Z96" s="29" t="s">
        <v>536</v>
      </c>
      <c r="AA96" s="29"/>
      <c r="AB96" s="29"/>
      <c r="AC96" s="29"/>
      <c r="AD96" s="29"/>
    </row>
    <row r="97" spans="1:30" ht="113.4" customHeight="1" x14ac:dyDescent="0.3">
      <c r="A97" s="1">
        <v>2927</v>
      </c>
      <c r="B97" s="8" t="s">
        <v>389</v>
      </c>
      <c r="C97" s="9">
        <v>8085480356</v>
      </c>
      <c r="D97" s="10" t="s">
        <v>390</v>
      </c>
      <c r="E97" s="10" t="s">
        <v>21</v>
      </c>
      <c r="F97" s="10" t="s">
        <v>15</v>
      </c>
      <c r="G97" s="10" t="s">
        <v>36</v>
      </c>
      <c r="H97" s="11">
        <v>1450</v>
      </c>
      <c r="I97" s="12">
        <v>362.5</v>
      </c>
      <c r="J97" s="13" t="s">
        <v>30</v>
      </c>
      <c r="K97" s="10" t="s">
        <v>391</v>
      </c>
      <c r="L97" s="12"/>
      <c r="M97" s="12"/>
      <c r="N97" s="14" t="s">
        <v>25</v>
      </c>
      <c r="O97" s="29" t="str">
        <f>VLOOKUP(A97,'[1]05-06-26'!$A$2:$T$136,20,0)</f>
        <v>P n W Car ( 14 Inch ) 9     FF Sachet + Grass</v>
      </c>
      <c r="P97" s="29" t="str">
        <f>VLOOKUP(A97,'[1]12-06-26'!$A$2:$T$115,20,0)</f>
        <v>Y Asiatic ( 14 Inch ) 2     Grass</v>
      </c>
      <c r="Q97" s="29" t="str">
        <f>VLOOKUP(A97,'[1]19-06-26'!$A$2:$T$113,20,0)</f>
        <v xml:space="preserve">P n W Glad ( 14 Inch ) 16  ensure collection  Pese Na  Mile To Call Karna  Grass </v>
      </c>
      <c r="R97" s="29" t="str">
        <f>VLOOKUP(A97,'[1]26-06-26'!$A$2:$T$121,20,0)</f>
        <v>Sunflower ( 12 Inch ) 4     FF sachet + Grass</v>
      </c>
      <c r="S97" s="29" t="str">
        <f>VLOOKUP(A97,'[2]03-07-26'!$A$2:$T$124,20,0)</f>
        <v>Pur n P Car ( 14 Inch ) 16     FF Sachet + Grass</v>
      </c>
      <c r="T97" s="29" t="s">
        <v>545</v>
      </c>
      <c r="U97" s="29">
        <v>5</v>
      </c>
      <c r="V97" s="29"/>
      <c r="W97" s="29"/>
      <c r="X97" s="29"/>
      <c r="Y97" s="29"/>
      <c r="Z97" s="29" t="s">
        <v>536</v>
      </c>
      <c r="AA97" s="29"/>
      <c r="AB97" s="29"/>
      <c r="AC97" s="29"/>
      <c r="AD97" s="29"/>
    </row>
    <row r="98" spans="1:30" ht="113.4" customHeight="1" x14ac:dyDescent="0.3">
      <c r="A98" s="1">
        <v>3400</v>
      </c>
      <c r="B98" s="8" t="s">
        <v>392</v>
      </c>
      <c r="C98" s="12">
        <v>8527634071</v>
      </c>
      <c r="D98" s="10" t="s">
        <v>393</v>
      </c>
      <c r="E98" s="10" t="s">
        <v>394</v>
      </c>
      <c r="F98" s="10" t="s">
        <v>149</v>
      </c>
      <c r="G98" s="10" t="s">
        <v>29</v>
      </c>
      <c r="H98" s="12">
        <v>1950</v>
      </c>
      <c r="I98" s="12">
        <v>487.5</v>
      </c>
      <c r="J98" s="10" t="s">
        <v>22</v>
      </c>
      <c r="K98" s="12"/>
      <c r="L98" s="12"/>
      <c r="M98" s="12"/>
      <c r="N98" s="14" t="s">
        <v>382</v>
      </c>
      <c r="O98" s="29" t="e">
        <f>VLOOKUP(A98,'[1]05-06-26'!$A$2:$T$136,20,0)</f>
        <v>#N/A</v>
      </c>
      <c r="P98" s="29" t="e">
        <f>VLOOKUP(A98,'[1]12-06-26'!$A$2:$T$115,20,0)</f>
        <v>#N/A</v>
      </c>
      <c r="Q98" s="29" t="e">
        <f>VLOOKUP(A98,'[1]19-06-26'!$A$2:$T$113,20,0)</f>
        <v>#N/A</v>
      </c>
      <c r="R98" s="29" t="e">
        <f>VLOOKUP(A98,'[1]26-06-26'!$A$2:$T$121,20,0)</f>
        <v>#N/A</v>
      </c>
      <c r="S98" s="29" t="e">
        <f>VLOOKUP(A98,'[2]03-07-26'!$A$2:$T$124,20,0)</f>
        <v>#N/A</v>
      </c>
      <c r="T98" s="29" t="s">
        <v>525</v>
      </c>
      <c r="U98" s="29">
        <v>22</v>
      </c>
      <c r="V98" s="29"/>
      <c r="W98" s="29"/>
      <c r="X98" s="29"/>
      <c r="Y98" s="29"/>
      <c r="Z98" s="29" t="s">
        <v>536</v>
      </c>
      <c r="AA98" s="29"/>
      <c r="AB98" s="29"/>
      <c r="AC98" s="29"/>
      <c r="AD98" s="29"/>
    </row>
    <row r="99" spans="1:30" ht="113.4" customHeight="1" x14ac:dyDescent="0.3">
      <c r="A99" s="1">
        <v>2224</v>
      </c>
      <c r="B99" s="8" t="s">
        <v>395</v>
      </c>
      <c r="C99" s="12">
        <v>9811137290</v>
      </c>
      <c r="D99" s="10" t="s">
        <v>396</v>
      </c>
      <c r="E99" s="10" t="s">
        <v>14</v>
      </c>
      <c r="F99" s="10" t="s">
        <v>15</v>
      </c>
      <c r="G99" s="11" t="s">
        <v>16</v>
      </c>
      <c r="H99" s="12">
        <v>3750</v>
      </c>
      <c r="I99" s="12">
        <v>937.5</v>
      </c>
      <c r="J99" s="10" t="s">
        <v>162</v>
      </c>
      <c r="K99" s="10" t="s">
        <v>397</v>
      </c>
      <c r="L99" s="12"/>
      <c r="M99" s="12"/>
      <c r="N99" s="14" t="s">
        <v>382</v>
      </c>
      <c r="O99" s="29" t="str">
        <f>VLOOKUP(A99,'[1]05-06-26'!$A$2:$T$136,20,0)</f>
        <v>Sunflower ( 12 Inch ) 5 Mix Alstroemeria ( 12 Inch ) 20   2 Limonium + FF Sachet</v>
      </c>
      <c r="P99" s="29" t="str">
        <f>VLOOKUP(A99,'[1]12-06-26'!$A$2:$T$115,20,0)</f>
        <v>P n Y Spray Daisy ( 14 Inch ) 5 P n W Glad ( 14 Inch ) 21   2 Gypsola + FF Sachet</v>
      </c>
      <c r="Q99" s="29" t="e">
        <f>VLOOKUP(A99,'[1]19-06-26'!$A$2:$T$113,20,0)</f>
        <v>#N/A</v>
      </c>
      <c r="R99" s="29" t="str">
        <f>VLOOKUP(A99,'[1]26-06-26'!$A$2:$T$121,20,0)</f>
        <v xml:space="preserve">P Asiatic 4 Pur Eustoma ( 12 Inch ) 21   2 Limonium </v>
      </c>
      <c r="S99" s="29" t="str">
        <f>VLOOKUP(A99,'[2]03-07-26'!$A$2:$T$124,20,0)</f>
        <v>Baloon Flowers  5 Pur n P Car ( 14 Inch ) 20   2 Limonium + FF Sachet</v>
      </c>
      <c r="T99" s="29" t="s">
        <v>522</v>
      </c>
      <c r="U99" s="29">
        <v>5</v>
      </c>
      <c r="V99" s="29" t="s">
        <v>530</v>
      </c>
      <c r="W99" s="29">
        <v>20</v>
      </c>
      <c r="X99" s="29"/>
      <c r="Y99" s="29"/>
      <c r="Z99" s="29" t="s">
        <v>548</v>
      </c>
      <c r="AA99" s="29"/>
      <c r="AB99" s="29"/>
      <c r="AC99" s="29"/>
      <c r="AD99" s="29"/>
    </row>
    <row r="100" spans="1:30" ht="113.4" customHeight="1" x14ac:dyDescent="0.3">
      <c r="A100" s="1">
        <v>1477</v>
      </c>
      <c r="B100" s="16" t="s">
        <v>398</v>
      </c>
      <c r="C100" s="12">
        <v>9810745341</v>
      </c>
      <c r="D100" s="10" t="s">
        <v>399</v>
      </c>
      <c r="E100" s="10" t="s">
        <v>21</v>
      </c>
      <c r="F100" s="10" t="s">
        <v>15</v>
      </c>
      <c r="G100" s="11" t="s">
        <v>29</v>
      </c>
      <c r="H100" s="12">
        <v>1600</v>
      </c>
      <c r="I100" s="12">
        <v>200</v>
      </c>
      <c r="J100" s="10" t="s">
        <v>37</v>
      </c>
      <c r="K100" s="10" t="s">
        <v>400</v>
      </c>
      <c r="L100" s="12"/>
      <c r="M100" s="12"/>
      <c r="N100" s="14" t="s">
        <v>519</v>
      </c>
      <c r="O100" s="29" t="str">
        <f>VLOOKUP(A100,'[1]05-06-26'!$A$2:$T$136,20,0)</f>
        <v>Mix Alstroemeria ( 12 Inch ) 7     FF Sachet + Grass</v>
      </c>
      <c r="P100" s="29" t="str">
        <f>VLOOKUP(A100,'[1]12-06-26'!$A$2:$T$115,20,0)</f>
        <v>Pur n P Car ( 14 Inch ) 7     FF Sachet + Grass</v>
      </c>
      <c r="Q100" s="29" t="str">
        <f>VLOOKUP(A100,'[1]19-06-26'!$A$2:$T$113,20,0)</f>
        <v>P Spray Daisy ( 14 Inch ) 2     FF Sachet + Grass</v>
      </c>
      <c r="R100" s="29" t="str">
        <f>VLOOKUP(A100,'[1]26-06-26'!$A$2:$T$121,20,0)</f>
        <v>Rajni ( 14 Inch ) 7     Grass</v>
      </c>
      <c r="S100" s="29" t="str">
        <f>VLOOKUP(A100,'[2]03-07-26'!$A$2:$T$124,20,0)</f>
        <v>P n W Car ( 14 Inch ) 7     FF Sachet + Grass</v>
      </c>
      <c r="T100" s="29" t="s">
        <v>524</v>
      </c>
      <c r="U100" s="29">
        <v>7</v>
      </c>
      <c r="V100" s="29"/>
      <c r="W100" s="29"/>
      <c r="X100" s="29"/>
      <c r="Y100" s="29"/>
      <c r="Z100" s="29" t="s">
        <v>535</v>
      </c>
      <c r="AA100" s="29"/>
      <c r="AB100" s="29"/>
      <c r="AC100" s="29"/>
      <c r="AD100" s="29"/>
    </row>
    <row r="101" spans="1:30" ht="113.4" customHeight="1" x14ac:dyDescent="0.3">
      <c r="A101" s="1">
        <v>3309</v>
      </c>
      <c r="B101" s="8" t="s">
        <v>401</v>
      </c>
      <c r="C101" s="12">
        <v>9986608474</v>
      </c>
      <c r="D101" s="10" t="s">
        <v>402</v>
      </c>
      <c r="E101" s="10" t="s">
        <v>21</v>
      </c>
      <c r="F101" s="10" t="s">
        <v>15</v>
      </c>
      <c r="G101" s="11" t="s">
        <v>16</v>
      </c>
      <c r="H101" s="12">
        <v>2550</v>
      </c>
      <c r="I101" s="12">
        <v>318.75</v>
      </c>
      <c r="J101" s="10" t="s">
        <v>403</v>
      </c>
      <c r="K101" s="10" t="s">
        <v>404</v>
      </c>
      <c r="L101" s="12"/>
      <c r="M101" s="12"/>
      <c r="N101" s="14" t="s">
        <v>41</v>
      </c>
      <c r="O101" s="29" t="str">
        <f>VLOOKUP(A101,'[1]05-06-26'!$A$2:$T$136,20,0)</f>
        <v>G Orchid 4     Grass</v>
      </c>
      <c r="P101" s="29" t="str">
        <f>VLOOKUP(A101,'[1]12-06-26'!$A$2:$T$115,20,0)</f>
        <v>Rajni ( 14 Inch ) 11     Grass</v>
      </c>
      <c r="Q101" s="29" t="str">
        <f>VLOOKUP(A101,'[1]19-06-26'!$A$2:$T$113,20,0)</f>
        <v>Pur Eustom ( 12 Inch ) 3     FF Sachet + Grass</v>
      </c>
      <c r="R101" s="29" t="str">
        <f>VLOOKUP(A101,'[1]26-06-26'!$A$2:$T$121,20,0)</f>
        <v>Pur Eustoma ( 12 Inch ) 3     FF sachet + Grass</v>
      </c>
      <c r="S101" s="29" t="str">
        <f>VLOOKUP(A101,'[2]03-07-26'!$A$2:$T$124,20,0)</f>
        <v>Rajni ( 14 Inch ) 11     Grass</v>
      </c>
      <c r="T101" s="29" t="s">
        <v>531</v>
      </c>
      <c r="U101" s="29">
        <v>11</v>
      </c>
      <c r="V101" s="29"/>
      <c r="W101" s="29"/>
      <c r="X101" s="29"/>
      <c r="Y101" s="29"/>
      <c r="Z101" s="29" t="s">
        <v>536</v>
      </c>
      <c r="AA101" s="29"/>
      <c r="AB101" s="29"/>
      <c r="AC101" s="29"/>
      <c r="AD101" s="29"/>
    </row>
    <row r="102" spans="1:30" ht="113.4" customHeight="1" x14ac:dyDescent="0.3">
      <c r="A102" s="1">
        <v>1411</v>
      </c>
      <c r="B102" s="8" t="s">
        <v>405</v>
      </c>
      <c r="C102" s="12">
        <v>9810002228</v>
      </c>
      <c r="D102" s="10" t="s">
        <v>406</v>
      </c>
      <c r="E102" s="10" t="s">
        <v>28</v>
      </c>
      <c r="F102" s="10" t="s">
        <v>15</v>
      </c>
      <c r="G102" s="11" t="s">
        <v>16</v>
      </c>
      <c r="H102" s="12">
        <v>3000</v>
      </c>
      <c r="I102" s="12">
        <v>375</v>
      </c>
      <c r="J102" s="13" t="s">
        <v>170</v>
      </c>
      <c r="K102" s="10" t="s">
        <v>407</v>
      </c>
      <c r="L102" s="12"/>
      <c r="M102" s="12"/>
      <c r="N102" s="14" t="s">
        <v>520</v>
      </c>
      <c r="O102" s="29" t="e">
        <f>VLOOKUP(A102,'[1]05-06-26'!$A$2:$T$136,20,0)</f>
        <v>#N/A</v>
      </c>
      <c r="P102" s="29" t="e">
        <f>VLOOKUP(A102,'[1]12-06-26'!$A$2:$T$115,20,0)</f>
        <v>#N/A</v>
      </c>
      <c r="Q102" s="29" t="e">
        <f>VLOOKUP(A102,'[1]19-06-26'!$A$2:$T$113,20,0)</f>
        <v>#N/A</v>
      </c>
      <c r="R102" s="29" t="e">
        <f>VLOOKUP(A102,'[1]26-06-26'!$A$2:$T$121,20,0)</f>
        <v>#N/A</v>
      </c>
      <c r="S102" s="29" t="str">
        <f>VLOOKUP(A102,'[2]03-07-26'!$A$2:$T$124,20,0)</f>
        <v>Pur n P Car ( 14 Inch ) 15     FF Sachet + Grass</v>
      </c>
      <c r="T102" s="29" t="s">
        <v>523</v>
      </c>
      <c r="U102" s="29">
        <v>15</v>
      </c>
      <c r="V102" s="29"/>
      <c r="W102" s="29"/>
      <c r="X102" s="29"/>
      <c r="Y102" s="29"/>
      <c r="Z102" s="29" t="s">
        <v>535</v>
      </c>
      <c r="AA102" s="29"/>
      <c r="AB102" s="29"/>
      <c r="AC102" s="29"/>
      <c r="AD102" s="29"/>
    </row>
    <row r="103" spans="1:30" ht="113.4" customHeight="1" x14ac:dyDescent="0.3">
      <c r="A103" s="1">
        <v>3404</v>
      </c>
      <c r="B103" s="8" t="s">
        <v>408</v>
      </c>
      <c r="C103" s="12">
        <v>8708387392</v>
      </c>
      <c r="D103" s="10" t="s">
        <v>409</v>
      </c>
      <c r="E103" s="10" t="s">
        <v>44</v>
      </c>
      <c r="F103" s="10" t="s">
        <v>15</v>
      </c>
      <c r="G103" s="18" t="s">
        <v>53</v>
      </c>
      <c r="H103" s="12">
        <v>1450</v>
      </c>
      <c r="I103" s="12">
        <v>362.5</v>
      </c>
      <c r="J103" s="10" t="s">
        <v>30</v>
      </c>
      <c r="K103" s="10" t="s">
        <v>410</v>
      </c>
      <c r="L103" s="12"/>
      <c r="M103" s="12"/>
      <c r="N103" s="14" t="s">
        <v>41</v>
      </c>
      <c r="O103" s="29" t="e">
        <f>VLOOKUP(A103,'[1]05-06-26'!$A$2:$T$136,20,0)</f>
        <v>#N/A</v>
      </c>
      <c r="P103" s="29" t="e">
        <f>VLOOKUP(A103,'[1]12-06-26'!$A$2:$T$115,20,0)</f>
        <v>#N/A</v>
      </c>
      <c r="Q103" s="29" t="e">
        <f>VLOOKUP(A103,'[1]19-06-26'!$A$2:$T$113,20,0)</f>
        <v>#N/A</v>
      </c>
      <c r="R103" s="29" t="e">
        <f>VLOOKUP(A103,'[1]26-06-26'!$A$2:$T$121,20,0)</f>
        <v>#N/A</v>
      </c>
      <c r="S103" s="29" t="e">
        <f>VLOOKUP(A103,'[2]03-07-26'!$A$2:$T$124,20,0)</f>
        <v>#N/A</v>
      </c>
      <c r="T103" s="29" t="s">
        <v>544</v>
      </c>
      <c r="U103" s="29">
        <v>5</v>
      </c>
      <c r="V103" s="29"/>
      <c r="W103" s="29"/>
      <c r="X103" s="29"/>
      <c r="Y103" s="29"/>
      <c r="Z103" s="29" t="s">
        <v>536</v>
      </c>
      <c r="AA103" s="29"/>
      <c r="AB103" s="29"/>
      <c r="AC103" s="29"/>
      <c r="AD103" s="29"/>
    </row>
    <row r="104" spans="1:30" ht="113.4" customHeight="1" x14ac:dyDescent="0.3">
      <c r="A104" s="1">
        <v>3405</v>
      </c>
      <c r="B104" s="8" t="s">
        <v>411</v>
      </c>
      <c r="C104" s="12">
        <v>9811665304</v>
      </c>
      <c r="D104" s="10" t="s">
        <v>412</v>
      </c>
      <c r="E104" s="10" t="s">
        <v>21</v>
      </c>
      <c r="F104" s="10" t="s">
        <v>15</v>
      </c>
      <c r="G104" s="11" t="s">
        <v>16</v>
      </c>
      <c r="H104" s="12">
        <v>1450</v>
      </c>
      <c r="I104" s="12">
        <v>362.5</v>
      </c>
      <c r="J104" s="10" t="s">
        <v>30</v>
      </c>
      <c r="K104" s="10" t="s">
        <v>413</v>
      </c>
      <c r="L104" s="12"/>
      <c r="M104" s="12"/>
      <c r="N104" s="14" t="s">
        <v>41</v>
      </c>
      <c r="O104" s="29" t="e">
        <f>VLOOKUP(A104,'[1]05-06-26'!$A$2:$T$136,20,0)</f>
        <v>#N/A</v>
      </c>
      <c r="P104" s="29" t="e">
        <f>VLOOKUP(A104,'[1]12-06-26'!$A$2:$T$115,20,0)</f>
        <v>#N/A</v>
      </c>
      <c r="Q104" s="29" t="e">
        <f>VLOOKUP(A104,'[1]19-06-26'!$A$2:$T$113,20,0)</f>
        <v>#N/A</v>
      </c>
      <c r="R104" s="29" t="e">
        <f>VLOOKUP(A104,'[1]26-06-26'!$A$2:$T$121,20,0)</f>
        <v>#N/A</v>
      </c>
      <c r="S104" s="29" t="e">
        <f>VLOOKUP(A104,'[2]03-07-26'!$A$2:$T$124,20,0)</f>
        <v>#N/A</v>
      </c>
      <c r="T104" s="29" t="s">
        <v>526</v>
      </c>
      <c r="U104" s="29">
        <v>3</v>
      </c>
      <c r="V104" s="29"/>
      <c r="W104" s="29"/>
      <c r="X104" s="29"/>
      <c r="Y104" s="29"/>
      <c r="Z104" s="29" t="s">
        <v>535</v>
      </c>
      <c r="AA104" s="29"/>
      <c r="AB104" s="29"/>
      <c r="AC104" s="29"/>
      <c r="AD104" s="29"/>
    </row>
    <row r="105" spans="1:30" ht="113.4" customHeight="1" x14ac:dyDescent="0.3">
      <c r="A105" s="13">
        <v>2700</v>
      </c>
      <c r="B105" s="8" t="s">
        <v>414</v>
      </c>
      <c r="C105" s="12">
        <v>8828352292</v>
      </c>
      <c r="D105" s="10" t="s">
        <v>415</v>
      </c>
      <c r="E105" s="10" t="s">
        <v>21</v>
      </c>
      <c r="F105" s="10" t="s">
        <v>15</v>
      </c>
      <c r="G105" s="10" t="s">
        <v>109</v>
      </c>
      <c r="H105" s="12">
        <v>1450</v>
      </c>
      <c r="I105" s="12">
        <v>362.5</v>
      </c>
      <c r="J105" s="10" t="s">
        <v>30</v>
      </c>
      <c r="K105" s="10" t="s">
        <v>416</v>
      </c>
      <c r="L105" s="12"/>
      <c r="M105" s="12"/>
      <c r="N105" s="14" t="s">
        <v>417</v>
      </c>
      <c r="O105" s="29" t="str">
        <f>VLOOKUP(A105,'[1]05-06-26'!$A$2:$T$136,20,0)</f>
        <v>P n W Glad ( 14 Inch ) 16     Grass</v>
      </c>
      <c r="P105" s="29" t="str">
        <f>VLOOKUP(A105,'[1]12-06-26'!$A$2:$T$115,20,0)</f>
        <v>P n Y Spray Daisy ( 14 Inch ) 5     FF Sachet + Grass</v>
      </c>
      <c r="Q105" s="29" t="e">
        <f>VLOOKUP(A105,'[1]19-06-26'!$A$2:$T$113,20,0)</f>
        <v>#N/A</v>
      </c>
      <c r="R105" s="29" t="e">
        <f>VLOOKUP(A105,'[1]26-06-26'!$A$2:$T$121,20,0)</f>
        <v>#N/A</v>
      </c>
      <c r="S105" s="29" t="e">
        <f>VLOOKUP(A105,'[2]03-07-26'!$A$2:$T$124,20,0)</f>
        <v>#N/A</v>
      </c>
      <c r="T105" s="29" t="s">
        <v>525</v>
      </c>
      <c r="U105" s="29">
        <v>16</v>
      </c>
      <c r="V105" s="29"/>
      <c r="W105" s="29"/>
      <c r="X105" s="29"/>
      <c r="Y105" s="29"/>
      <c r="Z105" s="29" t="s">
        <v>536</v>
      </c>
      <c r="AA105" s="29"/>
      <c r="AB105" s="29"/>
      <c r="AC105" s="29"/>
      <c r="AD105" s="29"/>
    </row>
    <row r="106" spans="1:30" ht="113.4" customHeight="1" x14ac:dyDescent="0.3">
      <c r="A106" s="13" t="s">
        <v>418</v>
      </c>
      <c r="B106" s="8" t="s">
        <v>419</v>
      </c>
      <c r="C106" s="12">
        <v>9845660589</v>
      </c>
      <c r="D106" s="10" t="s">
        <v>420</v>
      </c>
      <c r="E106" s="10" t="s">
        <v>21</v>
      </c>
      <c r="F106" s="10" t="s">
        <v>149</v>
      </c>
      <c r="G106" s="11" t="s">
        <v>421</v>
      </c>
      <c r="H106" s="12">
        <v>2500</v>
      </c>
      <c r="I106" s="12">
        <v>2500</v>
      </c>
      <c r="J106" s="13" t="s">
        <v>422</v>
      </c>
      <c r="K106" s="10" t="s">
        <v>423</v>
      </c>
      <c r="L106" s="12"/>
      <c r="M106" s="12"/>
      <c r="N106" s="14" t="s">
        <v>424</v>
      </c>
      <c r="O106" s="29" t="e">
        <f>VLOOKUP(A106,'[1]05-06-26'!$A$2:$T$136,20,0)</f>
        <v>#N/A</v>
      </c>
      <c r="P106" s="29" t="e">
        <f>VLOOKUP(A106,'[1]12-06-26'!$A$2:$T$115,20,0)</f>
        <v>#N/A</v>
      </c>
      <c r="Q106" s="29" t="e">
        <f>VLOOKUP(A106,'[1]19-06-26'!$A$2:$T$113,20,0)</f>
        <v>#N/A</v>
      </c>
      <c r="R106" s="29" t="e">
        <f>VLOOKUP(A106,'[1]26-06-26'!$A$2:$T$121,20,0)</f>
        <v>#N/A</v>
      </c>
      <c r="S106" s="29" t="e">
        <f>VLOOKUP(A106,'[2]03-07-26'!$A$2:$T$124,20,0)</f>
        <v>#N/A</v>
      </c>
      <c r="T106" s="29" t="s">
        <v>537</v>
      </c>
      <c r="U106" s="29">
        <v>40</v>
      </c>
      <c r="V106" s="29" t="s">
        <v>538</v>
      </c>
      <c r="W106" s="29"/>
      <c r="X106" s="29"/>
      <c r="Y106" s="29"/>
      <c r="Z106" s="29"/>
      <c r="AA106" s="29"/>
      <c r="AB106" s="29"/>
      <c r="AC106" s="29"/>
      <c r="AD106" s="29"/>
    </row>
    <row r="107" spans="1:30" ht="113.4" customHeight="1" x14ac:dyDescent="0.3">
      <c r="A107" s="13">
        <v>152</v>
      </c>
      <c r="B107" s="8" t="s">
        <v>425</v>
      </c>
      <c r="C107" s="13">
        <v>9810013410</v>
      </c>
      <c r="D107" s="13" t="s">
        <v>426</v>
      </c>
      <c r="E107" s="10" t="s">
        <v>28</v>
      </c>
      <c r="F107" s="13" t="s">
        <v>15</v>
      </c>
      <c r="G107" s="11" t="s">
        <v>16</v>
      </c>
      <c r="H107" s="12">
        <v>1450</v>
      </c>
      <c r="I107" s="12">
        <v>362.5</v>
      </c>
      <c r="J107" s="10" t="s">
        <v>30</v>
      </c>
      <c r="K107" s="13" t="s">
        <v>427</v>
      </c>
      <c r="L107" s="12"/>
      <c r="M107" s="12"/>
      <c r="N107" s="14" t="s">
        <v>33</v>
      </c>
      <c r="O107" s="29" t="str">
        <f>VLOOKUP(A107,'[1]05-06-26'!$A$2:$T$136,20,0)</f>
        <v>P n W Glad ( 14 Inch ) 16     Grass</v>
      </c>
      <c r="P107" s="29" t="str">
        <f>VLOOKUP(A107,'[1]12-06-26'!$A$2:$T$115,20,0)</f>
        <v>Sunflower ( 12 Inch ) 4     FF Sachet + Grass</v>
      </c>
      <c r="Q107" s="29" t="str">
        <f>VLOOKUP(A107,'[1]19-06-26'!$A$2:$T$113,20,0)</f>
        <v xml:space="preserve">Pur Eustom ( 12 Inch ) 3    FF Sachet + Grass </v>
      </c>
      <c r="R107" s="29" t="str">
        <f>VLOOKUP(A107,'[1]26-06-26'!$A$2:$T$121,20,0)</f>
        <v>O Asiatic ( 14 Inch ) 3     Grass</v>
      </c>
      <c r="S107" s="29" t="str">
        <f>VLOOKUP(A107,'[2]03-07-26'!$A$2:$T$124,20,0)</f>
        <v>Pur n P Car ( 14 Inch ) 16     FF Sachet + Grass</v>
      </c>
      <c r="T107" s="29" t="s">
        <v>523</v>
      </c>
      <c r="U107" s="29">
        <v>16</v>
      </c>
      <c r="V107" s="29"/>
      <c r="W107" s="29"/>
      <c r="X107" s="29"/>
      <c r="Y107" s="29"/>
      <c r="Z107" s="29" t="s">
        <v>535</v>
      </c>
      <c r="AA107" s="29"/>
      <c r="AB107" s="29"/>
      <c r="AC107" s="29"/>
      <c r="AD107" s="29"/>
    </row>
    <row r="108" spans="1:30" ht="113.4" customHeight="1" x14ac:dyDescent="0.3">
      <c r="A108" s="13" t="s">
        <v>428</v>
      </c>
      <c r="B108" s="8" t="s">
        <v>429</v>
      </c>
      <c r="C108" s="12">
        <v>9819355743</v>
      </c>
      <c r="D108" s="12" t="s">
        <v>430</v>
      </c>
      <c r="E108" s="12" t="s">
        <v>431</v>
      </c>
      <c r="F108" s="12" t="s">
        <v>357</v>
      </c>
      <c r="G108" s="10" t="s">
        <v>432</v>
      </c>
      <c r="H108" s="12">
        <v>9800</v>
      </c>
      <c r="I108" s="12">
        <v>9800</v>
      </c>
      <c r="J108" s="10" t="s">
        <v>422</v>
      </c>
      <c r="K108" s="12"/>
      <c r="L108" s="12"/>
      <c r="M108" s="12"/>
      <c r="N108" s="14" t="s">
        <v>382</v>
      </c>
      <c r="O108" s="29" t="e">
        <f>VLOOKUP(A108,'[1]05-06-26'!$A$2:$T$136,20,0)</f>
        <v>#N/A</v>
      </c>
      <c r="P108" s="29" t="e">
        <f>VLOOKUP(A108,'[1]12-06-26'!$A$2:$T$115,20,0)</f>
        <v>#N/A</v>
      </c>
      <c r="Q108" s="29" t="e">
        <f>VLOOKUP(A108,'[1]19-06-26'!$A$2:$T$113,20,0)</f>
        <v>#N/A</v>
      </c>
      <c r="R108" s="29" t="e">
        <f>VLOOKUP(A108,'[1]26-06-26'!$A$2:$T$121,20,0)</f>
        <v>#N/A</v>
      </c>
      <c r="S108" s="29" t="e">
        <f>VLOOKUP(A108,'[2]03-07-26'!$A$2:$T$124,20,0)</f>
        <v>#N/A</v>
      </c>
      <c r="T108" s="29" t="s">
        <v>540</v>
      </c>
      <c r="U108" s="29" t="s">
        <v>541</v>
      </c>
      <c r="V108" s="29" t="s">
        <v>598</v>
      </c>
      <c r="W108" s="29"/>
      <c r="X108" s="29"/>
      <c r="Y108" s="29"/>
      <c r="Z108" s="29"/>
      <c r="AA108" s="29"/>
      <c r="AB108" s="29"/>
      <c r="AC108" s="29"/>
      <c r="AD108" s="29"/>
    </row>
    <row r="109" spans="1:30" ht="113.4" customHeight="1" x14ac:dyDescent="0.3">
      <c r="A109" s="1">
        <v>3307</v>
      </c>
      <c r="B109" s="8" t="s">
        <v>433</v>
      </c>
      <c r="C109" s="12">
        <v>8860400001</v>
      </c>
      <c r="D109" s="10" t="s">
        <v>434</v>
      </c>
      <c r="E109" s="10" t="s">
        <v>14</v>
      </c>
      <c r="F109" s="10" t="s">
        <v>15</v>
      </c>
      <c r="G109" s="12" t="s">
        <v>435</v>
      </c>
      <c r="H109" s="12">
        <v>2626</v>
      </c>
      <c r="I109" s="12">
        <v>656.5</v>
      </c>
      <c r="J109" s="12" t="s">
        <v>67</v>
      </c>
      <c r="K109" s="10" t="s">
        <v>436</v>
      </c>
      <c r="L109" s="12"/>
      <c r="M109" s="12"/>
      <c r="N109" s="14" t="s">
        <v>382</v>
      </c>
      <c r="O109" s="29" t="str">
        <f>VLOOKUP(A109,'[1]05-06-26'!$A$2:$T$136,20,0)</f>
        <v>P Oriental ( 16 Inch ) 3     1 Limonium</v>
      </c>
      <c r="P109" s="29" t="str">
        <f>VLOOKUP(A109,'[1]12-06-26'!$A$2:$T$115,20,0)</f>
        <v>W Oriental ( 15 Inch ) 3     1 Gypsola</v>
      </c>
      <c r="Q109" s="29" t="str">
        <f>VLOOKUP(A109,'[1]19-06-26'!$A$2:$T$113,20,0)</f>
        <v>P Oriental ( 15 Inch ) 3     1 Limonium</v>
      </c>
      <c r="R109" s="29" t="str">
        <f>VLOOKUP(A109,'[1]26-06-26'!$A$2:$T$121,20,0)</f>
        <v>W Oriental 3     1 gypaols</v>
      </c>
      <c r="S109" s="29" t="str">
        <f>VLOOKUP(A109,'[2]03-07-26'!$A$2:$T$124,20,0)</f>
        <v>P Oriental ( 15 Inch ) 3     1 Limonium</v>
      </c>
      <c r="T109" s="29" t="s">
        <v>546</v>
      </c>
      <c r="U109" s="29">
        <v>3</v>
      </c>
      <c r="V109" s="29"/>
      <c r="W109" s="29"/>
      <c r="X109" s="29"/>
      <c r="Y109" s="29"/>
      <c r="Z109" s="29" t="s">
        <v>547</v>
      </c>
      <c r="AA109" s="29"/>
      <c r="AB109" s="29"/>
      <c r="AC109" s="29"/>
      <c r="AD109" s="29"/>
    </row>
    <row r="110" spans="1:30" ht="113.4" customHeight="1" x14ac:dyDescent="0.3">
      <c r="A110" s="13" t="s">
        <v>437</v>
      </c>
      <c r="B110" s="8" t="s">
        <v>438</v>
      </c>
      <c r="C110" s="1" t="s">
        <v>439</v>
      </c>
      <c r="D110" s="1" t="s">
        <v>440</v>
      </c>
      <c r="E110" s="10" t="s">
        <v>14</v>
      </c>
      <c r="F110" s="10" t="s">
        <v>15</v>
      </c>
      <c r="G110" s="11" t="s">
        <v>421</v>
      </c>
      <c r="H110" s="12">
        <v>600</v>
      </c>
      <c r="I110" s="12">
        <v>600</v>
      </c>
      <c r="J110" s="10" t="s">
        <v>422</v>
      </c>
      <c r="K110" s="10" t="s">
        <v>441</v>
      </c>
      <c r="L110" s="12"/>
      <c r="M110" s="12"/>
      <c r="N110" s="14" t="s">
        <v>442</v>
      </c>
      <c r="O110" s="29" t="e">
        <f>VLOOKUP(A110,'[1]05-06-26'!$A$2:$T$136,20,0)</f>
        <v>#N/A</v>
      </c>
      <c r="P110" s="29" t="e">
        <f>VLOOKUP(A110,'[1]12-06-26'!$A$2:$T$115,20,0)</f>
        <v>#N/A</v>
      </c>
      <c r="Q110" s="29" t="e">
        <f>VLOOKUP(A110,'[1]19-06-26'!$A$2:$T$113,20,0)</f>
        <v>#N/A</v>
      </c>
      <c r="R110" s="29" t="e">
        <f>VLOOKUP(A110,'[1]26-06-26'!$A$2:$T$121,20,0)</f>
        <v>#N/A</v>
      </c>
      <c r="S110" s="29" t="e">
        <f>VLOOKUP(A110,'[2]03-07-26'!$A$2:$T$124,20,0)</f>
        <v>#N/A</v>
      </c>
      <c r="T110" s="29" t="s">
        <v>522</v>
      </c>
      <c r="U110" s="29">
        <v>4</v>
      </c>
      <c r="V110" s="29"/>
      <c r="W110" s="29"/>
      <c r="X110" s="29"/>
      <c r="Y110" s="29"/>
      <c r="Z110" s="29" t="s">
        <v>539</v>
      </c>
      <c r="AA110" s="29"/>
      <c r="AB110" s="29"/>
      <c r="AC110" s="29"/>
      <c r="AD110" s="29"/>
    </row>
    <row r="111" spans="1:30" ht="113.4" customHeight="1" x14ac:dyDescent="0.3">
      <c r="A111" s="1">
        <v>2832</v>
      </c>
      <c r="B111" s="8" t="s">
        <v>443</v>
      </c>
      <c r="C111" s="1" t="s">
        <v>444</v>
      </c>
      <c r="D111" s="1" t="s">
        <v>445</v>
      </c>
      <c r="E111" s="10" t="s">
        <v>21</v>
      </c>
      <c r="F111" s="10" t="s">
        <v>15</v>
      </c>
      <c r="G111" s="18" t="s">
        <v>53</v>
      </c>
      <c r="H111" s="12">
        <v>1450</v>
      </c>
      <c r="I111" s="12">
        <v>362.5</v>
      </c>
      <c r="J111" s="10" t="s">
        <v>30</v>
      </c>
      <c r="K111" s="10" t="s">
        <v>446</v>
      </c>
      <c r="L111" s="12"/>
      <c r="M111" s="12"/>
      <c r="N111" s="14" t="s">
        <v>382</v>
      </c>
      <c r="O111" s="29" t="str">
        <f>VLOOKUP(A111,'[1]05-06-26'!$A$2:$T$136,20,0)</f>
        <v>Y Spray Daisy ( 14 Inch ) 3 P n W Car ( 14 Inch ) 7   FF Sachet + Grass</v>
      </c>
      <c r="P111" s="29" t="str">
        <f>VLOOKUP(A111,'[1]12-06-26'!$A$2:$T$115,20,0)</f>
        <v>Pur Eustoma ( 12 Inch ) 2 P n W Glad ( 14 Inch ) 7   FF Sachet + Grass</v>
      </c>
      <c r="Q111" s="29" t="str">
        <f>VLOOKUP(A111,'[1]19-06-26'!$A$2:$T$113,20,0)</f>
        <v xml:space="preserve">O Asiatic ( 14 Inch ) 2 Mix Alstroemeria (  12 Inch ) 7  Grass </v>
      </c>
      <c r="R111" s="29" t="str">
        <f>VLOOKUP(A111,'[1]26-06-26'!$A$2:$T$121,20,0)</f>
        <v>O Asiatic ( 14 Inch ) 2 Mix Alstroemeria ( 12 Inch ) 7   Grass</v>
      </c>
      <c r="S111" s="29" t="str">
        <f>VLOOKUP(A111,'[2]03-07-26'!$A$2:$T$124,20,0)</f>
        <v>Sunflower ( 12 Inch ) 2 Pur n P Car ( 14 Inch ) 7   FF Sachet + Grass</v>
      </c>
      <c r="T111" s="29" t="s">
        <v>542</v>
      </c>
      <c r="U111" s="29">
        <v>3</v>
      </c>
      <c r="V111" s="29" t="s">
        <v>523</v>
      </c>
      <c r="W111" s="29">
        <v>7</v>
      </c>
      <c r="X111" s="29"/>
      <c r="Y111" s="29"/>
      <c r="Z111" s="29" t="s">
        <v>536</v>
      </c>
      <c r="AA111" s="29"/>
      <c r="AB111" s="29"/>
      <c r="AC111" s="29"/>
      <c r="AD111" s="29"/>
    </row>
    <row r="112" spans="1:30" ht="113.4" customHeight="1" x14ac:dyDescent="0.3">
      <c r="A112" s="1">
        <v>2089</v>
      </c>
      <c r="B112" s="8" t="s">
        <v>447</v>
      </c>
      <c r="C112" s="12">
        <v>8369995614</v>
      </c>
      <c r="D112" s="10" t="s">
        <v>448</v>
      </c>
      <c r="E112" s="10" t="s">
        <v>21</v>
      </c>
      <c r="F112" s="10" t="s">
        <v>15</v>
      </c>
      <c r="G112" s="11" t="s">
        <v>16</v>
      </c>
      <c r="H112" s="12">
        <v>1450</v>
      </c>
      <c r="I112" s="12">
        <v>362.5</v>
      </c>
      <c r="J112" s="10" t="s">
        <v>30</v>
      </c>
      <c r="K112" s="10" t="s">
        <v>449</v>
      </c>
      <c r="L112" s="10" t="s">
        <v>450</v>
      </c>
      <c r="M112" s="12"/>
      <c r="N112" s="14" t="s">
        <v>33</v>
      </c>
      <c r="O112" s="29" t="str">
        <f>VLOOKUP(A112,'[1]05-06-26'!$A$2:$T$136,20,0)</f>
        <v>P n W Glad ( 14 Inch ) 16     Grass</v>
      </c>
      <c r="P112" s="29" t="e">
        <f>VLOOKUP(A112,'[1]12-06-26'!$A$2:$T$115,20,0)</f>
        <v>#N/A</v>
      </c>
      <c r="Q112" s="29" t="e">
        <f>VLOOKUP(A112,'[1]19-06-26'!$A$2:$T$113,20,0)</f>
        <v>#N/A</v>
      </c>
      <c r="R112" s="29" t="str">
        <f>VLOOKUP(A112,'[1]26-06-26'!$A$2:$T$121,20,0)</f>
        <v>Mix Alstroemeria 16     FF sachet + Grass</v>
      </c>
      <c r="S112" s="29" t="str">
        <f>VLOOKUP(A112,'[2]03-07-26'!$A$2:$T$124,20,0)</f>
        <v>Pur n P Car ( 14 Inch ) 16     FF Sachet + Grass</v>
      </c>
      <c r="T112" s="29" t="s">
        <v>543</v>
      </c>
      <c r="U112" s="29">
        <v>3</v>
      </c>
      <c r="V112" s="29"/>
      <c r="W112" s="29"/>
      <c r="X112" s="29"/>
      <c r="Y112" s="29"/>
      <c r="Z112" s="29" t="s">
        <v>535</v>
      </c>
      <c r="AA112" s="29"/>
      <c r="AB112" s="29"/>
      <c r="AC112" s="29"/>
      <c r="AD112" s="29"/>
    </row>
    <row r="113" spans="1:30" ht="113.4" customHeight="1" x14ac:dyDescent="0.3">
      <c r="A113" s="1">
        <v>3185</v>
      </c>
      <c r="B113" s="8" t="s">
        <v>451</v>
      </c>
      <c r="C113" s="9">
        <v>9711216660</v>
      </c>
      <c r="D113" s="10" t="s">
        <v>452</v>
      </c>
      <c r="E113" s="10" t="s">
        <v>28</v>
      </c>
      <c r="F113" s="10" t="s">
        <v>15</v>
      </c>
      <c r="G113" s="11" t="s">
        <v>16</v>
      </c>
      <c r="H113" s="12">
        <v>1450</v>
      </c>
      <c r="I113" s="12">
        <v>362.5</v>
      </c>
      <c r="J113" s="13" t="s">
        <v>30</v>
      </c>
      <c r="K113" s="10" t="s">
        <v>453</v>
      </c>
      <c r="L113" s="12"/>
      <c r="M113" s="12"/>
      <c r="N113" s="14" t="s">
        <v>382</v>
      </c>
      <c r="O113" s="29" t="str">
        <f>VLOOKUP(A113,'[1]05-06-26'!$A$2:$T$136,20,0)</f>
        <v>P Spray Daisy ( 14 Inch ) 3     FF Sachet + Grass</v>
      </c>
      <c r="P113" s="29" t="str">
        <f>VLOOKUP(A113,'[1]12-06-26'!$A$2:$T$115,20,0)</f>
        <v>P n W Glad ( 14 Inch ) 9     Grass</v>
      </c>
      <c r="Q113" s="29" t="str">
        <f>VLOOKUP(A113,'[1]19-06-26'!$A$2:$T$113,20,0)</f>
        <v xml:space="preserve">O Asiatic ( 14 Inch ) 2    Grass </v>
      </c>
      <c r="R113" s="29" t="str">
        <f>VLOOKUP(A113,'[1]26-06-26'!$A$2:$T$121,20,0)</f>
        <v>Rajni ( 14 Inch ) 9     Grass</v>
      </c>
      <c r="S113" s="29" t="str">
        <f>VLOOKUP(A113,'[2]03-07-26'!$A$2:$T$124,20,0)</f>
        <v>Pur n P Car ( 14 Inch ) 9     FF Sachet + Grass</v>
      </c>
      <c r="T113" s="29" t="s">
        <v>530</v>
      </c>
      <c r="U113" s="29">
        <v>16</v>
      </c>
      <c r="V113" s="29"/>
      <c r="W113" s="29"/>
      <c r="X113" s="29"/>
      <c r="Y113" s="29"/>
      <c r="Z113" s="29" t="s">
        <v>536</v>
      </c>
      <c r="AA113" s="29"/>
      <c r="AB113" s="29"/>
      <c r="AC113" s="29"/>
      <c r="AD113" s="29"/>
    </row>
    <row r="114" spans="1:30" ht="113.4" customHeight="1" x14ac:dyDescent="0.3">
      <c r="A114" s="1">
        <v>2018</v>
      </c>
      <c r="B114" s="8" t="s">
        <v>454</v>
      </c>
      <c r="C114" s="12">
        <v>9818054747</v>
      </c>
      <c r="D114" s="10" t="s">
        <v>455</v>
      </c>
      <c r="E114" s="10" t="s">
        <v>28</v>
      </c>
      <c r="F114" s="10" t="s">
        <v>15</v>
      </c>
      <c r="G114" s="11" t="s">
        <v>16</v>
      </c>
      <c r="H114" s="12">
        <v>1450</v>
      </c>
      <c r="I114" s="12">
        <v>362.5</v>
      </c>
      <c r="J114" s="10" t="s">
        <v>30</v>
      </c>
      <c r="K114" s="10" t="s">
        <v>456</v>
      </c>
      <c r="L114" s="10" t="s">
        <v>457</v>
      </c>
      <c r="M114" s="12"/>
      <c r="N114" s="14" t="s">
        <v>458</v>
      </c>
      <c r="O114" s="29" t="str">
        <f>VLOOKUP(A114,'[1]05-06-26'!$A$2:$T$136,20,0)</f>
        <v>Mix Alstroemeria ( 12 Inch ) 16     FF Sachet + Grass</v>
      </c>
      <c r="P114" s="29" t="str">
        <f>VLOOKUP(A114,'[1]12-06-26'!$A$2:$T$115,20,0)</f>
        <v>W Asiatic ( 14 inch ) 3     Grass</v>
      </c>
      <c r="Q114" s="29" t="e">
        <f>VLOOKUP(A114,'[1]19-06-26'!$A$2:$T$113,20,0)</f>
        <v>#N/A</v>
      </c>
      <c r="R114" s="29" t="str">
        <f>VLOOKUP(A114,'[1]26-06-26'!$A$2:$T$121,20,0)</f>
        <v>Pur n P Car ( 14 Inch ) 16     FF sachet + Grass</v>
      </c>
      <c r="S114" s="29" t="str">
        <f>VLOOKUP(A114,'[2]03-07-26'!$A$2:$T$124,20,0)</f>
        <v>Sunflower ( 12 Inch ) 4     FF Sachet + Grass</v>
      </c>
      <c r="T114" s="29" t="s">
        <v>545</v>
      </c>
      <c r="U114" s="29">
        <v>5</v>
      </c>
      <c r="V114" s="29"/>
      <c r="W114" s="29"/>
      <c r="X114" s="29"/>
      <c r="Y114" s="29"/>
      <c r="Z114" s="29" t="s">
        <v>536</v>
      </c>
      <c r="AA114" s="29"/>
      <c r="AB114" s="29"/>
      <c r="AC114" s="29"/>
      <c r="AD114" s="29"/>
    </row>
    <row r="115" spans="1:30" ht="113.4" customHeight="1" x14ac:dyDescent="0.3">
      <c r="A115" s="1">
        <v>2708</v>
      </c>
      <c r="B115" s="8" t="s">
        <v>459</v>
      </c>
      <c r="C115" s="9">
        <v>9730543073</v>
      </c>
      <c r="D115" s="10" t="s">
        <v>460</v>
      </c>
      <c r="E115" s="10" t="s">
        <v>21</v>
      </c>
      <c r="F115" s="10" t="s">
        <v>15</v>
      </c>
      <c r="G115" s="11" t="s">
        <v>16</v>
      </c>
      <c r="H115" s="12">
        <v>1450</v>
      </c>
      <c r="I115" s="12">
        <f>H115/4</f>
        <v>362.5</v>
      </c>
      <c r="J115" s="13" t="s">
        <v>30</v>
      </c>
      <c r="K115" s="10" t="s">
        <v>461</v>
      </c>
      <c r="L115" s="10" t="s">
        <v>462</v>
      </c>
      <c r="M115" s="12"/>
      <c r="N115" s="14" t="s">
        <v>463</v>
      </c>
      <c r="O115" s="29" t="str">
        <f>VLOOKUP(A115,'[1]05-06-26'!$A$2:$T$136,20,0)</f>
        <v>Y Spray Daisy ( 14 Inch ) 3     FF Sachet + Grass</v>
      </c>
      <c r="P115" s="29" t="str">
        <f>VLOOKUP(A115,'[1]12-06-26'!$A$2:$T$115,20,0)</f>
        <v>Pur n P Car ( 14 Inch ) 9     FF Sachet + Grass</v>
      </c>
      <c r="Q115" s="29" t="str">
        <f>VLOOKUP(A115,'[1]19-06-26'!$A$2:$T$113,20,0)</f>
        <v xml:space="preserve">Mix Alstroemeria ( 12 Inch ) 9    FF Sachet + Grass </v>
      </c>
      <c r="R115" s="29" t="str">
        <f>VLOOKUP(A115,'[1]26-06-26'!$A$2:$T$121,20,0)</f>
        <v>O Asiatic ( 14 Inch ) 2     Grass</v>
      </c>
      <c r="S115" s="29" t="str">
        <f>VLOOKUP(A115,'[2]03-07-26'!$A$2:$T$124,20,0)</f>
        <v>P n W Glad ( 14 Inch ) 9     Grass</v>
      </c>
      <c r="T115" s="29" t="s">
        <v>523</v>
      </c>
      <c r="U115" s="29">
        <v>16</v>
      </c>
      <c r="V115" s="29"/>
      <c r="W115" s="29"/>
      <c r="X115" s="29"/>
      <c r="Y115" s="29"/>
      <c r="Z115" s="29" t="s">
        <v>535</v>
      </c>
      <c r="AA115" s="29"/>
      <c r="AB115" s="29"/>
      <c r="AC115" s="29"/>
      <c r="AD115" s="29"/>
    </row>
    <row r="116" spans="1:30" ht="113.4" customHeight="1" x14ac:dyDescent="0.3">
      <c r="A116" s="1">
        <v>3011</v>
      </c>
      <c r="B116" s="8" t="s">
        <v>464</v>
      </c>
      <c r="C116" s="12">
        <v>9702930000</v>
      </c>
      <c r="D116" s="10" t="s">
        <v>465</v>
      </c>
      <c r="E116" s="10" t="s">
        <v>28</v>
      </c>
      <c r="F116" s="10" t="s">
        <v>15</v>
      </c>
      <c r="G116" s="11" t="s">
        <v>29</v>
      </c>
      <c r="H116" s="12">
        <v>1450</v>
      </c>
      <c r="I116" s="12">
        <v>362.5</v>
      </c>
      <c r="J116" s="10" t="s">
        <v>30</v>
      </c>
      <c r="K116" s="10" t="s">
        <v>466</v>
      </c>
      <c r="L116" s="12"/>
      <c r="M116" s="12"/>
      <c r="N116" s="14" t="s">
        <v>33</v>
      </c>
      <c r="O116" s="29" t="str">
        <f>VLOOKUP(A116,'[1]05-06-26'!$A$2:$T$136,20,0)</f>
        <v>P Spray Daisy ( 14 Inch ) 3 P n W Glad ( 14 Inch ) 7   FF Sachet + Grass</v>
      </c>
      <c r="P116" s="29" t="str">
        <f>VLOOKUP(A116,'[1]12-06-26'!$A$2:$T$115,20,0)</f>
        <v>Pur Eustoma ( 12 Inch ) 2 Pur n P Car ( 14 Inch ) 7   FF Sachet + Grass</v>
      </c>
      <c r="Q116" s="29" t="str">
        <f>VLOOKUP(A116,'[1]19-06-26'!$A$2:$T$113,20,0)</f>
        <v xml:space="preserve">Sunflower ( 12 Inch ) 2 Mix Alstroemeria (  12 Inch ) 7  FF Sachet + Grass </v>
      </c>
      <c r="R116" s="29" t="str">
        <f>VLOOKUP(A116,'[1]26-06-26'!$A$2:$T$121,20,0)</f>
        <v>P Asiatic ( 14 Inch ) 2 Rajni ( 14 Inch ) 7   Grass</v>
      </c>
      <c r="S116" s="29" t="str">
        <f>VLOOKUP(A116,'[2]03-07-26'!$A$2:$T$124,20,0)</f>
        <v>G Spray Daisy ( 14 Inch ) 3 P n W Glad ( 14 Inch ) 7   FF Sachet + Grass</v>
      </c>
      <c r="T116" s="29" t="s">
        <v>522</v>
      </c>
      <c r="U116" s="29">
        <v>2</v>
      </c>
      <c r="V116" s="29" t="s">
        <v>525</v>
      </c>
      <c r="W116" s="29">
        <v>7</v>
      </c>
      <c r="X116" s="29"/>
      <c r="Y116" s="29"/>
      <c r="Z116" s="29" t="s">
        <v>536</v>
      </c>
      <c r="AA116" s="29"/>
      <c r="AB116" s="29"/>
      <c r="AC116" s="29"/>
      <c r="AD116" s="29"/>
    </row>
    <row r="117" spans="1:30" ht="113.4" customHeight="1" x14ac:dyDescent="0.3">
      <c r="A117" s="1">
        <v>3408</v>
      </c>
      <c r="B117" s="8" t="s">
        <v>467</v>
      </c>
      <c r="C117" s="12">
        <v>9899591153</v>
      </c>
      <c r="D117" s="10" t="s">
        <v>468</v>
      </c>
      <c r="E117" s="10" t="s">
        <v>21</v>
      </c>
      <c r="F117" s="10" t="s">
        <v>15</v>
      </c>
      <c r="G117" s="17" t="s">
        <v>53</v>
      </c>
      <c r="H117" s="12">
        <v>1450</v>
      </c>
      <c r="I117" s="12">
        <v>1450</v>
      </c>
      <c r="J117" s="10" t="s">
        <v>30</v>
      </c>
      <c r="K117" s="12"/>
      <c r="L117" s="12"/>
      <c r="M117" s="12"/>
      <c r="N117" s="14" t="s">
        <v>382</v>
      </c>
      <c r="O117" s="29" t="e">
        <f>VLOOKUP(A117,'[1]05-06-26'!$A$2:$T$136,20,0)</f>
        <v>#N/A</v>
      </c>
      <c r="P117" s="29" t="e">
        <f>VLOOKUP(A117,'[1]12-06-26'!$A$2:$T$115,20,0)</f>
        <v>#N/A</v>
      </c>
      <c r="Q117" s="29" t="e">
        <f>VLOOKUP(A117,'[1]19-06-26'!$A$2:$T$113,20,0)</f>
        <v>#N/A</v>
      </c>
      <c r="R117" s="29" t="e">
        <f>VLOOKUP(A117,'[1]26-06-26'!$A$2:$T$121,20,0)</f>
        <v>#N/A</v>
      </c>
      <c r="S117" s="29" t="e">
        <f>VLOOKUP(A117,'[2]03-07-26'!$A$2:$T$124,20,0)</f>
        <v>#N/A</v>
      </c>
      <c r="T117" s="29" t="s">
        <v>525</v>
      </c>
      <c r="U117" s="29">
        <v>16</v>
      </c>
      <c r="V117" s="29"/>
      <c r="W117" s="29"/>
      <c r="X117" s="29"/>
      <c r="Y117" s="29"/>
      <c r="Z117" s="29" t="s">
        <v>536</v>
      </c>
      <c r="AA117" s="29"/>
      <c r="AB117" s="29"/>
      <c r="AC117" s="29"/>
      <c r="AD117" s="29"/>
    </row>
    <row r="118" spans="1:30" ht="113.4" customHeight="1" x14ac:dyDescent="0.3">
      <c r="A118" s="1">
        <v>3312</v>
      </c>
      <c r="B118" s="8" t="s">
        <v>469</v>
      </c>
      <c r="C118" s="12">
        <v>9953755297</v>
      </c>
      <c r="D118" s="10" t="s">
        <v>470</v>
      </c>
      <c r="E118" s="10" t="s">
        <v>28</v>
      </c>
      <c r="F118" s="10" t="s">
        <v>60</v>
      </c>
      <c r="G118" s="17" t="s">
        <v>53</v>
      </c>
      <c r="H118" s="12">
        <v>1950</v>
      </c>
      <c r="I118" s="12">
        <v>487.5</v>
      </c>
      <c r="J118" s="10" t="s">
        <v>22</v>
      </c>
      <c r="K118" s="12"/>
      <c r="L118" s="12"/>
      <c r="M118" s="12"/>
      <c r="N118" s="14" t="s">
        <v>471</v>
      </c>
      <c r="O118" s="29" t="str">
        <f>VLOOKUP(A118,'[1]05-06-26'!$A$2:$T$136,20,0)</f>
        <v>P n Y Spray Daisy ( 14 Inch ) 7     FF Sachet + Grass</v>
      </c>
      <c r="P118" s="29" t="str">
        <f>VLOOKUP(A118,'[1]12-06-26'!$A$2:$T$115,20,0)</f>
        <v>W Asiatic ( 14 inch ) 4     Grass</v>
      </c>
      <c r="Q118" s="29" t="str">
        <f>VLOOKUP(A118,'[1]19-06-26'!$A$2:$T$113,20,0)</f>
        <v>R n P Car ( 14 Inch ) 22     FF sachet + Grass</v>
      </c>
      <c r="R118" s="29" t="str">
        <f>VLOOKUP(A118,'[1]26-06-26'!$A$2:$T$121,20,0)</f>
        <v>Pur n P Eustoma ( 12 Inch ) 4     FF Sachet + Grass</v>
      </c>
      <c r="S118" s="29" t="str">
        <f>VLOOKUP(A118,'[2]03-07-26'!$A$2:$T$124,20,0)</f>
        <v>P n W Glad ( 14 Inch ) 22     Grass</v>
      </c>
      <c r="T118" s="29" t="s">
        <v>544</v>
      </c>
      <c r="U118" s="29">
        <v>7</v>
      </c>
      <c r="V118" s="29"/>
      <c r="W118" s="29"/>
      <c r="X118" s="29"/>
      <c r="Y118" s="29"/>
      <c r="Z118" s="29" t="s">
        <v>536</v>
      </c>
      <c r="AA118" s="29"/>
      <c r="AB118" s="29"/>
      <c r="AC118" s="29"/>
      <c r="AD118" s="29"/>
    </row>
    <row r="119" spans="1:30" ht="113.4" customHeight="1" x14ac:dyDescent="0.3">
      <c r="A119" s="1">
        <v>3119</v>
      </c>
      <c r="B119" s="8" t="s">
        <v>472</v>
      </c>
      <c r="C119" s="12">
        <v>9811106435</v>
      </c>
      <c r="D119" s="10" t="s">
        <v>473</v>
      </c>
      <c r="E119" s="10" t="s">
        <v>21</v>
      </c>
      <c r="F119" s="10" t="s">
        <v>15</v>
      </c>
      <c r="G119" s="18" t="s">
        <v>53</v>
      </c>
      <c r="H119" s="12">
        <v>1450</v>
      </c>
      <c r="I119" s="12">
        <v>362.5</v>
      </c>
      <c r="J119" s="10" t="s">
        <v>30</v>
      </c>
      <c r="K119" s="10" t="s">
        <v>474</v>
      </c>
      <c r="L119" s="12"/>
      <c r="M119" s="10" t="s">
        <v>475</v>
      </c>
      <c r="N119" s="14" t="s">
        <v>33</v>
      </c>
      <c r="O119" s="29" t="str">
        <f>VLOOKUP(A119,'[1]05-06-26'!$A$2:$T$136,20,0)</f>
        <v>Y Spray Daisy ( 14 Inch ) 3 P n W Glad ( 14 Inch ) 7   FF Sachet + Grass</v>
      </c>
      <c r="P119" s="29" t="str">
        <f>VLOOKUP(A119,'[1]12-06-26'!$A$2:$T$115,20,0)</f>
        <v>Sunflower ( 12 Inch ) 2 Pur n P Car ( 14 Inch ) 7   FF Sachet + Grass</v>
      </c>
      <c r="Q119" s="29" t="str">
        <f>VLOOKUP(A119,'[1]19-06-26'!$A$2:$T$113,20,0)</f>
        <v xml:space="preserve">Pur Eustom ( 12 Inch ) 2 Mix Alstroemeria (  12 Inch ) 7  FF Sachet + Grass </v>
      </c>
      <c r="R119" s="29" t="str">
        <f>VLOOKUP(A119,'[1]26-06-26'!$A$2:$T$121,20,0)</f>
        <v>P Asiatic ( 14 Inch ) 2 Glad ( 14 Inch ) 7   Grass</v>
      </c>
      <c r="S119" s="29" t="str">
        <f>VLOOKUP(A119,'[2]03-07-26'!$A$2:$T$124,20,0)</f>
        <v>Sunflower ( 12 Inch ) 2 P n W Car ( 14 Inch ) 7   FF Sachet + Grass</v>
      </c>
      <c r="T119" s="29" t="s">
        <v>542</v>
      </c>
      <c r="U119" s="29">
        <v>3</v>
      </c>
      <c r="V119" s="29" t="s">
        <v>523</v>
      </c>
      <c r="W119" s="29">
        <v>7</v>
      </c>
      <c r="X119" s="29"/>
      <c r="Y119" s="29"/>
      <c r="Z119" s="29" t="s">
        <v>536</v>
      </c>
      <c r="AA119" s="29"/>
      <c r="AB119" s="29"/>
      <c r="AC119" s="29"/>
      <c r="AD119" s="29"/>
    </row>
    <row r="120" spans="1:30" ht="113.4" customHeight="1" x14ac:dyDescent="0.3">
      <c r="A120" s="13">
        <v>163</v>
      </c>
      <c r="B120" s="8" t="s">
        <v>476</v>
      </c>
      <c r="C120" s="1">
        <v>8800444342</v>
      </c>
      <c r="D120" s="13" t="s">
        <v>477</v>
      </c>
      <c r="E120" s="10" t="s">
        <v>28</v>
      </c>
      <c r="F120" s="13" t="s">
        <v>15</v>
      </c>
      <c r="G120" s="11" t="s">
        <v>16</v>
      </c>
      <c r="H120" s="12">
        <v>1950</v>
      </c>
      <c r="I120" s="12">
        <v>487.5</v>
      </c>
      <c r="J120" s="10" t="s">
        <v>22</v>
      </c>
      <c r="K120" s="13" t="s">
        <v>478</v>
      </c>
      <c r="L120" s="12"/>
      <c r="M120" s="12"/>
      <c r="N120" s="14" t="s">
        <v>382</v>
      </c>
      <c r="O120" s="29" t="str">
        <f>VLOOKUP(A120,'[1]05-06-26'!$A$2:$T$136,20,0)</f>
        <v>W Asiatic ( 14 Inch ) 4     Grass</v>
      </c>
      <c r="P120" s="29" t="str">
        <f>VLOOKUP(A120,'[1]12-06-26'!$A$2:$T$115,20,0)</f>
        <v>Pur n P Car ( 14 Inch ) 22     FF Sachet + Grass</v>
      </c>
      <c r="Q120" s="29" t="str">
        <f>VLOOKUP(A120,'[1]19-06-26'!$A$2:$T$113,20,0)</f>
        <v>Sunflower ( 12 Inch ) 5     FF sachet + Grass</v>
      </c>
      <c r="R120" s="29" t="str">
        <f>VLOOKUP(A120,'[1]26-06-26'!$A$2:$T$121,20,0)</f>
        <v>Pur n P Eustoma ( 12 Inch ) 4     FF Sachet + Grass</v>
      </c>
      <c r="S120" s="29" t="str">
        <f>VLOOKUP(A120,'[2]03-07-26'!$A$2:$T$124,20,0)</f>
        <v>P n W Glad ( 14 Inch ) 22 1st Del Tom in Route 1st Del Tom in Route 1st Del Tom in Route  Grass</v>
      </c>
      <c r="T120" s="29" t="s">
        <v>526</v>
      </c>
      <c r="U120" s="29">
        <v>4</v>
      </c>
      <c r="V120" s="29"/>
      <c r="W120" s="29"/>
      <c r="X120" s="29"/>
      <c r="Y120" s="29"/>
      <c r="Z120" s="29" t="s">
        <v>535</v>
      </c>
      <c r="AA120" s="29"/>
      <c r="AB120" s="29"/>
      <c r="AC120" s="29"/>
      <c r="AD120" s="29"/>
    </row>
    <row r="121" spans="1:30" ht="113.4" customHeight="1" x14ac:dyDescent="0.3">
      <c r="A121" s="13">
        <v>3407</v>
      </c>
      <c r="B121" s="8" t="s">
        <v>479</v>
      </c>
      <c r="C121" s="12">
        <v>7906393304</v>
      </c>
      <c r="D121" s="10" t="s">
        <v>480</v>
      </c>
      <c r="E121" s="10" t="s">
        <v>77</v>
      </c>
      <c r="F121" s="10" t="s">
        <v>15</v>
      </c>
      <c r="G121" s="17" t="s">
        <v>53</v>
      </c>
      <c r="H121" s="12">
        <v>1450</v>
      </c>
      <c r="I121" s="12">
        <v>1450</v>
      </c>
      <c r="J121" s="10" t="s">
        <v>30</v>
      </c>
      <c r="K121" s="12"/>
      <c r="L121" s="12"/>
      <c r="M121" s="12"/>
      <c r="N121" s="14" t="s">
        <v>382</v>
      </c>
      <c r="O121" s="29" t="e">
        <f>VLOOKUP(A121,'[1]05-06-26'!$A$2:$T$136,20,0)</f>
        <v>#N/A</v>
      </c>
      <c r="P121" s="29" t="e">
        <f>VLOOKUP(A121,'[1]12-06-26'!$A$2:$T$115,20,0)</f>
        <v>#N/A</v>
      </c>
      <c r="Q121" s="29" t="e">
        <f>VLOOKUP(A121,'[1]19-06-26'!$A$2:$T$113,20,0)</f>
        <v>#N/A</v>
      </c>
      <c r="R121" s="29" t="e">
        <f>VLOOKUP(A121,'[1]26-06-26'!$A$2:$T$121,20,0)</f>
        <v>#N/A</v>
      </c>
      <c r="S121" s="29" t="e">
        <f>VLOOKUP(A121,'[2]03-07-26'!$A$2:$T$124,20,0)</f>
        <v>#N/A</v>
      </c>
      <c r="T121" s="29" t="s">
        <v>525</v>
      </c>
      <c r="U121" s="29">
        <v>16</v>
      </c>
      <c r="V121" s="29"/>
      <c r="W121" s="29"/>
      <c r="X121" s="29"/>
      <c r="Y121" s="29"/>
      <c r="Z121" s="29" t="s">
        <v>536</v>
      </c>
      <c r="AA121" s="29"/>
      <c r="AB121" s="29"/>
      <c r="AC121" s="29"/>
      <c r="AD121" s="29"/>
    </row>
    <row r="122" spans="1:30" ht="113.4" customHeight="1" x14ac:dyDescent="0.3">
      <c r="A122" s="1">
        <v>2394</v>
      </c>
      <c r="B122" s="8" t="s">
        <v>186</v>
      </c>
      <c r="C122" s="12">
        <v>8420453178</v>
      </c>
      <c r="D122" s="10" t="s">
        <v>187</v>
      </c>
      <c r="E122" s="10" t="s">
        <v>44</v>
      </c>
      <c r="F122" s="10" t="s">
        <v>15</v>
      </c>
      <c r="G122" s="18" t="s">
        <v>78</v>
      </c>
      <c r="H122" s="12">
        <v>1450</v>
      </c>
      <c r="I122" s="12">
        <v>362.5</v>
      </c>
      <c r="J122" s="13" t="s">
        <v>30</v>
      </c>
      <c r="K122" s="10" t="s">
        <v>481</v>
      </c>
      <c r="L122" s="12"/>
      <c r="M122" s="12"/>
      <c r="N122" s="14" t="s">
        <v>382</v>
      </c>
      <c r="O122" s="29" t="str">
        <f>VLOOKUP(A122,'[1]05-06-26'!$A$2:$T$136,20,0)</f>
        <v>P n W Glad ( 14 Inch ) 16     Grass</v>
      </c>
      <c r="P122" s="29" t="str">
        <f>VLOOKUP(A122,'[1]12-06-26'!$A$2:$T$115,20,0)</f>
        <v>Sunflower ( 12 Inch ) 4     FF Sachet + Grass</v>
      </c>
      <c r="Q122" s="29" t="str">
        <f>VLOOKUP(A122,'[1]19-06-26'!$A$2:$T$113,20,0)</f>
        <v xml:space="preserve">Pur Eustom ( 12 Inch ) 3    FF Sachet + Grass </v>
      </c>
      <c r="R122" s="29" t="str">
        <f>VLOOKUP(A122,'[1]26-06-26'!$A$2:$T$121,20,0)</f>
        <v>P n W Car ( 14 Inch ) 16     FF sachet + Grass</v>
      </c>
      <c r="S122" s="29" t="str">
        <f>VLOOKUP(A122,'[2]03-07-26'!$A$2:$T$124,20,0)</f>
        <v>G Spray Daisy ( 14 Inch ) 5     Grass</v>
      </c>
      <c r="T122" s="29" t="s">
        <v>543</v>
      </c>
      <c r="U122" s="29">
        <v>3</v>
      </c>
      <c r="V122" s="29"/>
      <c r="W122" s="29"/>
      <c r="X122" s="29"/>
      <c r="Y122" s="29"/>
      <c r="Z122" s="29" t="s">
        <v>535</v>
      </c>
      <c r="AA122" s="29"/>
      <c r="AB122" s="29"/>
      <c r="AC122" s="29"/>
      <c r="AD122" s="29"/>
    </row>
    <row r="123" spans="1:30" ht="113.4" customHeight="1" x14ac:dyDescent="0.3">
      <c r="A123" s="1">
        <v>3062</v>
      </c>
      <c r="B123" s="8" t="s">
        <v>482</v>
      </c>
      <c r="C123" s="12">
        <v>9400305164</v>
      </c>
      <c r="D123" s="10" t="s">
        <v>483</v>
      </c>
      <c r="E123" s="10" t="s">
        <v>77</v>
      </c>
      <c r="F123" s="10" t="s">
        <v>15</v>
      </c>
      <c r="G123" s="18" t="s">
        <v>53</v>
      </c>
      <c r="H123" s="12">
        <v>1450</v>
      </c>
      <c r="I123" s="12">
        <v>362.5</v>
      </c>
      <c r="J123" s="13" t="s">
        <v>30</v>
      </c>
      <c r="K123" s="10" t="s">
        <v>484</v>
      </c>
      <c r="L123" s="12"/>
      <c r="M123" s="12"/>
      <c r="N123" s="14" t="s">
        <v>382</v>
      </c>
      <c r="O123" s="29" t="e">
        <f>VLOOKUP(A123,'[1]05-06-26'!$A$2:$T$136,20,0)</f>
        <v>#N/A</v>
      </c>
      <c r="P123" s="29" t="str">
        <f>VLOOKUP(A123,'[1]12-06-26'!$A$2:$T$115,20,0)</f>
        <v>Mix Carnation  16     FF Sachet + Grass</v>
      </c>
      <c r="Q123" s="29" t="str">
        <f>VLOOKUP(A123,'[1]19-06-26'!$A$2:$T$113,20,0)</f>
        <v xml:space="preserve">Pur Eustom ( 12 Inch ) 3    FF Sachet + Grass </v>
      </c>
      <c r="R123" s="29" t="str">
        <f>VLOOKUP(A123,'[1]26-06-26'!$A$2:$T$121,20,0)</f>
        <v>P n W Glad ( 14 Inch ) 16     Grass</v>
      </c>
      <c r="S123" s="29" t="str">
        <f>VLOOKUP(A123,'[2]03-07-26'!$A$2:$T$124,20,0)</f>
        <v>Sunflower ( 12 Inch ) 4     FF Sachet + Grass</v>
      </c>
      <c r="T123" s="29" t="s">
        <v>523</v>
      </c>
      <c r="U123" s="29">
        <v>16</v>
      </c>
      <c r="V123" s="29"/>
      <c r="W123" s="29"/>
      <c r="X123" s="29"/>
      <c r="Y123" s="29"/>
      <c r="Z123" s="29" t="s">
        <v>535</v>
      </c>
      <c r="AA123" s="29"/>
      <c r="AB123" s="29"/>
      <c r="AC123" s="29"/>
      <c r="AD123" s="29"/>
    </row>
    <row r="124" spans="1:30" ht="113.4" customHeight="1" x14ac:dyDescent="0.3">
      <c r="A124" s="1">
        <v>2066</v>
      </c>
      <c r="B124" s="8" t="s">
        <v>485</v>
      </c>
      <c r="C124" s="12">
        <v>9999103067</v>
      </c>
      <c r="D124" s="10" t="s">
        <v>486</v>
      </c>
      <c r="E124" s="10" t="s">
        <v>21</v>
      </c>
      <c r="F124" s="10" t="s">
        <v>15</v>
      </c>
      <c r="G124" s="11" t="s">
        <v>53</v>
      </c>
      <c r="H124" s="12">
        <v>1450</v>
      </c>
      <c r="I124" s="12">
        <v>362.5</v>
      </c>
      <c r="J124" s="10" t="s">
        <v>30</v>
      </c>
      <c r="K124" s="10" t="s">
        <v>487</v>
      </c>
      <c r="L124" s="12"/>
      <c r="M124" s="12"/>
      <c r="N124" s="14" t="s">
        <v>488</v>
      </c>
      <c r="O124" s="29" t="str">
        <f>VLOOKUP(A124,'[1]05-06-26'!$A$2:$T$136,20,0)</f>
        <v>Pur Eustom ( 14 Inch ) 3     FF Sachet + Grass</v>
      </c>
      <c r="P124" s="29" t="str">
        <f>VLOOKUP(A124,'[1]12-06-26'!$A$2:$T$115,20,0)</f>
        <v>P n Y Spray Daisy ( 14 Inch ) 5     FF Sachet + Grass</v>
      </c>
      <c r="Q124" s="29" t="str">
        <f>VLOOKUP(A124,'[1]19-06-26'!$A$2:$T$113,20,0)</f>
        <v xml:space="preserve">P n W Glad ( 14 Inch ) 16    Grass </v>
      </c>
      <c r="R124" s="29" t="str">
        <f>VLOOKUP(A124,'[1]26-06-26'!$A$2:$T$121,20,0)</f>
        <v>O Asiatic ( 14 Inch ) 3     Grass</v>
      </c>
      <c r="S124" s="29" t="str">
        <f>VLOOKUP(A124,'[2]03-07-26'!$A$2:$T$124,20,0)</f>
        <v>Pur n P Car ( 14 Inch ) 16     FF Sachet + Grass</v>
      </c>
      <c r="T124" s="29" t="s">
        <v>523</v>
      </c>
      <c r="U124" s="29">
        <v>16</v>
      </c>
      <c r="V124" s="29"/>
      <c r="W124" s="29"/>
      <c r="X124" s="29"/>
      <c r="Y124" s="29"/>
      <c r="Z124" s="29" t="s">
        <v>535</v>
      </c>
      <c r="AA124" s="29"/>
      <c r="AB124" s="29"/>
      <c r="AC124" s="29"/>
      <c r="AD124" s="29"/>
    </row>
    <row r="125" spans="1:30" ht="113.4" customHeight="1" x14ac:dyDescent="0.3">
      <c r="A125" s="1">
        <v>815</v>
      </c>
      <c r="B125" s="8" t="s">
        <v>489</v>
      </c>
      <c r="C125" s="12">
        <v>9717166559</v>
      </c>
      <c r="D125" s="10" t="s">
        <v>490</v>
      </c>
      <c r="E125" s="10" t="s">
        <v>21</v>
      </c>
      <c r="F125" s="10" t="s">
        <v>15</v>
      </c>
      <c r="G125" s="11" t="s">
        <v>16</v>
      </c>
      <c r="H125" s="12">
        <v>2750</v>
      </c>
      <c r="I125" s="12">
        <v>687.5</v>
      </c>
      <c r="J125" s="10" t="s">
        <v>127</v>
      </c>
      <c r="K125" s="13" t="s">
        <v>491</v>
      </c>
      <c r="L125" s="10"/>
      <c r="M125" s="12"/>
      <c r="N125" s="14" t="s">
        <v>492</v>
      </c>
      <c r="O125" s="29" t="str">
        <f>VLOOKUP(A125,'[1]05-06-26'!$A$2:$T$136,20,0)</f>
        <v xml:space="preserve">P Asiatic ( 14 Inch ) 6     2 Gypsola </v>
      </c>
      <c r="P125" s="29" t="str">
        <f>VLOOKUP(A125,'[1]12-06-26'!$A$2:$T$115,20,0)</f>
        <v>P n W Glad ( 14 Inch ) 32     2 Limonium</v>
      </c>
      <c r="Q125" s="29" t="str">
        <f>VLOOKUP(A125,'[1]19-06-26'!$A$2:$T$113,20,0)</f>
        <v>P n Pur Eustoma ( 12 Inch ) 6     FF sachet + Grass</v>
      </c>
      <c r="R125" s="29" t="str">
        <f>VLOOKUP(A125,'[1]26-06-26'!$A$2:$T$121,20,0)</f>
        <v>P n W Car ( 14 Inch ) 32     2 Gypsola + FF Sachet</v>
      </c>
      <c r="S125" s="29" t="str">
        <f>VLOOKUP(A125,'[2]03-07-26'!$A$2:$T$124,20,0)</f>
        <v>Sunflower ( 12 Inch ) 7     FF Sachet + Grass</v>
      </c>
      <c r="T125" s="29" t="s">
        <v>523</v>
      </c>
      <c r="U125" s="29">
        <v>32</v>
      </c>
      <c r="V125" s="29"/>
      <c r="W125" s="29"/>
      <c r="X125" s="29"/>
      <c r="Y125" s="29"/>
      <c r="Z125" s="29" t="s">
        <v>550</v>
      </c>
      <c r="AA125" s="29"/>
      <c r="AB125" s="29"/>
      <c r="AC125" s="29"/>
      <c r="AD125" s="29"/>
    </row>
    <row r="126" spans="1:30" ht="113.4" customHeight="1" x14ac:dyDescent="0.3">
      <c r="A126" s="13">
        <v>2190</v>
      </c>
      <c r="B126" s="8" t="s">
        <v>493</v>
      </c>
      <c r="C126" s="8">
        <v>9205393464</v>
      </c>
      <c r="D126" s="10" t="s">
        <v>494</v>
      </c>
      <c r="E126" s="10" t="s">
        <v>77</v>
      </c>
      <c r="F126" s="10" t="s">
        <v>15</v>
      </c>
      <c r="G126" s="17" t="s">
        <v>53</v>
      </c>
      <c r="H126" s="12">
        <v>1950</v>
      </c>
      <c r="I126" s="12">
        <v>487.5</v>
      </c>
      <c r="J126" s="10" t="s">
        <v>22</v>
      </c>
      <c r="K126" s="10" t="s">
        <v>495</v>
      </c>
      <c r="L126" s="12"/>
      <c r="M126" s="12"/>
      <c r="N126" s="14" t="s">
        <v>471</v>
      </c>
      <c r="O126" s="29" t="str">
        <f>VLOOKUP(A126,'[1]05-06-26'!$A$2:$T$136,20,0)</f>
        <v>P n Y Spray Daisy ( 14 Inch ) 7     FF Sachet + Grass</v>
      </c>
      <c r="P126" s="29" t="str">
        <f>VLOOKUP(A126,'[1]12-06-26'!$A$2:$T$115,20,0)</f>
        <v>Pur n P Car ( 14 Inch ) 22     FF Sachet + Grass</v>
      </c>
      <c r="Q126" s="29" t="str">
        <f>VLOOKUP(A126,'[1]19-06-26'!$A$2:$T$113,20,0)</f>
        <v>P Asiatic ( 14 Inch ) 4     Grass</v>
      </c>
      <c r="R126" s="29" t="str">
        <f>VLOOKUP(A126,'[1]26-06-26'!$A$2:$T$121,20,0)</f>
        <v>P n W Glad ( 14 Inch ) 22     Grass</v>
      </c>
      <c r="S126" s="29" t="str">
        <f>VLOOKUP(A126,'[2]03-07-26'!$A$2:$T$124,20,0)</f>
        <v>Sunflower ( 12 Inch ) 5     FF Sachet + Grass</v>
      </c>
      <c r="T126" s="29" t="s">
        <v>545</v>
      </c>
      <c r="U126" s="29">
        <v>7</v>
      </c>
      <c r="V126" s="29"/>
      <c r="W126" s="29"/>
      <c r="X126" s="29"/>
      <c r="Y126" s="29"/>
      <c r="Z126" s="29" t="s">
        <v>536</v>
      </c>
      <c r="AA126" s="29"/>
      <c r="AB126" s="29"/>
      <c r="AC126" s="29"/>
      <c r="AD126" s="29"/>
    </row>
    <row r="127" spans="1:30" ht="111.8" x14ac:dyDescent="0.3">
      <c r="A127" s="1">
        <v>3229</v>
      </c>
      <c r="B127" s="8" t="s">
        <v>532</v>
      </c>
      <c r="C127" s="12">
        <v>9766249975</v>
      </c>
      <c r="D127" s="10" t="s">
        <v>533</v>
      </c>
      <c r="E127" s="10" t="s">
        <v>21</v>
      </c>
      <c r="F127" s="10" t="s">
        <v>15</v>
      </c>
      <c r="G127" s="10" t="s">
        <v>109</v>
      </c>
      <c r="H127" s="12">
        <v>1450</v>
      </c>
      <c r="I127" s="12">
        <v>362.5</v>
      </c>
      <c r="J127" s="10" t="s">
        <v>30</v>
      </c>
      <c r="K127" s="10" t="s">
        <v>534</v>
      </c>
      <c r="L127" s="12"/>
      <c r="M127" s="12"/>
      <c r="N127" s="14" t="s">
        <v>33</v>
      </c>
      <c r="O127" s="29" t="e">
        <f>VLOOKUP(A127,'[1]05-06-26'!$A$2:$T$136,20,0)</f>
        <v>#N/A</v>
      </c>
      <c r="P127" s="29" t="e">
        <f>VLOOKUP(A127,'[1]12-06-26'!$A$2:$T$115,20,0)</f>
        <v>#N/A</v>
      </c>
      <c r="Q127" s="29" t="e">
        <f>VLOOKUP(A127,'[1]19-06-26'!$A$2:$T$113,20,0)</f>
        <v>#N/A</v>
      </c>
      <c r="R127" s="29" t="e">
        <f>VLOOKUP(A127,'[1]26-06-26'!$A$2:$T$121,20,0)</f>
        <v>#N/A</v>
      </c>
      <c r="S127" s="29" t="e">
        <f>VLOOKUP(A127,'[2]03-07-26'!$A$2:$T$124,20,0)</f>
        <v>#N/A</v>
      </c>
      <c r="T127" s="29" t="s">
        <v>525</v>
      </c>
      <c r="U127" s="29">
        <v>16</v>
      </c>
      <c r="V127" s="29"/>
      <c r="W127" s="29"/>
      <c r="X127" s="29"/>
      <c r="Y127" s="29"/>
      <c r="Z127" s="29" t="s">
        <v>536</v>
      </c>
      <c r="AA127" s="29"/>
      <c r="AB127" s="29"/>
      <c r="AC127" s="29"/>
      <c r="AD127" s="29"/>
    </row>
  </sheetData>
  <autoFilter ref="A1:AD127" xr:uid="{6D85C87A-6651-4FF8-A670-91084A0A1980}"/>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334F20-62EE-4010-B746-E7426015DC69}">
  <dimension ref="A1:R60"/>
  <sheetViews>
    <sheetView workbookViewId="0">
      <pane xSplit="1" ySplit="1" topLeftCell="B27" activePane="bottomRight" state="frozen"/>
      <selection pane="topRight" activeCell="B1" sqref="B1"/>
      <selection pane="bottomLeft" activeCell="A2" sqref="A2"/>
      <selection pane="bottomRight" activeCell="L42" sqref="L42"/>
    </sheetView>
  </sheetViews>
  <sheetFormatPr defaultRowHeight="14" x14ac:dyDescent="0.3"/>
  <sheetData>
    <row r="1" spans="1:18" ht="40.299999999999997" x14ac:dyDescent="0.3">
      <c r="A1" s="31"/>
      <c r="B1" s="31" t="s">
        <v>18</v>
      </c>
      <c r="C1" s="32" t="s">
        <v>553</v>
      </c>
      <c r="D1" s="32" t="s">
        <v>554</v>
      </c>
      <c r="E1" s="32" t="s">
        <v>55</v>
      </c>
      <c r="F1" s="32" t="s">
        <v>386</v>
      </c>
      <c r="G1" s="32" t="s">
        <v>345</v>
      </c>
      <c r="H1" s="32" t="s">
        <v>286</v>
      </c>
      <c r="I1" s="32" t="s">
        <v>555</v>
      </c>
      <c r="J1" s="32" t="s">
        <v>39</v>
      </c>
      <c r="K1" s="32" t="s">
        <v>556</v>
      </c>
      <c r="L1" s="33" t="s">
        <v>557</v>
      </c>
      <c r="M1" s="33" t="s">
        <v>558</v>
      </c>
      <c r="N1" s="33" t="s">
        <v>271</v>
      </c>
      <c r="O1" s="34"/>
      <c r="P1" s="35" t="s">
        <v>559</v>
      </c>
      <c r="Q1" s="35" t="s">
        <v>560</v>
      </c>
      <c r="R1" s="34"/>
    </row>
    <row r="2" spans="1:18" x14ac:dyDescent="0.3">
      <c r="A2" s="36">
        <v>999</v>
      </c>
      <c r="B2" s="37"/>
      <c r="C2" s="37"/>
      <c r="D2" s="37"/>
      <c r="E2" s="37"/>
      <c r="F2" s="37"/>
      <c r="G2" s="37"/>
      <c r="H2" s="37"/>
      <c r="I2" s="37">
        <v>3</v>
      </c>
      <c r="J2" s="37"/>
      <c r="K2" s="37"/>
      <c r="L2" s="37"/>
      <c r="M2" s="37"/>
      <c r="N2" s="37"/>
      <c r="O2" s="38">
        <f t="shared" ref="O2:O7" si="0">SUM(B2:N2)</f>
        <v>3</v>
      </c>
      <c r="P2" s="38">
        <f>(O2*A2)/4</f>
        <v>749.25</v>
      </c>
      <c r="Q2" s="38"/>
      <c r="R2" s="38"/>
    </row>
    <row r="3" spans="1:18" x14ac:dyDescent="0.3">
      <c r="A3" s="36">
        <v>1450</v>
      </c>
      <c r="B3" s="37">
        <v>16</v>
      </c>
      <c r="C3" s="37">
        <v>7.5</v>
      </c>
      <c r="D3" s="37">
        <v>2.5</v>
      </c>
      <c r="E3" s="37">
        <v>5.5</v>
      </c>
      <c r="F3" s="37"/>
      <c r="G3" s="37">
        <v>4.5</v>
      </c>
      <c r="H3" s="37"/>
      <c r="I3" s="37">
        <v>16.5</v>
      </c>
      <c r="J3" s="39"/>
      <c r="K3" s="39">
        <v>14.5</v>
      </c>
      <c r="L3" s="37"/>
      <c r="M3" s="37"/>
      <c r="N3" s="37"/>
      <c r="O3" s="38">
        <f t="shared" si="0"/>
        <v>67</v>
      </c>
      <c r="P3" s="38">
        <f>(O3*A3)/4</f>
        <v>24287.5</v>
      </c>
      <c r="Q3" s="38"/>
      <c r="R3" s="38"/>
    </row>
    <row r="4" spans="1:18" x14ac:dyDescent="0.3">
      <c r="A4" s="36">
        <v>1950</v>
      </c>
      <c r="B4" s="37">
        <v>2.5</v>
      </c>
      <c r="C4" s="37">
        <v>5.5</v>
      </c>
      <c r="D4" s="37">
        <v>2.5</v>
      </c>
      <c r="E4" s="37"/>
      <c r="F4" s="37"/>
      <c r="G4" s="37">
        <v>2.5</v>
      </c>
      <c r="H4" s="37"/>
      <c r="I4" s="37">
        <v>3</v>
      </c>
      <c r="J4" s="37">
        <v>1</v>
      </c>
      <c r="K4" s="37">
        <v>4</v>
      </c>
      <c r="L4" s="37"/>
      <c r="M4" s="37"/>
      <c r="N4" s="37"/>
      <c r="O4" s="38">
        <f t="shared" si="0"/>
        <v>21</v>
      </c>
      <c r="P4" s="38">
        <f>(O4*A4)/4</f>
        <v>10237.5</v>
      </c>
      <c r="Q4" s="38"/>
      <c r="R4" s="38"/>
    </row>
    <row r="5" spans="1:18" x14ac:dyDescent="0.3">
      <c r="A5" s="36">
        <v>2750</v>
      </c>
      <c r="B5" s="37">
        <v>1.5</v>
      </c>
      <c r="C5" s="37">
        <v>1.5</v>
      </c>
      <c r="D5" s="37">
        <v>0.5</v>
      </c>
      <c r="E5" s="37"/>
      <c r="F5" s="37"/>
      <c r="G5" s="37"/>
      <c r="H5" s="37"/>
      <c r="I5" s="40">
        <v>0.5</v>
      </c>
      <c r="J5" s="40"/>
      <c r="K5" s="40">
        <v>1.5</v>
      </c>
      <c r="L5" s="40"/>
      <c r="M5" s="37"/>
      <c r="N5" s="37"/>
      <c r="O5" s="38">
        <f t="shared" si="0"/>
        <v>5.5</v>
      </c>
      <c r="P5" s="38">
        <f>(O5*A5)/4</f>
        <v>3781.25</v>
      </c>
      <c r="Q5" s="38"/>
      <c r="R5" s="38"/>
    </row>
    <row r="6" spans="1:18" x14ac:dyDescent="0.3">
      <c r="A6" s="36">
        <v>4750</v>
      </c>
      <c r="B6" s="37">
        <v>0.25</v>
      </c>
      <c r="C6" s="37"/>
      <c r="D6" s="37">
        <v>0.25</v>
      </c>
      <c r="E6" s="37">
        <v>0.5</v>
      </c>
      <c r="F6" s="37"/>
      <c r="G6" s="37"/>
      <c r="H6" s="37"/>
      <c r="I6" s="37"/>
      <c r="J6" s="37"/>
      <c r="K6" s="37"/>
      <c r="L6" s="37"/>
      <c r="M6" s="37"/>
      <c r="N6" s="37"/>
      <c r="O6" s="38">
        <f t="shared" si="0"/>
        <v>1</v>
      </c>
      <c r="P6" s="38">
        <f>(O6*A6)/4</f>
        <v>1187.5</v>
      </c>
      <c r="Q6" s="38"/>
      <c r="R6" s="38"/>
    </row>
    <row r="7" spans="1:18" x14ac:dyDescent="0.3">
      <c r="A7" s="31" t="s">
        <v>561</v>
      </c>
      <c r="B7" s="41">
        <f t="shared" ref="B7:N7" si="1">SUM(B2:B6)</f>
        <v>20.25</v>
      </c>
      <c r="C7" s="41">
        <f t="shared" si="1"/>
        <v>14.5</v>
      </c>
      <c r="D7" s="41">
        <f t="shared" si="1"/>
        <v>5.75</v>
      </c>
      <c r="E7" s="41">
        <f t="shared" si="1"/>
        <v>6</v>
      </c>
      <c r="F7" s="41">
        <f t="shared" si="1"/>
        <v>0</v>
      </c>
      <c r="G7" s="41">
        <f t="shared" si="1"/>
        <v>7</v>
      </c>
      <c r="H7" s="41">
        <f t="shared" si="1"/>
        <v>0</v>
      </c>
      <c r="I7" s="41">
        <f t="shared" si="1"/>
        <v>23</v>
      </c>
      <c r="J7" s="41">
        <f t="shared" si="1"/>
        <v>1</v>
      </c>
      <c r="K7" s="41">
        <f t="shared" si="1"/>
        <v>20</v>
      </c>
      <c r="L7" s="41">
        <f t="shared" si="1"/>
        <v>0</v>
      </c>
      <c r="M7" s="41">
        <f t="shared" si="1"/>
        <v>0</v>
      </c>
      <c r="N7" s="41">
        <f t="shared" si="1"/>
        <v>0</v>
      </c>
      <c r="O7" s="38">
        <f t="shared" si="0"/>
        <v>97.5</v>
      </c>
      <c r="P7" s="42">
        <f>SUM(P2:P6)</f>
        <v>40243</v>
      </c>
      <c r="Q7" s="42">
        <f>P7</f>
        <v>40243</v>
      </c>
      <c r="R7" s="38"/>
    </row>
    <row r="8" spans="1:18" ht="27.95" x14ac:dyDescent="0.3">
      <c r="A8" s="36" t="s">
        <v>562</v>
      </c>
      <c r="B8" s="37">
        <v>22</v>
      </c>
      <c r="C8" s="37">
        <v>10</v>
      </c>
      <c r="D8" s="37">
        <v>10</v>
      </c>
      <c r="E8" s="37">
        <v>5</v>
      </c>
      <c r="F8" s="37">
        <v>10</v>
      </c>
      <c r="G8" s="37">
        <v>20</v>
      </c>
      <c r="H8" s="37">
        <v>20</v>
      </c>
      <c r="I8" s="37">
        <v>20</v>
      </c>
      <c r="J8" s="37">
        <v>10</v>
      </c>
      <c r="K8" s="37">
        <v>10</v>
      </c>
      <c r="L8" s="37">
        <v>10</v>
      </c>
      <c r="M8" s="37">
        <v>1</v>
      </c>
      <c r="N8" s="37">
        <v>10</v>
      </c>
      <c r="O8" s="38"/>
      <c r="P8" s="38"/>
      <c r="Q8" s="38"/>
      <c r="R8" s="38"/>
    </row>
    <row r="9" spans="1:18" ht="27.95" x14ac:dyDescent="0.3">
      <c r="A9" s="31" t="s">
        <v>563</v>
      </c>
      <c r="B9" s="33">
        <v>125</v>
      </c>
      <c r="C9" s="33">
        <v>550</v>
      </c>
      <c r="D9" s="33">
        <v>160</v>
      </c>
      <c r="E9" s="33">
        <v>125</v>
      </c>
      <c r="F9" s="33">
        <v>150</v>
      </c>
      <c r="G9" s="33">
        <v>300</v>
      </c>
      <c r="H9" s="33">
        <v>375</v>
      </c>
      <c r="I9" s="33">
        <v>250</v>
      </c>
      <c r="J9" s="33">
        <v>425</v>
      </c>
      <c r="K9" s="33">
        <v>750</v>
      </c>
      <c r="L9" s="33">
        <v>1500</v>
      </c>
      <c r="M9" s="33">
        <v>120</v>
      </c>
      <c r="N9" s="33">
        <v>1000</v>
      </c>
      <c r="O9" s="38"/>
      <c r="P9" s="38"/>
      <c r="Q9" s="38"/>
      <c r="R9" s="38"/>
    </row>
    <row r="10" spans="1:18" x14ac:dyDescent="0.3">
      <c r="A10" s="36">
        <v>999</v>
      </c>
      <c r="B10" s="37">
        <f>B2*9</f>
        <v>0</v>
      </c>
      <c r="C10" s="37">
        <f>C2*3</f>
        <v>0</v>
      </c>
      <c r="D10" s="37">
        <f>D2*9</f>
        <v>0</v>
      </c>
      <c r="E10" s="37">
        <f>E2*2</f>
        <v>0</v>
      </c>
      <c r="F10" s="37">
        <f>F2*9</f>
        <v>0</v>
      </c>
      <c r="G10" s="37">
        <f>G2*9</f>
        <v>0</v>
      </c>
      <c r="H10" s="37">
        <f>H2*9</f>
        <v>0</v>
      </c>
      <c r="I10" s="37">
        <f>I2*9</f>
        <v>27</v>
      </c>
      <c r="J10" s="39">
        <f>J2*3</f>
        <v>0</v>
      </c>
      <c r="K10" s="39">
        <f>K2*2</f>
        <v>0</v>
      </c>
      <c r="L10" s="39">
        <f>L3*0</f>
        <v>0</v>
      </c>
      <c r="M10" s="37">
        <f>M2*2</f>
        <v>0</v>
      </c>
      <c r="N10" s="37">
        <f>N2*2</f>
        <v>0</v>
      </c>
      <c r="O10" s="38">
        <f t="shared" ref="O10:O21" si="2">B10*($B$9/$B$8)+C10*($C$9/$C$8)+D10*($D$9/$D$8)+E10*($E$9/$E$8)+F10*($F$9/$F$8)+G10*($G$9/$G$8)+H10*($H$9/$H$8)+I10*($I$9/$I$8)+J10*($J$9/$J$8)+K10*($K$9/$K$8)+L10*($L$9/$L$8)+M10*($M$9/$M$8)+N10*($N$9/$N$8)</f>
        <v>337.5</v>
      </c>
      <c r="P10" s="38">
        <f>O2*(A2/4)</f>
        <v>749.25</v>
      </c>
      <c r="Q10" s="38"/>
      <c r="R10" s="38">
        <f>P10-O10</f>
        <v>411.75</v>
      </c>
    </row>
    <row r="11" spans="1:18" x14ac:dyDescent="0.3">
      <c r="A11" s="36">
        <v>1250</v>
      </c>
      <c r="B11" s="37">
        <f>B3*16</f>
        <v>256</v>
      </c>
      <c r="C11" s="37">
        <f>C3*6</f>
        <v>45</v>
      </c>
      <c r="D11" s="37">
        <f>D3*16</f>
        <v>40</v>
      </c>
      <c r="E11" s="37">
        <f>E3*4</f>
        <v>22</v>
      </c>
      <c r="F11" s="39">
        <f>F3*16</f>
        <v>0</v>
      </c>
      <c r="G11" s="39">
        <f>G3*16</f>
        <v>72</v>
      </c>
      <c r="H11" s="39">
        <f>H3*16</f>
        <v>0</v>
      </c>
      <c r="I11" s="39">
        <f>I3*16</f>
        <v>264</v>
      </c>
      <c r="J11" s="39">
        <f>J3*6</f>
        <v>0</v>
      </c>
      <c r="K11" s="37">
        <f>K3*3.25</f>
        <v>47.125</v>
      </c>
      <c r="L11" s="37">
        <f>L3*2</f>
        <v>0</v>
      </c>
      <c r="M11" s="37">
        <f>M3*4</f>
        <v>0</v>
      </c>
      <c r="N11" s="37">
        <f>N3*3.5</f>
        <v>0</v>
      </c>
      <c r="O11" s="38">
        <f t="shared" si="2"/>
        <v>13033.920454545454</v>
      </c>
      <c r="P11" s="38">
        <f>O3*(A3/4)</f>
        <v>24287.5</v>
      </c>
      <c r="Q11" s="38"/>
      <c r="R11" s="38">
        <f>P11-O11</f>
        <v>11253.579545454546</v>
      </c>
    </row>
    <row r="12" spans="1:18" x14ac:dyDescent="0.3">
      <c r="A12" s="36">
        <v>1700</v>
      </c>
      <c r="B12" s="37">
        <f>B4*22</f>
        <v>55</v>
      </c>
      <c r="C12" s="37">
        <f>C4*8</f>
        <v>44</v>
      </c>
      <c r="D12" s="37">
        <f>D4*22</f>
        <v>55</v>
      </c>
      <c r="E12" s="37">
        <f>E4*6</f>
        <v>0</v>
      </c>
      <c r="F12" s="39">
        <f>F4*22</f>
        <v>0</v>
      </c>
      <c r="G12" s="39">
        <f>G4*22</f>
        <v>55</v>
      </c>
      <c r="H12" s="39">
        <f>H4*22</f>
        <v>0</v>
      </c>
      <c r="I12" s="39">
        <f>I4*22</f>
        <v>66</v>
      </c>
      <c r="J12" s="39">
        <f>J4*8</f>
        <v>8</v>
      </c>
      <c r="K12" s="37">
        <f>K4*4</f>
        <v>16</v>
      </c>
      <c r="L12" s="37">
        <f>L4*3</f>
        <v>0</v>
      </c>
      <c r="M12" s="37">
        <f>M4*4</f>
        <v>0</v>
      </c>
      <c r="N12" s="37">
        <f>N4*5</f>
        <v>0</v>
      </c>
      <c r="O12" s="38">
        <f t="shared" si="2"/>
        <v>6802.5</v>
      </c>
      <c r="P12" s="38">
        <f>O4*(A4/4)</f>
        <v>10237.5</v>
      </c>
      <c r="Q12" s="38"/>
      <c r="R12" s="38">
        <f>P12-O12</f>
        <v>3435</v>
      </c>
    </row>
    <row r="13" spans="1:18" x14ac:dyDescent="0.3">
      <c r="A13" s="36">
        <v>2450</v>
      </c>
      <c r="B13" s="37">
        <f>B5*32</f>
        <v>48</v>
      </c>
      <c r="C13" s="37">
        <f>C5*10</f>
        <v>15</v>
      </c>
      <c r="D13" s="37">
        <f>D5*32</f>
        <v>16</v>
      </c>
      <c r="E13" s="37">
        <f>E5*8</f>
        <v>0</v>
      </c>
      <c r="F13" s="37">
        <f>F5*32</f>
        <v>0</v>
      </c>
      <c r="G13" s="37">
        <f>G5*32</f>
        <v>0</v>
      </c>
      <c r="H13" s="37">
        <f>H5*32</f>
        <v>0</v>
      </c>
      <c r="I13" s="39">
        <f>I5*32</f>
        <v>16</v>
      </c>
      <c r="J13" s="43">
        <f>J5*10</f>
        <v>0</v>
      </c>
      <c r="K13" s="37">
        <f>K5*8</f>
        <v>12</v>
      </c>
      <c r="L13" s="37">
        <f>L5*4</f>
        <v>0</v>
      </c>
      <c r="M13" s="37">
        <f>M5*6</f>
        <v>0</v>
      </c>
      <c r="N13" s="37">
        <f>N5*8</f>
        <v>0</v>
      </c>
      <c r="O13" s="38">
        <f t="shared" si="2"/>
        <v>2453.727272727273</v>
      </c>
      <c r="P13" s="38">
        <f>O5*(A5/4)</f>
        <v>3781.25</v>
      </c>
      <c r="Q13" s="38"/>
      <c r="R13" s="38">
        <f>P13-O13</f>
        <v>1327.522727272727</v>
      </c>
    </row>
    <row r="14" spans="1:18" x14ac:dyDescent="0.3">
      <c r="A14" s="36">
        <v>4400</v>
      </c>
      <c r="B14" s="37">
        <f>B6*60</f>
        <v>15</v>
      </c>
      <c r="C14" s="37">
        <f>C6*20</f>
        <v>0</v>
      </c>
      <c r="D14" s="37">
        <f t="shared" ref="D14:I14" si="3">D6*60</f>
        <v>15</v>
      </c>
      <c r="E14" s="37">
        <f>E6*14</f>
        <v>7</v>
      </c>
      <c r="F14" s="39">
        <f>F6*60</f>
        <v>0</v>
      </c>
      <c r="G14" s="39">
        <f t="shared" si="3"/>
        <v>0</v>
      </c>
      <c r="H14" s="39">
        <f t="shared" si="3"/>
        <v>0</v>
      </c>
      <c r="I14" s="39">
        <f t="shared" si="3"/>
        <v>0</v>
      </c>
      <c r="J14" s="39">
        <f>J6*22</f>
        <v>0</v>
      </c>
      <c r="K14" s="37">
        <f>K6*12</f>
        <v>0</v>
      </c>
      <c r="L14" s="37">
        <f>L6*8</f>
        <v>0</v>
      </c>
      <c r="M14" s="37">
        <f>M6*12</f>
        <v>0</v>
      </c>
      <c r="N14" s="37">
        <f>N6*12</f>
        <v>0</v>
      </c>
      <c r="O14" s="38">
        <f t="shared" si="2"/>
        <v>500.22727272727275</v>
      </c>
      <c r="P14" s="38">
        <f>O6*(A6/4)</f>
        <v>1187.5</v>
      </c>
      <c r="Q14" s="38"/>
      <c r="R14" s="38">
        <f>P14-O14</f>
        <v>687.27272727272725</v>
      </c>
    </row>
    <row r="15" spans="1:18" x14ac:dyDescent="0.3">
      <c r="A15" s="44" t="s">
        <v>422</v>
      </c>
      <c r="B15" s="45"/>
      <c r="C15" s="45">
        <v>10</v>
      </c>
      <c r="D15" s="45"/>
      <c r="E15" s="45">
        <v>4</v>
      </c>
      <c r="F15" s="45"/>
      <c r="G15" s="45"/>
      <c r="H15" s="45">
        <v>40</v>
      </c>
      <c r="I15" s="45">
        <v>30</v>
      </c>
      <c r="J15" s="45">
        <v>20</v>
      </c>
      <c r="K15" s="45"/>
      <c r="L15" s="45">
        <v>5</v>
      </c>
      <c r="M15" s="45">
        <v>8</v>
      </c>
      <c r="N15" s="37"/>
      <c r="O15" s="38">
        <f t="shared" si="2"/>
        <v>4335</v>
      </c>
      <c r="P15" s="38"/>
      <c r="Q15" s="38">
        <v>12900</v>
      </c>
      <c r="R15" s="38">
        <f>SUM(R10:R14)</f>
        <v>17115.125</v>
      </c>
    </row>
    <row r="16" spans="1:18" ht="27.95" x14ac:dyDescent="0.3">
      <c r="A16" s="46" t="s">
        <v>564</v>
      </c>
      <c r="B16" s="45">
        <v>82</v>
      </c>
      <c r="C16" s="45"/>
      <c r="D16" s="45">
        <v>20</v>
      </c>
      <c r="E16" s="45">
        <v>2</v>
      </c>
      <c r="F16" s="45">
        <v>12</v>
      </c>
      <c r="G16" s="45">
        <v>46</v>
      </c>
      <c r="H16" s="45"/>
      <c r="I16" s="45">
        <v>53</v>
      </c>
      <c r="J16" s="45">
        <v>6</v>
      </c>
      <c r="K16" s="45">
        <v>8</v>
      </c>
      <c r="L16" s="45"/>
      <c r="M16" s="45">
        <v>3</v>
      </c>
      <c r="N16" s="45"/>
      <c r="O16" s="38">
        <f t="shared" si="2"/>
        <v>3583.409090909091</v>
      </c>
      <c r="P16" s="38"/>
      <c r="Q16" s="38">
        <v>7000</v>
      </c>
      <c r="R16" s="38"/>
    </row>
    <row r="17" spans="1:18" ht="46.75" x14ac:dyDescent="0.3">
      <c r="A17" s="47" t="s">
        <v>565</v>
      </c>
      <c r="B17" s="48"/>
      <c r="C17" s="48"/>
      <c r="D17" s="48"/>
      <c r="E17" s="48"/>
      <c r="F17" s="48"/>
      <c r="G17" s="48"/>
      <c r="H17" s="48"/>
      <c r="I17" s="48"/>
      <c r="J17" s="48"/>
      <c r="K17" s="48"/>
      <c r="L17" s="48"/>
      <c r="M17" s="48"/>
      <c r="N17" s="48"/>
      <c r="O17" s="38">
        <f t="shared" si="2"/>
        <v>0</v>
      </c>
      <c r="P17" s="38"/>
      <c r="Q17" s="49"/>
      <c r="R17" s="38"/>
    </row>
    <row r="18" spans="1:18" ht="15.6" x14ac:dyDescent="0.3">
      <c r="A18" s="47" t="s">
        <v>566</v>
      </c>
      <c r="B18" s="48"/>
      <c r="C18" s="48"/>
      <c r="D18" s="48"/>
      <c r="E18" s="48"/>
      <c r="F18" s="48"/>
      <c r="G18" s="48"/>
      <c r="H18" s="48"/>
      <c r="I18" s="48"/>
      <c r="J18" s="48"/>
      <c r="K18" s="48"/>
      <c r="L18" s="48"/>
      <c r="M18" s="48"/>
      <c r="N18" s="48"/>
      <c r="O18" s="38">
        <f t="shared" si="2"/>
        <v>0</v>
      </c>
      <c r="P18" s="38"/>
      <c r="Q18" s="49"/>
      <c r="R18" s="38"/>
    </row>
    <row r="19" spans="1:18" ht="46.75" x14ac:dyDescent="0.3">
      <c r="A19" s="50" t="s">
        <v>567</v>
      </c>
      <c r="B19" s="48"/>
      <c r="C19" s="48"/>
      <c r="D19" s="48">
        <v>40</v>
      </c>
      <c r="E19" s="48">
        <v>15</v>
      </c>
      <c r="F19" s="48"/>
      <c r="G19" s="48">
        <v>20</v>
      </c>
      <c r="H19" s="48"/>
      <c r="I19" s="48"/>
      <c r="J19" s="48"/>
      <c r="K19" s="48">
        <v>8</v>
      </c>
      <c r="L19" s="48">
        <v>3</v>
      </c>
      <c r="M19" s="48"/>
      <c r="N19" s="48"/>
      <c r="O19" s="38">
        <f t="shared" si="2"/>
        <v>2365</v>
      </c>
      <c r="P19" s="38"/>
      <c r="Q19" s="49">
        <v>4200</v>
      </c>
      <c r="R19" s="38"/>
    </row>
    <row r="20" spans="1:18" ht="27.95" x14ac:dyDescent="0.3">
      <c r="A20" s="51" t="s">
        <v>568</v>
      </c>
      <c r="B20" s="52">
        <v>50</v>
      </c>
      <c r="C20" s="52"/>
      <c r="D20" s="52"/>
      <c r="E20" s="52">
        <v>20</v>
      </c>
      <c r="F20" s="52"/>
      <c r="G20" s="52"/>
      <c r="H20" s="52">
        <v>40</v>
      </c>
      <c r="I20" s="52">
        <v>80</v>
      </c>
      <c r="J20" s="52"/>
      <c r="K20" s="52">
        <v>12</v>
      </c>
      <c r="L20" s="52">
        <v>8</v>
      </c>
      <c r="M20" s="52"/>
      <c r="N20" s="52">
        <v>10</v>
      </c>
      <c r="O20" s="38">
        <f t="shared" si="2"/>
        <v>5634.090909090909</v>
      </c>
      <c r="P20" s="38"/>
      <c r="Q20" s="38">
        <v>20000</v>
      </c>
      <c r="R20" s="38"/>
    </row>
    <row r="21" spans="1:18" x14ac:dyDescent="0.3">
      <c r="A21" s="53" t="s">
        <v>566</v>
      </c>
      <c r="B21" s="52"/>
      <c r="C21" s="52"/>
      <c r="D21" s="52"/>
      <c r="E21" s="52"/>
      <c r="F21" s="52"/>
      <c r="G21" s="52"/>
      <c r="H21" s="52"/>
      <c r="I21" s="52"/>
      <c r="J21" s="52"/>
      <c r="K21" s="52"/>
      <c r="L21" s="52"/>
      <c r="M21" s="52"/>
      <c r="N21" s="52"/>
      <c r="O21" s="38">
        <f t="shared" si="2"/>
        <v>0</v>
      </c>
      <c r="P21" s="38"/>
      <c r="Q21" s="38"/>
      <c r="R21" s="38"/>
    </row>
    <row r="22" spans="1:18" x14ac:dyDescent="0.3">
      <c r="A22" s="36" t="s">
        <v>561</v>
      </c>
      <c r="B22" s="37">
        <f>SUM(B10:B21)</f>
        <v>506</v>
      </c>
      <c r="C22" s="37">
        <f t="shared" ref="C22:N22" si="4">SUM(C10:C21)</f>
        <v>114</v>
      </c>
      <c r="D22" s="37">
        <f t="shared" si="4"/>
        <v>186</v>
      </c>
      <c r="E22" s="37">
        <f t="shared" si="4"/>
        <v>70</v>
      </c>
      <c r="F22" s="37">
        <f t="shared" si="4"/>
        <v>12</v>
      </c>
      <c r="G22" s="37">
        <f t="shared" si="4"/>
        <v>193</v>
      </c>
      <c r="H22" s="37">
        <f t="shared" si="4"/>
        <v>80</v>
      </c>
      <c r="I22" s="37">
        <f t="shared" si="4"/>
        <v>536</v>
      </c>
      <c r="J22" s="37">
        <f t="shared" si="4"/>
        <v>34</v>
      </c>
      <c r="K22" s="37">
        <f t="shared" si="4"/>
        <v>103.125</v>
      </c>
      <c r="L22" s="37">
        <f t="shared" si="4"/>
        <v>16</v>
      </c>
      <c r="M22" s="37">
        <f t="shared" si="4"/>
        <v>11</v>
      </c>
      <c r="N22" s="37">
        <f t="shared" si="4"/>
        <v>10</v>
      </c>
      <c r="O22" s="38"/>
      <c r="P22" s="38"/>
      <c r="Q22" s="38"/>
      <c r="R22" s="38"/>
    </row>
    <row r="23" spans="1:18" ht="27.95" x14ac:dyDescent="0.3">
      <c r="A23" s="36" t="s">
        <v>569</v>
      </c>
      <c r="B23" s="37"/>
      <c r="C23" s="37">
        <v>20</v>
      </c>
      <c r="D23" s="37">
        <v>20</v>
      </c>
      <c r="E23" s="37"/>
      <c r="F23" s="37"/>
      <c r="G23" s="37"/>
      <c r="H23" s="37">
        <v>40</v>
      </c>
      <c r="I23" s="37">
        <v>370</v>
      </c>
      <c r="J23" s="37"/>
      <c r="K23" s="37">
        <v>15</v>
      </c>
      <c r="L23" s="37"/>
      <c r="M23" s="37"/>
      <c r="N23" s="37">
        <v>20</v>
      </c>
      <c r="O23" s="38">
        <f>B23*($B$9/$B$8)+C23*($C$9/$C$8)+D23*($D$9/$D$8)+E23*($E$9/$E$8)+F23*($F$9/$F$8)+G23*($G$9/$G$8)+H23*($H$9/$H$8)+I23*($I$9/$I$8)+J23*($J$9/$J$8)+K23*($K$9/$K$8)+L23*($L$9/$L$8)+M23*($M$9/$M$8)+N23*($N$9/$N$8)</f>
        <v>9920</v>
      </c>
      <c r="P23" s="38"/>
      <c r="Q23" s="38"/>
      <c r="R23" s="38"/>
    </row>
    <row r="24" spans="1:18" x14ac:dyDescent="0.3">
      <c r="A24" s="31" t="s">
        <v>570</v>
      </c>
      <c r="B24" s="54">
        <f t="shared" ref="B24:N24" si="5">B22-B23</f>
        <v>506</v>
      </c>
      <c r="C24" s="54">
        <f t="shared" si="5"/>
        <v>94</v>
      </c>
      <c r="D24" s="54">
        <f t="shared" si="5"/>
        <v>166</v>
      </c>
      <c r="E24" s="54">
        <f t="shared" si="5"/>
        <v>70</v>
      </c>
      <c r="F24" s="54">
        <f t="shared" si="5"/>
        <v>12</v>
      </c>
      <c r="G24" s="54">
        <f t="shared" si="5"/>
        <v>193</v>
      </c>
      <c r="H24" s="54">
        <f t="shared" si="5"/>
        <v>40</v>
      </c>
      <c r="I24" s="54">
        <f t="shared" si="5"/>
        <v>166</v>
      </c>
      <c r="J24" s="54">
        <f t="shared" si="5"/>
        <v>34</v>
      </c>
      <c r="K24" s="54">
        <f t="shared" si="5"/>
        <v>88.125</v>
      </c>
      <c r="L24" s="54">
        <f t="shared" si="5"/>
        <v>16</v>
      </c>
      <c r="M24" s="54">
        <f>M22-M23</f>
        <v>11</v>
      </c>
      <c r="N24" s="54">
        <f t="shared" si="5"/>
        <v>-10</v>
      </c>
      <c r="O24" s="34"/>
      <c r="P24" s="34"/>
      <c r="Q24" s="34"/>
      <c r="R24" s="34"/>
    </row>
    <row r="25" spans="1:18" x14ac:dyDescent="0.3">
      <c r="A25" s="36" t="s">
        <v>571</v>
      </c>
      <c r="B25" s="55">
        <v>0.1</v>
      </c>
      <c r="C25" s="55">
        <v>0.1</v>
      </c>
      <c r="D25" s="55">
        <v>0.1</v>
      </c>
      <c r="E25" s="55">
        <v>0.1</v>
      </c>
      <c r="F25" s="55">
        <v>0.15</v>
      </c>
      <c r="G25" s="55">
        <v>0.1</v>
      </c>
      <c r="H25" s="55">
        <v>0.1</v>
      </c>
      <c r="I25" s="55">
        <v>0.1</v>
      </c>
      <c r="J25" s="55">
        <v>0.15</v>
      </c>
      <c r="K25" s="55">
        <v>0.1</v>
      </c>
      <c r="L25" s="55">
        <v>0.05</v>
      </c>
      <c r="M25" s="55">
        <v>0.1</v>
      </c>
      <c r="N25" s="55">
        <v>0.1</v>
      </c>
      <c r="O25" s="34"/>
      <c r="P25" s="34"/>
      <c r="Q25" s="34"/>
      <c r="R25" s="34"/>
    </row>
    <row r="26" spans="1:18" ht="41.95" x14ac:dyDescent="0.3">
      <c r="A26" s="36" t="s">
        <v>572</v>
      </c>
      <c r="B26" s="56">
        <f t="shared" ref="B26:N26" si="6">B24+(B24*10%)</f>
        <v>556.6</v>
      </c>
      <c r="C26" s="56">
        <f t="shared" si="6"/>
        <v>103.4</v>
      </c>
      <c r="D26" s="56">
        <f t="shared" si="6"/>
        <v>182.6</v>
      </c>
      <c r="E26" s="56">
        <f>E24+(E24*30%)</f>
        <v>91</v>
      </c>
      <c r="F26" s="56">
        <f t="shared" si="6"/>
        <v>13.2</v>
      </c>
      <c r="G26" s="56">
        <f t="shared" si="6"/>
        <v>212.3</v>
      </c>
      <c r="H26" s="56">
        <f t="shared" si="6"/>
        <v>44</v>
      </c>
      <c r="I26" s="56">
        <f t="shared" si="6"/>
        <v>182.6</v>
      </c>
      <c r="J26" s="56">
        <f>J24+(J24*15%)</f>
        <v>39.1</v>
      </c>
      <c r="K26" s="56">
        <f t="shared" si="6"/>
        <v>96.9375</v>
      </c>
      <c r="L26" s="56">
        <f t="shared" si="6"/>
        <v>17.600000000000001</v>
      </c>
      <c r="M26" s="56">
        <f t="shared" si="6"/>
        <v>12.1</v>
      </c>
      <c r="N26" s="56">
        <f t="shared" si="6"/>
        <v>-11</v>
      </c>
      <c r="O26" s="34"/>
      <c r="P26" s="34"/>
      <c r="Q26" s="34"/>
      <c r="R26" s="34"/>
    </row>
    <row r="27" spans="1:18" ht="27.95" x14ac:dyDescent="0.3">
      <c r="A27" s="36" t="s">
        <v>573</v>
      </c>
      <c r="B27" s="57">
        <f t="shared" ref="B27:N27" si="7">B26/B8</f>
        <v>25.3</v>
      </c>
      <c r="C27" s="57">
        <f t="shared" si="7"/>
        <v>10.34</v>
      </c>
      <c r="D27" s="57">
        <f t="shared" si="7"/>
        <v>18.259999999999998</v>
      </c>
      <c r="E27" s="57">
        <f t="shared" si="7"/>
        <v>18.2</v>
      </c>
      <c r="F27" s="57">
        <f t="shared" si="7"/>
        <v>1.3199999999999998</v>
      </c>
      <c r="G27" s="57">
        <f t="shared" si="7"/>
        <v>10.615</v>
      </c>
      <c r="H27" s="57">
        <f t="shared" si="7"/>
        <v>2.2000000000000002</v>
      </c>
      <c r="I27" s="57">
        <f t="shared" si="7"/>
        <v>9.129999999999999</v>
      </c>
      <c r="J27" s="57">
        <f t="shared" si="7"/>
        <v>3.91</v>
      </c>
      <c r="K27" s="57">
        <f t="shared" si="7"/>
        <v>9.6937499999999996</v>
      </c>
      <c r="L27" s="57">
        <f t="shared" si="7"/>
        <v>1.7600000000000002</v>
      </c>
      <c r="M27" s="57">
        <f t="shared" si="7"/>
        <v>12.1</v>
      </c>
      <c r="N27" s="57">
        <f t="shared" si="7"/>
        <v>-1.1000000000000001</v>
      </c>
      <c r="O27" s="34"/>
      <c r="P27" s="34"/>
      <c r="Q27" s="34"/>
      <c r="R27" s="34"/>
    </row>
    <row r="28" spans="1:18" x14ac:dyDescent="0.3">
      <c r="A28" s="31" t="s">
        <v>574</v>
      </c>
      <c r="B28" s="33">
        <v>25</v>
      </c>
      <c r="C28" s="33">
        <v>11</v>
      </c>
      <c r="D28" s="33">
        <v>20</v>
      </c>
      <c r="E28" s="33">
        <v>18</v>
      </c>
      <c r="F28" s="33">
        <v>2</v>
      </c>
      <c r="G28" s="33">
        <v>11</v>
      </c>
      <c r="H28" s="33">
        <v>4</v>
      </c>
      <c r="I28" s="33">
        <v>13</v>
      </c>
      <c r="J28" s="33">
        <v>4</v>
      </c>
      <c r="K28" s="33">
        <v>10</v>
      </c>
      <c r="L28" s="33">
        <v>2</v>
      </c>
      <c r="M28" s="33">
        <v>14</v>
      </c>
      <c r="N28" s="33"/>
      <c r="O28" s="34"/>
      <c r="P28" s="34"/>
      <c r="Q28" s="34"/>
      <c r="R28" s="34"/>
    </row>
    <row r="29" spans="1:18" x14ac:dyDescent="0.3">
      <c r="A29" s="58"/>
      <c r="B29" s="59"/>
      <c r="C29" s="59"/>
      <c r="D29" s="59"/>
      <c r="E29" s="59"/>
      <c r="F29" s="59"/>
      <c r="G29" s="59"/>
      <c r="H29" s="59">
        <v>2</v>
      </c>
      <c r="I29" s="59">
        <v>1</v>
      </c>
      <c r="J29" s="59"/>
      <c r="K29" s="59"/>
      <c r="L29" s="59"/>
      <c r="M29" s="37">
        <v>6</v>
      </c>
      <c r="N29" s="33"/>
      <c r="O29" s="34"/>
      <c r="P29" s="34"/>
      <c r="Q29" s="34"/>
      <c r="R29" s="34"/>
    </row>
    <row r="30" spans="1:18" x14ac:dyDescent="0.3">
      <c r="A30" s="60"/>
      <c r="B30" s="61"/>
      <c r="C30" s="61">
        <v>7</v>
      </c>
      <c r="D30" s="61"/>
      <c r="E30" s="61"/>
      <c r="F30" s="61">
        <v>1</v>
      </c>
      <c r="G30" s="61">
        <v>6</v>
      </c>
      <c r="H30" s="61">
        <v>2</v>
      </c>
      <c r="I30" s="61">
        <v>3</v>
      </c>
      <c r="J30" s="61"/>
      <c r="K30" s="61"/>
      <c r="L30" s="61">
        <v>1</v>
      </c>
      <c r="M30" s="37"/>
      <c r="N30" s="37"/>
      <c r="O30" s="34"/>
      <c r="P30" s="34"/>
      <c r="Q30" s="34"/>
      <c r="R30" s="34"/>
    </row>
    <row r="31" spans="1:18" x14ac:dyDescent="0.3">
      <c r="A31" s="31"/>
      <c r="B31" s="37">
        <v>25</v>
      </c>
      <c r="C31" s="62">
        <v>1</v>
      </c>
      <c r="D31" s="37"/>
      <c r="E31" s="37"/>
      <c r="F31" s="37"/>
      <c r="G31" s="37">
        <v>5</v>
      </c>
      <c r="H31" s="37"/>
      <c r="I31" s="37">
        <v>7</v>
      </c>
      <c r="J31" s="37"/>
      <c r="K31" s="37"/>
      <c r="L31" s="37">
        <v>1</v>
      </c>
      <c r="M31" s="37"/>
      <c r="N31" s="37"/>
      <c r="O31" s="34"/>
      <c r="P31" s="34"/>
      <c r="Q31" s="34"/>
      <c r="R31" s="34"/>
    </row>
    <row r="32" spans="1:18" x14ac:dyDescent="0.3">
      <c r="A32" s="53"/>
      <c r="B32" s="63"/>
      <c r="C32" s="63">
        <v>3</v>
      </c>
      <c r="D32" s="63"/>
      <c r="E32" s="63"/>
      <c r="F32" s="63">
        <v>1</v>
      </c>
      <c r="G32" s="63"/>
      <c r="H32" s="63"/>
      <c r="I32" s="63"/>
      <c r="J32" s="63">
        <v>2</v>
      </c>
      <c r="K32" s="63">
        <v>4</v>
      </c>
      <c r="L32" s="63"/>
      <c r="M32" s="37"/>
      <c r="N32" s="37"/>
      <c r="O32" s="34"/>
      <c r="P32" s="34"/>
      <c r="Q32" s="34"/>
      <c r="R32" s="34"/>
    </row>
    <row r="33" spans="1:18" x14ac:dyDescent="0.3">
      <c r="A33" s="64"/>
      <c r="B33" s="65"/>
      <c r="C33" s="65"/>
      <c r="D33" s="65"/>
      <c r="E33" s="65"/>
      <c r="F33" s="65"/>
      <c r="G33" s="65"/>
      <c r="H33" s="65"/>
      <c r="I33" s="65"/>
      <c r="J33" s="65"/>
      <c r="K33" s="65">
        <v>6</v>
      </c>
      <c r="L33" s="65"/>
      <c r="M33" s="37">
        <v>8</v>
      </c>
      <c r="N33" s="37"/>
      <c r="O33" s="34"/>
      <c r="P33" s="34"/>
      <c r="Q33" s="34"/>
      <c r="R33" s="34"/>
    </row>
    <row r="34" spans="1:18" x14ac:dyDescent="0.3">
      <c r="A34" s="66"/>
      <c r="B34" s="67"/>
      <c r="C34" s="67"/>
      <c r="D34" s="67"/>
      <c r="E34" s="67"/>
      <c r="F34" s="67"/>
      <c r="G34" s="67"/>
      <c r="H34" s="67"/>
      <c r="I34" s="67"/>
      <c r="J34" s="67"/>
      <c r="K34" s="67"/>
      <c r="L34" s="67"/>
      <c r="M34" s="37"/>
      <c r="N34" s="37"/>
      <c r="O34" s="34"/>
      <c r="P34" s="34"/>
      <c r="Q34" s="34"/>
      <c r="R34" s="34"/>
    </row>
    <row r="35" spans="1:18" x14ac:dyDescent="0.3">
      <c r="A35" s="68"/>
      <c r="B35" s="69"/>
      <c r="C35" s="69"/>
      <c r="D35" s="69"/>
      <c r="E35" s="69"/>
      <c r="F35" s="69"/>
      <c r="G35" s="69"/>
      <c r="H35" s="69"/>
      <c r="I35" s="69">
        <v>2</v>
      </c>
      <c r="J35" s="69">
        <v>2</v>
      </c>
      <c r="K35" s="69"/>
      <c r="L35" s="69"/>
      <c r="M35" s="37"/>
      <c r="N35" s="37"/>
      <c r="O35" s="34"/>
      <c r="P35" s="34"/>
      <c r="Q35" s="34"/>
      <c r="R35" s="34"/>
    </row>
    <row r="36" spans="1:18" x14ac:dyDescent="0.3">
      <c r="A36" s="31"/>
      <c r="B36" s="37"/>
      <c r="C36" s="37"/>
      <c r="D36" s="37"/>
      <c r="E36" s="37"/>
      <c r="F36" s="37"/>
      <c r="G36" s="37"/>
      <c r="H36" s="37"/>
      <c r="I36" s="37"/>
      <c r="J36" s="37"/>
      <c r="K36" s="37"/>
      <c r="L36" s="33"/>
      <c r="M36" s="33"/>
      <c r="N36" s="37"/>
      <c r="O36" s="34"/>
      <c r="P36" s="34"/>
      <c r="Q36" s="34"/>
      <c r="R36" s="34"/>
    </row>
    <row r="37" spans="1:18" ht="15.6" x14ac:dyDescent="0.3">
      <c r="A37" s="70"/>
      <c r="B37" s="71"/>
      <c r="C37" s="71"/>
      <c r="D37" s="71"/>
      <c r="E37" s="71"/>
      <c r="F37" s="71"/>
      <c r="G37" s="71"/>
      <c r="H37" s="71"/>
      <c r="I37" s="71"/>
      <c r="J37" s="71"/>
      <c r="K37" s="71"/>
      <c r="L37" s="71"/>
      <c r="M37" s="71"/>
      <c r="N37" s="71"/>
      <c r="O37" s="34"/>
      <c r="P37" s="34"/>
      <c r="Q37" s="34"/>
      <c r="R37" s="34"/>
    </row>
    <row r="38" spans="1:18" x14ac:dyDescent="0.3">
      <c r="A38" s="33" t="s">
        <v>575</v>
      </c>
      <c r="B38" s="40">
        <f t="shared" ref="B38:N38" si="8">B28*B9</f>
        <v>3125</v>
      </c>
      <c r="C38" s="40">
        <f t="shared" si="8"/>
        <v>6050</v>
      </c>
      <c r="D38" s="40">
        <f t="shared" si="8"/>
        <v>3200</v>
      </c>
      <c r="E38" s="40">
        <f t="shared" si="8"/>
        <v>2250</v>
      </c>
      <c r="F38" s="40">
        <f t="shared" si="8"/>
        <v>300</v>
      </c>
      <c r="G38" s="40">
        <f t="shared" si="8"/>
        <v>3300</v>
      </c>
      <c r="H38" s="40">
        <f t="shared" si="8"/>
        <v>1500</v>
      </c>
      <c r="I38" s="40">
        <f t="shared" si="8"/>
        <v>3250</v>
      </c>
      <c r="J38" s="40">
        <f t="shared" si="8"/>
        <v>1700</v>
      </c>
      <c r="K38" s="40">
        <f t="shared" si="8"/>
        <v>7500</v>
      </c>
      <c r="L38" s="40">
        <f t="shared" si="8"/>
        <v>3000</v>
      </c>
      <c r="M38" s="40">
        <f t="shared" si="8"/>
        <v>1680</v>
      </c>
      <c r="N38" s="40">
        <f t="shared" si="8"/>
        <v>0</v>
      </c>
      <c r="O38" s="34">
        <f>B38+C38+D38+E38+F38+G38+H38+I38+J38+K38+L38+M38+N38+Q60+ 2000</f>
        <v>44365</v>
      </c>
      <c r="P38" s="72"/>
      <c r="Q38" s="38">
        <f>SUM(Q7:Q23)</f>
        <v>84343</v>
      </c>
      <c r="R38" s="34"/>
    </row>
    <row r="39" spans="1:18" x14ac:dyDescent="0.3">
      <c r="A39" s="34"/>
      <c r="B39" s="34"/>
      <c r="C39" s="34"/>
      <c r="D39" s="34"/>
      <c r="E39" s="34"/>
      <c r="F39" s="34"/>
      <c r="G39" s="34"/>
      <c r="H39" s="34"/>
      <c r="I39" s="34"/>
      <c r="J39" s="34"/>
      <c r="K39" s="34"/>
      <c r="L39" s="34"/>
      <c r="M39" s="34"/>
      <c r="N39" s="34"/>
      <c r="O39" s="34"/>
      <c r="P39" s="73" t="s">
        <v>576</v>
      </c>
      <c r="Q39" s="73" t="s">
        <v>577</v>
      </c>
      <c r="R39" s="34"/>
    </row>
    <row r="40" spans="1:18" x14ac:dyDescent="0.3">
      <c r="A40" s="34"/>
      <c r="B40" s="34"/>
      <c r="C40" s="34"/>
      <c r="D40" s="34"/>
      <c r="E40" s="34"/>
      <c r="F40" s="34"/>
      <c r="G40" s="34"/>
      <c r="H40" s="34"/>
      <c r="I40" s="34"/>
      <c r="J40" s="34"/>
      <c r="K40" s="34"/>
      <c r="L40" s="34"/>
      <c r="M40" s="34"/>
      <c r="N40" s="34" t="s">
        <v>578</v>
      </c>
      <c r="O40" s="34">
        <f t="shared" ref="O40:O59" si="9">Q40*P40</f>
        <v>1000</v>
      </c>
      <c r="P40" s="34">
        <v>5</v>
      </c>
      <c r="Q40" s="34">
        <v>200</v>
      </c>
      <c r="R40" s="34"/>
    </row>
    <row r="41" spans="1:18" x14ac:dyDescent="0.3">
      <c r="A41" s="34"/>
      <c r="B41" s="34"/>
      <c r="C41" s="34"/>
      <c r="D41" s="34"/>
      <c r="E41" s="34"/>
      <c r="F41" s="34"/>
      <c r="G41" s="34"/>
      <c r="H41" s="34"/>
      <c r="I41" s="34"/>
      <c r="J41" s="34"/>
      <c r="K41" s="34"/>
      <c r="L41" s="34"/>
      <c r="M41" s="34"/>
      <c r="N41" s="34" t="s">
        <v>579</v>
      </c>
      <c r="O41" s="34">
        <f t="shared" si="9"/>
        <v>300</v>
      </c>
      <c r="P41" s="34">
        <v>3</v>
      </c>
      <c r="Q41" s="34">
        <v>100</v>
      </c>
      <c r="R41" s="34"/>
    </row>
    <row r="42" spans="1:18" x14ac:dyDescent="0.3">
      <c r="A42" s="34"/>
      <c r="B42" s="34"/>
      <c r="C42" s="34"/>
      <c r="D42" s="34"/>
      <c r="E42" s="34"/>
      <c r="F42" s="34"/>
      <c r="G42" s="34"/>
      <c r="H42" s="34"/>
      <c r="I42" s="34"/>
      <c r="J42" s="34"/>
      <c r="K42" s="34"/>
      <c r="L42" s="34"/>
      <c r="M42" s="34"/>
      <c r="N42" s="34" t="s">
        <v>580</v>
      </c>
      <c r="O42" s="34">
        <f t="shared" si="9"/>
        <v>0</v>
      </c>
      <c r="P42" s="34">
        <v>0</v>
      </c>
      <c r="Q42" s="34">
        <v>100</v>
      </c>
      <c r="R42" s="34"/>
    </row>
    <row r="43" spans="1:18" x14ac:dyDescent="0.3">
      <c r="A43" s="34"/>
      <c r="B43" s="34"/>
      <c r="C43" s="34"/>
      <c r="D43" s="34"/>
      <c r="E43" s="34"/>
      <c r="F43" s="34"/>
      <c r="G43" s="34"/>
      <c r="H43" s="34"/>
      <c r="I43" s="34"/>
      <c r="J43" s="34"/>
      <c r="K43" s="34"/>
      <c r="L43" s="34"/>
      <c r="M43" s="34"/>
      <c r="N43" s="34" t="s">
        <v>581</v>
      </c>
      <c r="O43" s="34">
        <f t="shared" si="9"/>
        <v>2000</v>
      </c>
      <c r="P43" s="34">
        <v>100</v>
      </c>
      <c r="Q43" s="34">
        <v>20</v>
      </c>
      <c r="R43" s="34"/>
    </row>
    <row r="44" spans="1:18" ht="27.95" x14ac:dyDescent="0.3">
      <c r="A44" s="34"/>
      <c r="B44" s="34"/>
      <c r="C44" s="34"/>
      <c r="D44" s="34"/>
      <c r="E44" s="34"/>
      <c r="F44" s="74"/>
      <c r="G44" s="34"/>
      <c r="H44" s="34"/>
      <c r="I44" s="34"/>
      <c r="J44" s="34"/>
      <c r="K44" s="34"/>
      <c r="L44" s="34"/>
      <c r="M44" s="34"/>
      <c r="N44" s="34" t="s">
        <v>582</v>
      </c>
      <c r="O44" s="34">
        <f t="shared" si="9"/>
        <v>320</v>
      </c>
      <c r="P44" s="34">
        <v>4</v>
      </c>
      <c r="Q44" s="34">
        <v>80</v>
      </c>
      <c r="R44" s="34"/>
    </row>
    <row r="45" spans="1:18" x14ac:dyDescent="0.3">
      <c r="A45" s="34"/>
      <c r="B45" s="34"/>
      <c r="C45" s="34"/>
      <c r="D45" s="34"/>
      <c r="E45" s="34"/>
      <c r="F45" s="34"/>
      <c r="G45" s="34"/>
      <c r="H45" s="34"/>
      <c r="I45" s="34"/>
      <c r="J45" s="34"/>
      <c r="K45" s="34"/>
      <c r="L45" s="34"/>
      <c r="M45" s="34"/>
      <c r="N45" s="34" t="s">
        <v>583</v>
      </c>
      <c r="O45" s="34">
        <f t="shared" si="9"/>
        <v>0</v>
      </c>
      <c r="P45" s="34">
        <v>0</v>
      </c>
      <c r="Q45" s="34">
        <v>300</v>
      </c>
      <c r="R45" s="34"/>
    </row>
    <row r="46" spans="1:18" ht="27.95" x14ac:dyDescent="0.3">
      <c r="A46" s="34"/>
      <c r="B46" s="34"/>
      <c r="C46" s="34"/>
      <c r="D46" s="34"/>
      <c r="E46" s="34"/>
      <c r="F46" s="34"/>
      <c r="G46" s="34"/>
      <c r="H46" s="34"/>
      <c r="I46" s="34"/>
      <c r="J46" s="34"/>
      <c r="K46" s="34"/>
      <c r="L46" s="34"/>
      <c r="M46" s="34"/>
      <c r="N46" s="34" t="s">
        <v>584</v>
      </c>
      <c r="O46" s="34">
        <f t="shared" si="9"/>
        <v>0</v>
      </c>
      <c r="P46" s="34">
        <v>0</v>
      </c>
      <c r="Q46" s="34">
        <v>250</v>
      </c>
      <c r="R46" s="34"/>
    </row>
    <row r="47" spans="1:18" x14ac:dyDescent="0.3">
      <c r="A47" s="34"/>
      <c r="B47" s="34"/>
      <c r="C47" s="34"/>
      <c r="D47" s="34"/>
      <c r="E47" s="34"/>
      <c r="F47" s="34"/>
      <c r="G47" s="34"/>
      <c r="H47" s="34"/>
      <c r="I47" s="34"/>
      <c r="J47" s="34"/>
      <c r="K47" s="34"/>
      <c r="L47" s="34"/>
      <c r="M47" s="34"/>
      <c r="N47" s="34" t="s">
        <v>585</v>
      </c>
      <c r="O47" s="34">
        <f t="shared" si="9"/>
        <v>300</v>
      </c>
      <c r="P47" s="34">
        <v>3</v>
      </c>
      <c r="Q47" s="34">
        <v>100</v>
      </c>
      <c r="R47" s="34"/>
    </row>
    <row r="48" spans="1:18" ht="27.95" x14ac:dyDescent="0.3">
      <c r="A48" s="34"/>
      <c r="B48" s="34"/>
      <c r="C48" s="34"/>
      <c r="D48" s="34"/>
      <c r="E48" s="34"/>
      <c r="F48" s="34"/>
      <c r="G48" s="34"/>
      <c r="H48" s="34"/>
      <c r="I48" s="34"/>
      <c r="J48" s="34"/>
      <c r="K48" s="34"/>
      <c r="L48" s="34"/>
      <c r="M48" s="34"/>
      <c r="N48" s="34" t="s">
        <v>586</v>
      </c>
      <c r="O48" s="34">
        <f t="shared" si="9"/>
        <v>600</v>
      </c>
      <c r="P48" s="34">
        <v>2</v>
      </c>
      <c r="Q48" s="34">
        <v>300</v>
      </c>
      <c r="R48" s="34"/>
    </row>
    <row r="49" spans="1:18" x14ac:dyDescent="0.3">
      <c r="A49" s="34"/>
      <c r="B49" s="34"/>
      <c r="C49" s="34"/>
      <c r="D49" s="34"/>
      <c r="E49" s="34"/>
      <c r="F49" s="34"/>
      <c r="G49" s="34"/>
      <c r="H49" s="34"/>
      <c r="I49" s="34"/>
      <c r="J49" s="34"/>
      <c r="K49" s="34"/>
      <c r="L49" s="34"/>
      <c r="M49" s="34"/>
      <c r="N49" s="34" t="s">
        <v>587</v>
      </c>
      <c r="O49" s="34">
        <f t="shared" si="9"/>
        <v>0</v>
      </c>
      <c r="P49" s="34">
        <v>0</v>
      </c>
      <c r="Q49" s="34">
        <v>700</v>
      </c>
      <c r="R49" s="34"/>
    </row>
    <row r="50" spans="1:18" x14ac:dyDescent="0.3">
      <c r="A50" s="34"/>
      <c r="B50" s="34"/>
      <c r="C50" s="34"/>
      <c r="D50" s="34"/>
      <c r="E50" s="34"/>
      <c r="F50" s="34"/>
      <c r="G50" s="34"/>
      <c r="H50" s="34"/>
      <c r="I50" s="34"/>
      <c r="J50" s="34"/>
      <c r="K50" s="34"/>
      <c r="L50" s="34"/>
      <c r="M50" s="34"/>
      <c r="N50" s="34" t="s">
        <v>588</v>
      </c>
      <c r="O50" s="34">
        <f t="shared" si="9"/>
        <v>1500</v>
      </c>
      <c r="P50" s="34">
        <v>5</v>
      </c>
      <c r="Q50" s="34">
        <v>300</v>
      </c>
      <c r="R50" s="34"/>
    </row>
    <row r="51" spans="1:18" x14ac:dyDescent="0.3">
      <c r="A51" s="34"/>
      <c r="B51" s="34"/>
      <c r="C51" s="34"/>
      <c r="D51" s="34"/>
      <c r="E51" s="34"/>
      <c r="F51" s="34"/>
      <c r="G51" s="34"/>
      <c r="H51" s="34"/>
      <c r="I51" s="34"/>
      <c r="J51" s="34"/>
      <c r="K51" s="34"/>
      <c r="L51" s="34"/>
      <c r="M51" s="34"/>
      <c r="N51" s="34" t="s">
        <v>589</v>
      </c>
      <c r="O51" s="34">
        <f t="shared" si="9"/>
        <v>900</v>
      </c>
      <c r="P51" s="34">
        <v>5</v>
      </c>
      <c r="Q51" s="34">
        <v>180</v>
      </c>
      <c r="R51" s="34"/>
    </row>
    <row r="52" spans="1:18" ht="27.95" x14ac:dyDescent="0.3">
      <c r="A52" s="34"/>
      <c r="B52" s="34"/>
      <c r="C52" s="34"/>
      <c r="D52" s="34"/>
      <c r="E52" s="34"/>
      <c r="F52" s="34"/>
      <c r="G52" s="34"/>
      <c r="H52" s="34"/>
      <c r="I52" s="34"/>
      <c r="J52" s="34"/>
      <c r="K52" s="34"/>
      <c r="L52" s="34"/>
      <c r="M52" s="34"/>
      <c r="N52" s="34" t="s">
        <v>590</v>
      </c>
      <c r="O52" s="34">
        <f t="shared" si="9"/>
        <v>200</v>
      </c>
      <c r="P52" s="34">
        <v>2</v>
      </c>
      <c r="Q52" s="34">
        <v>100</v>
      </c>
      <c r="R52" s="34"/>
    </row>
    <row r="53" spans="1:18" ht="27.95" x14ac:dyDescent="0.3">
      <c r="A53" s="34"/>
      <c r="B53" s="34"/>
      <c r="C53" s="34"/>
      <c r="D53" s="34"/>
      <c r="E53" s="34"/>
      <c r="F53" s="34"/>
      <c r="G53" s="34"/>
      <c r="H53" s="34"/>
      <c r="I53" s="34"/>
      <c r="J53" s="34"/>
      <c r="K53" s="34"/>
      <c r="L53" s="34"/>
      <c r="M53" s="34"/>
      <c r="N53" s="34" t="s">
        <v>591</v>
      </c>
      <c r="O53" s="34">
        <f t="shared" si="9"/>
        <v>80</v>
      </c>
      <c r="P53" s="34">
        <v>1</v>
      </c>
      <c r="Q53" s="34">
        <v>80</v>
      </c>
      <c r="R53" s="34"/>
    </row>
    <row r="54" spans="1:18" ht="41.95" x14ac:dyDescent="0.3">
      <c r="A54" s="34"/>
      <c r="B54" s="34"/>
      <c r="C54" s="34"/>
      <c r="D54" s="34"/>
      <c r="E54" s="34"/>
      <c r="F54" s="34"/>
      <c r="G54" s="34"/>
      <c r="H54" s="34"/>
      <c r="I54" s="34"/>
      <c r="J54" s="34"/>
      <c r="K54" s="34"/>
      <c r="L54" s="34"/>
      <c r="M54" s="34"/>
      <c r="N54" s="34" t="s">
        <v>592</v>
      </c>
      <c r="O54" s="34">
        <f t="shared" si="9"/>
        <v>0</v>
      </c>
      <c r="P54" s="34">
        <v>0</v>
      </c>
      <c r="Q54" s="34">
        <v>450</v>
      </c>
      <c r="R54" s="34"/>
    </row>
    <row r="55" spans="1:18" ht="41.95" x14ac:dyDescent="0.3">
      <c r="A55" s="34"/>
      <c r="B55" s="34"/>
      <c r="C55" s="34"/>
      <c r="D55" s="34"/>
      <c r="E55" s="34"/>
      <c r="F55" s="34"/>
      <c r="G55" s="34"/>
      <c r="H55" s="34"/>
      <c r="I55" s="34"/>
      <c r="J55" s="34"/>
      <c r="K55" s="34"/>
      <c r="L55" s="34"/>
      <c r="M55" s="34"/>
      <c r="N55" s="34" t="s">
        <v>593</v>
      </c>
      <c r="O55" s="34">
        <f t="shared" si="9"/>
        <v>0</v>
      </c>
      <c r="P55" s="34">
        <v>0</v>
      </c>
      <c r="Q55" s="34">
        <v>550</v>
      </c>
      <c r="R55" s="34"/>
    </row>
    <row r="56" spans="1:18" ht="27.95" x14ac:dyDescent="0.3">
      <c r="A56" s="34"/>
      <c r="B56" s="34"/>
      <c r="C56" s="34"/>
      <c r="D56" s="34"/>
      <c r="E56" s="34"/>
      <c r="F56" s="34"/>
      <c r="G56" s="34"/>
      <c r="H56" s="34"/>
      <c r="I56" s="34"/>
      <c r="J56" s="34"/>
      <c r="K56" s="34"/>
      <c r="L56" s="34"/>
      <c r="M56" s="34"/>
      <c r="N56" s="34" t="s">
        <v>594</v>
      </c>
      <c r="O56" s="34">
        <f t="shared" si="9"/>
        <v>0</v>
      </c>
      <c r="P56" s="34">
        <v>0</v>
      </c>
      <c r="Q56" s="34">
        <v>200</v>
      </c>
      <c r="R56" s="34"/>
    </row>
    <row r="57" spans="1:18" ht="27.95" x14ac:dyDescent="0.3">
      <c r="A57" s="34"/>
      <c r="B57" s="34"/>
      <c r="C57" s="34"/>
      <c r="D57" s="34"/>
      <c r="E57" s="34"/>
      <c r="F57" s="34"/>
      <c r="G57" s="34"/>
      <c r="H57" s="34"/>
      <c r="I57" s="34"/>
      <c r="J57" s="34"/>
      <c r="K57" s="34"/>
      <c r="L57" s="34"/>
      <c r="M57" s="34"/>
      <c r="N57" s="34" t="s">
        <v>595</v>
      </c>
      <c r="O57" s="34">
        <f t="shared" si="9"/>
        <v>0</v>
      </c>
      <c r="P57" s="34">
        <v>0</v>
      </c>
      <c r="Q57" s="34">
        <v>600</v>
      </c>
      <c r="R57" s="34"/>
    </row>
    <row r="58" spans="1:18" x14ac:dyDescent="0.3">
      <c r="A58" s="34"/>
      <c r="B58" s="34"/>
      <c r="C58" s="34"/>
      <c r="D58" s="34"/>
      <c r="E58" s="34"/>
      <c r="F58" s="34"/>
      <c r="G58" s="34"/>
      <c r="H58" s="34"/>
      <c r="I58" s="34"/>
      <c r="J58" s="34"/>
      <c r="K58" s="34"/>
      <c r="L58" s="34"/>
      <c r="M58" s="34"/>
      <c r="N58" s="34" t="s">
        <v>596</v>
      </c>
      <c r="O58" s="34">
        <f t="shared" si="9"/>
        <v>0</v>
      </c>
      <c r="P58" s="34">
        <v>0</v>
      </c>
      <c r="Q58" s="34">
        <v>300</v>
      </c>
      <c r="R58" s="34"/>
    </row>
    <row r="59" spans="1:18" ht="27.95" x14ac:dyDescent="0.3">
      <c r="A59" s="34"/>
      <c r="B59" s="34"/>
      <c r="C59" s="34"/>
      <c r="D59" s="34"/>
      <c r="E59" s="34"/>
      <c r="F59" s="34"/>
      <c r="G59" s="34"/>
      <c r="H59" s="75">
        <f>(1038*25)/30</f>
        <v>865</v>
      </c>
      <c r="I59" s="34"/>
      <c r="J59" s="34"/>
      <c r="K59" s="34"/>
      <c r="L59" s="34"/>
      <c r="M59" s="34"/>
      <c r="N59" s="34" t="s">
        <v>597</v>
      </c>
      <c r="O59" s="34">
        <f t="shared" si="9"/>
        <v>0</v>
      </c>
      <c r="P59" s="34">
        <v>0</v>
      </c>
      <c r="Q59" s="34">
        <v>600</v>
      </c>
      <c r="R59" s="34"/>
    </row>
    <row r="60" spans="1:18" x14ac:dyDescent="0.3">
      <c r="Q60">
        <f>SUM(Q40:Q59)</f>
        <v>5510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Sheet1</vt:lpstr>
      <vt:lpstr>Sheet2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Amit Tripathi</dc:creator>
  <cp:lastModifiedBy>Amit Tripathi</cp:lastModifiedBy>
  <dcterms:created xsi:type="dcterms:W3CDTF">2026-07-09T17:05:46Z</dcterms:created>
  <dcterms:modified xsi:type="dcterms:W3CDTF">2026-07-09T19:20:44Z</dcterms:modified>
</cp:coreProperties>
</file>