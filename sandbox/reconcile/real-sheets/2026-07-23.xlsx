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0bce48fe946bb5/Desktop/"/>
    </mc:Choice>
  </mc:AlternateContent>
  <xr:revisionPtr revIDLastSave="85" documentId="8_{580DB6B9-17EE-48D0-895C-940BC59112C9}" xr6:coauthVersionLast="47" xr6:coauthVersionMax="47" xr10:uidLastSave="{ADA91F06-7330-41D1-8D9F-B963ACE69825}"/>
  <bookViews>
    <workbookView xWindow="-107" yWindow="-107" windowWidth="20847" windowHeight="11100" activeTab="1" xr2:uid="{E840AB12-C964-44CD-ACC8-0D050977C655}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Sheet1!$A$1:$AD$96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" i="2" l="1"/>
  <c r="O59" i="2"/>
  <c r="H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O23" i="2"/>
  <c r="O21" i="2"/>
  <c r="O20" i="2"/>
  <c r="O19" i="2"/>
  <c r="O18" i="2"/>
  <c r="O17" i="2"/>
  <c r="O16" i="2"/>
  <c r="O15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N10" i="2"/>
  <c r="M10" i="2"/>
  <c r="L10" i="2"/>
  <c r="K10" i="2"/>
  <c r="J10" i="2"/>
  <c r="I10" i="2"/>
  <c r="I22" i="2" s="1"/>
  <c r="I24" i="2" s="1"/>
  <c r="I26" i="2" s="1"/>
  <c r="I27" i="2" s="1"/>
  <c r="H10" i="2"/>
  <c r="H22" i="2" s="1"/>
  <c r="H24" i="2" s="1"/>
  <c r="H26" i="2" s="1"/>
  <c r="H27" i="2" s="1"/>
  <c r="G10" i="2"/>
  <c r="F10" i="2"/>
  <c r="E10" i="2"/>
  <c r="D10" i="2"/>
  <c r="C10" i="2"/>
  <c r="B10" i="2"/>
  <c r="N7" i="2"/>
  <c r="M7" i="2"/>
  <c r="L7" i="2"/>
  <c r="K7" i="2"/>
  <c r="J7" i="2"/>
  <c r="I7" i="2"/>
  <c r="H7" i="2"/>
  <c r="G7" i="2"/>
  <c r="F7" i="2"/>
  <c r="E7" i="2"/>
  <c r="D7" i="2"/>
  <c r="C7" i="2"/>
  <c r="B7" i="2"/>
  <c r="O6" i="2"/>
  <c r="P6" i="2" s="1"/>
  <c r="O5" i="2"/>
  <c r="P13" i="2" s="1"/>
  <c r="O4" i="2"/>
  <c r="P12" i="2" s="1"/>
  <c r="O3" i="2"/>
  <c r="P3" i="2" s="1"/>
  <c r="O2" i="2"/>
  <c r="P2" i="2" s="1"/>
  <c r="O12" i="2" l="1"/>
  <c r="R12" i="2" s="1"/>
  <c r="G22" i="2"/>
  <c r="G24" i="2" s="1"/>
  <c r="G26" i="2" s="1"/>
  <c r="G27" i="2" s="1"/>
  <c r="O7" i="2"/>
  <c r="O38" i="2"/>
  <c r="B22" i="2"/>
  <c r="B24" i="2" s="1"/>
  <c r="B26" i="2" s="1"/>
  <c r="B27" i="2" s="1"/>
  <c r="J22" i="2"/>
  <c r="J24" i="2" s="1"/>
  <c r="J26" i="2" s="1"/>
  <c r="J27" i="2" s="1"/>
  <c r="C22" i="2"/>
  <c r="C24" i="2" s="1"/>
  <c r="C26" i="2" s="1"/>
  <c r="C27" i="2" s="1"/>
  <c r="K22" i="2"/>
  <c r="K24" i="2" s="1"/>
  <c r="K26" i="2" s="1"/>
  <c r="K27" i="2" s="1"/>
  <c r="O10" i="2"/>
  <c r="L22" i="2"/>
  <c r="L24" i="2" s="1"/>
  <c r="L26" i="2" s="1"/>
  <c r="L27" i="2" s="1"/>
  <c r="P11" i="2"/>
  <c r="O13" i="2"/>
  <c r="R13" i="2" s="1"/>
  <c r="E22" i="2"/>
  <c r="E24" i="2" s="1"/>
  <c r="E26" i="2" s="1"/>
  <c r="E27" i="2" s="1"/>
  <c r="M22" i="2"/>
  <c r="M24" i="2" s="1"/>
  <c r="M26" i="2" s="1"/>
  <c r="M27" i="2" s="1"/>
  <c r="O11" i="2"/>
  <c r="O14" i="2"/>
  <c r="F22" i="2"/>
  <c r="F24" i="2" s="1"/>
  <c r="F26" i="2" s="1"/>
  <c r="F27" i="2" s="1"/>
  <c r="N22" i="2"/>
  <c r="N24" i="2" s="1"/>
  <c r="N26" i="2" s="1"/>
  <c r="N27" i="2" s="1"/>
  <c r="D22" i="2"/>
  <c r="D24" i="2" s="1"/>
  <c r="D26" i="2" s="1"/>
  <c r="D27" i="2" s="1"/>
  <c r="P4" i="2"/>
  <c r="P5" i="2"/>
  <c r="P10" i="2"/>
  <c r="R10" i="2" s="1"/>
  <c r="P14" i="2"/>
  <c r="R14" i="2" l="1"/>
  <c r="R11" i="2"/>
  <c r="P7" i="2"/>
  <c r="Q7" i="2" s="1"/>
  <c r="Q38" i="2" s="1"/>
  <c r="R15" i="2" l="1"/>
  <c r="O14" i="1"/>
  <c r="P14" i="1"/>
  <c r="Q14" i="1"/>
  <c r="R14" i="1"/>
  <c r="S14" i="1"/>
  <c r="I78" i="1"/>
  <c r="O36" i="1"/>
  <c r="P36" i="1"/>
  <c r="Q36" i="1"/>
  <c r="R36" i="1"/>
  <c r="S36" i="1"/>
  <c r="S3" i="1"/>
  <c r="S4" i="1"/>
  <c r="S5" i="1"/>
  <c r="S6" i="1"/>
  <c r="S7" i="1"/>
  <c r="S8" i="1"/>
  <c r="S9" i="1"/>
  <c r="S10" i="1"/>
  <c r="S11" i="1"/>
  <c r="S12" i="1"/>
  <c r="S13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2" i="1"/>
  <c r="R3" i="1"/>
  <c r="R4" i="1"/>
  <c r="R5" i="1"/>
  <c r="R6" i="1"/>
  <c r="R7" i="1"/>
  <c r="R8" i="1"/>
  <c r="R9" i="1"/>
  <c r="R10" i="1"/>
  <c r="R11" i="1"/>
  <c r="R12" i="1"/>
  <c r="R13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2" i="1"/>
  <c r="Q3" i="1"/>
  <c r="Q4" i="1"/>
  <c r="Q5" i="1"/>
  <c r="Q6" i="1"/>
  <c r="Q7" i="1"/>
  <c r="Q8" i="1"/>
  <c r="Q9" i="1"/>
  <c r="Q10" i="1"/>
  <c r="Q11" i="1"/>
  <c r="Q12" i="1"/>
  <c r="Q13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2" i="1"/>
  <c r="P3" i="1"/>
  <c r="P4" i="1"/>
  <c r="P5" i="1"/>
  <c r="P6" i="1"/>
  <c r="P7" i="1"/>
  <c r="P8" i="1"/>
  <c r="P9" i="1"/>
  <c r="P10" i="1"/>
  <c r="P11" i="1"/>
  <c r="P12" i="1"/>
  <c r="P13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2" i="1"/>
  <c r="O3" i="1"/>
  <c r="O4" i="1"/>
  <c r="O5" i="1"/>
  <c r="O6" i="1"/>
  <c r="O7" i="1"/>
  <c r="O8" i="1"/>
  <c r="O9" i="1"/>
  <c r="O10" i="1"/>
  <c r="O11" i="1"/>
  <c r="O12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2" i="1"/>
  <c r="I96" i="1"/>
</calcChain>
</file>

<file path=xl/sharedStrings.xml><?xml version="1.0" encoding="utf-8"?>
<sst xmlns="http://schemas.openxmlformats.org/spreadsheetml/2006/main" count="1151" uniqueCount="538">
  <si>
    <t>ID</t>
  </si>
  <si>
    <t>Name</t>
  </si>
  <si>
    <t>Ph. Number</t>
  </si>
  <si>
    <t>Address</t>
  </si>
  <si>
    <t>Zone</t>
  </si>
  <si>
    <t>Day</t>
  </si>
  <si>
    <t>Time Slot</t>
  </si>
  <si>
    <t>Pack</t>
  </si>
  <si>
    <t>Revenue</t>
  </si>
  <si>
    <t xml:space="preserve"> Type</t>
  </si>
  <si>
    <t>Remarks</t>
  </si>
  <si>
    <t>Flower Restriction</t>
  </si>
  <si>
    <t>Extra Instruction</t>
  </si>
  <si>
    <t>Final Number of Delivery</t>
  </si>
  <si>
    <t>Sonal Verma</t>
  </si>
  <si>
    <t>H. No. 19, 1st Floor, Cedar Crest</t>
  </si>
  <si>
    <t>Nirvana Country</t>
  </si>
  <si>
    <t>Thursday</t>
  </si>
  <si>
    <t>9 AM - 12 PM</t>
  </si>
  <si>
    <t>Bliss</t>
  </si>
  <si>
    <t>Skip 1 week (11/03) Skip 1 week (21/05) Pls skip 1 week (18/06) Sent one del today (10/12) Hold due to non payment (29/01) Hold due to non payment (04/02) HDTNP (19/02) HDTNP (26/02) HDTNP (21/05) HDTNP (28/05) HDTNP (04/06) HDTNP (11/06) HDTNP (18/06) HDTNP (25/06) HDTNP (02/07) Paytm From Sandeep Verma (09/07)</t>
  </si>
  <si>
    <t>4  del of this cycle   -  0-cycles pmnt   Completed - Collect 0</t>
  </si>
  <si>
    <t>Mrs. Vandana Dutt Before 10</t>
  </si>
  <si>
    <t>15/002,South Close, Nirvana country</t>
  </si>
  <si>
    <r>
      <t xml:space="preserve">Before -10-Asiatic Lily-white/pink/red (19/05) HoPur Orchid n Rajni in next del(21/09)1 week extended due to Diwali(08/11)  R n W Car Next(27/02)Spray Daisy instead of car now(09/04) P Or W Asiatic Only(27/02)  Asiatic n Car now -- White /Pink Red(04/07) Red n White Spray Daisy and Car (13/10)  Now Send Car/Rajni/Glad/Asiatic Lily/ Spray Daisy/Gerbera/Guldawari -- NO Orange and Yellow Color-- Pink n White are preferred-- RED n purple is also ok (25/08) Send 1 Del Tom (16/10) Skip 1 week (02/11) Skip 1 week (11/01) Skip 1 week (25/01) Dont snend tom -send on Monday (08/02) Had 350 Extra from pasyment of 2000 on 11th May, 250 adjusted, now have 100 extra with us(18/05) Sent replacement today (10/06) Spray Daisy -- white or Yellow and Glad white (06/09) 250 extra added against received walkin bouquet (12/09) Skip 1 week (13/10) Sending 1 Del today (22/10) Skip 2 week (19/05) Star from 19th (17/07) </t>
    </r>
    <r>
      <rPr>
        <b/>
        <sz val="12"/>
        <color theme="1"/>
        <rFont val="Calibri"/>
        <family val="2"/>
        <scheme val="minor"/>
      </rPr>
      <t>NO Flowers from 15th Aug to 29th Aug (27/07)</t>
    </r>
    <r>
      <rPr>
        <sz val="11"/>
        <color theme="1"/>
        <rFont val="Calibri"/>
        <family val="2"/>
        <scheme val="minor"/>
      </rPr>
      <t xml:space="preserve"> Skip this 8th Del (02/08) Return today send tom (07/11) Skip 1 week (17/11) Skip 12th (09/12) Today returned (26/12) Skip 1 week (11/03) Skip 1 week (23/03) Skip 1 week (31/03) Today Returned (10/04) Today Returned (18/04) Skip 1 week (28/04) Skip 2 week (02/06) Hold , she will confirm (28/07) No delivery on 21st Aug (19/08) No flowers from 11th Sep to 25th Sep (05/09) Hold till 20th (10/11) Last cycle 950 was less received (06/11) Send one del tom (22/11) Skip 1 week (23/12) Skip 1 week (11/02) From Sunflower/Spray dausy/Eustoma (18/04) Hol dtill 15th July (30/06)</t>
    </r>
  </si>
  <si>
    <t>From Sunflower/Spray dausy/Eustoma (18/04)</t>
  </si>
  <si>
    <t>Joy</t>
  </si>
  <si>
    <t>Before -10-Asiatic Lily-white/pink/red (19/05) HoPur Orchid n Rajni in next del(21/09)1 week extended due to Diwali(08/11)  R n W Car Next(27/02)Spray Daisy instead of car now(09/04) P Or W Asiatic Only(27/02)  Asiatic n Car now -- White /Pink Red(04/07) Red n White Spray Daisy and Car (13/10)  Now Send Car/Rajni/Glad/Asiatic Lily/ Spray Daisy/Gerbera/Guldawari -- NO Orange and Yellow Color-- Pink n White are preferred-- RED n purple is also ok (25/08) Send 1 Del Tom (16/10) Skip 1 week (02/11) Skip 1 week (11/01) Skip 1 week (25/01) No Flowers tom --send on Monday (08/02) Had 350 Extra from pasyment of 2000 on 11th May, 250 adjusted, now have 100 extra with us(18/05) Spray Daisy -- white or Yellow and Glad white (06/09) Skip 1 week (13/10) Sending 1 Del today (22/10) No Flowers till 4th Jan (17/12) Start from 19th (17/07) Hold till 5th Sep (14/08) Return today-send tom (07/11) Skip 1 week (17/11) Skip 12th (09/12) Today Returned (26/12) Skip 1 week (11/03) Skip 1 week (23/03) Skip 1 week (31/03) Today Returned (10/04) Today Returned (18/04) Skip 1 week (28/04) Skip 2 week (02/06) Hold she will confirm (28/07) Dont Send on 21st (19/08) No Flowers from 11th Sep to 25th Sep (05/09) Hold till 20th Oct (10/11) 1 Bouquet of Rajni on 31st and 500 gm Rose Petal on 8th Nov -- Total pf 1200 added (20/11) Send one delivery tom (22/11) Skip 1 week (23/12) Skip 1 week (1/02) From Sunflower/Spray dausy/Eustoma (18/04) Hold till 15th July (30/06)</t>
  </si>
  <si>
    <t>3  del of this cycle   -  1-cycles pmnt   Pending - Collect 1450</t>
  </si>
  <si>
    <t>3  del of this cycle   -  1-cycles pmnt   Pending - Collect 1950</t>
  </si>
  <si>
    <t>Deepti Chhabra</t>
  </si>
  <si>
    <t>A-061, Westend Heights</t>
  </si>
  <si>
    <t>DLF Phase 5</t>
  </si>
  <si>
    <t>4 PM to 7PM</t>
  </si>
  <si>
    <t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t>
  </si>
  <si>
    <t>ROSE</t>
  </si>
  <si>
    <t>Richa -- Icon</t>
  </si>
  <si>
    <t>B-173, the Icon</t>
  </si>
  <si>
    <t>10 AM to 2:30 PM</t>
  </si>
  <si>
    <t>Paytm From Ankit Gupta (01/11) Skip 08th and 15th Jan (16/12) Hold till 16th Jan (19/12) Skip 1 week (12/02) Skip 1 week (11/03) Skip 1 week (01/04) Hold n strat from 02nd July (28/05)</t>
  </si>
  <si>
    <t>Jamie Miller</t>
  </si>
  <si>
    <t>D-072, The DLF Crest</t>
  </si>
  <si>
    <t>Golf Course Road</t>
  </si>
  <si>
    <t>9:30 Am to 2 PM</t>
  </si>
  <si>
    <t>Elation</t>
  </si>
  <si>
    <t>From James Brittan // Skip 2 week (20/12) Today Returned (22/01) Skip 3 weeks (26/01) Skip 1 week (17/03) Skip 2 week (31/05) Skip 2 weeks (03/07)</t>
  </si>
  <si>
    <t>Ishita Sinha</t>
  </si>
  <si>
    <t>C1/102, Unitech The Residencies, Sec 33</t>
  </si>
  <si>
    <t>Sohna Road 2</t>
  </si>
  <si>
    <t>4 PM to 7 PM</t>
  </si>
  <si>
    <t>Customized</t>
  </si>
  <si>
    <t>4 Sunflowers every week (17/12) 3 Asiatic every week (16/01) HDTNP (26/02) HDTNP (11/06) HDTNP ( 18 /6) HDTNP ( 25 /06) HDTNP (02/07) HDTNP (09/07)</t>
  </si>
  <si>
    <t>3  del of this cycle   -  1-cycles pmnt   Pending - Collect 1740</t>
  </si>
  <si>
    <t>Ms. Rani</t>
  </si>
  <si>
    <t>J-151, Park Place</t>
  </si>
  <si>
    <t>9 AM to 2 PM</t>
  </si>
  <si>
    <t>Start From July (06/06)</t>
  </si>
  <si>
    <t>Namrata Khandelwal -- After 5 PM</t>
  </si>
  <si>
    <t>1119, Magnolia</t>
  </si>
  <si>
    <t>After 5 PM</t>
  </si>
  <si>
    <t>Enchantment</t>
  </si>
  <si>
    <t>Sunday n Thursday//Tuesday and Satirday(20/04)Monday and Thursday(22/01)Friday and Sunday Now//Monday and Friday// AVOID CAR(09/05)  NO RAJNI TILL IT HAS FRAGRANCE(03/10)  NO CAR N GLAD(15/12)  Send Gerbera next(02/09/20) Preferred Flowers-- Car + Guldawari + Heliconia(30/11) Send Asiatic Lily and BOP or Anthurium(03/12) Hold n start after 20th Dec(09/12) Skip 1 week(07/05) Hold n send on 23rd n after(10/08) 2 Pack of 2850(01/09) Skip next delivery(09/09) Skip tom Delivery(12/09) Skip coming delivery (06/10) Next Del from tuesday (28/10) Skip tom del (11/11) Skip next del (18/11) No wchange to Weekly Plan (28/11) Hold n start from 4th Feb (04/01) Hold tom (24/02) Skip 1 week (02/03) Skip 2 weeks (25/03) Hold till 19th May (24/04) Skip thursday Del (02/10) Skip tom Del (07/10) Skip tom also (11/10) Skip tom (21/10) NO ROSE (04/01) Skip 1 week (08/01) Start from 1st Feb (24/01) Skip 1 Week (21/02) Skip 1 week (29/02) Skip 1 week (06/03). NO POLLEN FLOWERS EVER (27/04) Skip 1 week (12/05) Skip next Del (15/06) Skip this thursday (28/07) Skip 1 week (14/08) Skip 1 week (20/08) Skip tom (28/08) Skip tom (31/08) Hold today (08/09) No Asiatic/Gerbera and Rose (17/09) No Lily (19/10) Skip 1 week (30/10) Skip 1 week (11/12) Hold today and send tom (10/04) Send this week del on wednesday (21/04) Skip this week (29/05) Send on wednsday this week (02/06) Skip 1 week (03/09) Skip 1  Skip tom (07/01)week (11/09) No Gerbera (28/11) Skip 1 week (11/02) Skip 1 week (18/02) Skip tom (04/03) Skip 2 weeks (24/05)</t>
  </si>
  <si>
    <t>Pllen Flowers and Gerbera</t>
  </si>
  <si>
    <t>No Polen Flowers (20/08)</t>
  </si>
  <si>
    <t>3  del of this cycle   -  0-cycles pmnt   Completed - Collect 0</t>
  </si>
  <si>
    <t>G-00028</t>
  </si>
  <si>
    <t>Niharika Mohanty</t>
  </si>
  <si>
    <t>W2A-151, Wellington Estate</t>
  </si>
  <si>
    <t>From Akriti Chopra // Mixed Flowers // Skip this week (11/03) Skip 1 week (11/03)  Skip 2 week (18/06) Skip 1 week (13/08) Skip 1 week (14/10) Skip 2 weeks (12/11) Skip 1 week (03/12) Skip 1 week (03/01) Hold today (21/05) Skip tom (03/06) Skip today and next week (18/06(</t>
  </si>
  <si>
    <t>Mixed Flowers</t>
  </si>
  <si>
    <t>4  del of this cycle   -  1-cycles pmnt   Pending - Collect 1950</t>
  </si>
  <si>
    <t>Srishti Verma</t>
  </si>
  <si>
    <t>H. No. 126, Flat No. 302, Road D3, Indira Colony, Sec 52</t>
  </si>
  <si>
    <t>Artemis</t>
  </si>
  <si>
    <t>4 Pm to 7 PM</t>
  </si>
  <si>
    <t>Skip 1 Week (06/07)</t>
  </si>
  <si>
    <t>Naina Gandhi</t>
  </si>
  <si>
    <t>K2/105, Central Park -1</t>
  </si>
  <si>
    <t>Felicity</t>
  </si>
  <si>
    <t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t>
  </si>
  <si>
    <t>SPRAY DAISY</t>
  </si>
  <si>
    <t>Check for Bi weekly package</t>
  </si>
  <si>
    <t>Anupma Katyal</t>
  </si>
  <si>
    <t>1484, Saraswati Kunj</t>
  </si>
  <si>
    <t>Return today (22/05) Hold today due to non payment (02/10) HDTNP (02/07) HDTNP (09/07)</t>
  </si>
  <si>
    <t>Alok divatia -- After 10 AM</t>
  </si>
  <si>
    <t>BLC 263, 26th Floor, Tower C, The Belaire</t>
  </si>
  <si>
    <t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t>
  </si>
  <si>
    <t>Ruchi Mathure--Before 10:30 AM</t>
  </si>
  <si>
    <t>D-013, Westend height, DLF-5</t>
  </si>
  <si>
    <t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t>
  </si>
  <si>
    <t>Sunflower</t>
  </si>
  <si>
    <t>No White even in mixed // Skip 23rd and sned on 26th (20/04)</t>
  </si>
  <si>
    <t>Nameesha Verma -- Before 12PM</t>
  </si>
  <si>
    <t>D-4/102, Parsvanath Exotica</t>
  </si>
  <si>
    <t>Before 12 PM</t>
  </si>
  <si>
    <t>Bloom</t>
  </si>
  <si>
    <t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t>
  </si>
  <si>
    <t>3 Car extra next (20/03)</t>
  </si>
  <si>
    <t>Vandana Thakran</t>
  </si>
  <si>
    <t>H. No. 35, Cedar Crest</t>
  </si>
  <si>
    <t>Sunday</t>
  </si>
  <si>
    <t>Runul Vashishtha</t>
  </si>
  <si>
    <t>C-84, DLF Park Place, Park Drive, GCR</t>
  </si>
  <si>
    <t>Aishwarya G Aiyar</t>
  </si>
  <si>
    <t>A-173, The Pinnacle</t>
  </si>
  <si>
    <t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t>
  </si>
  <si>
    <t>Amita Gupta</t>
  </si>
  <si>
    <t>146, Cedar Crest</t>
  </si>
  <si>
    <t>Return today (03/10) Change to bliss (23/10) No Orchid (24/10) Send a vase tom (20/08) Upgrade to bliss (17/12)</t>
  </si>
  <si>
    <t>Orchid</t>
  </si>
  <si>
    <t>1 Vase Tom (20/08)</t>
  </si>
  <si>
    <t>Amrita Sarup</t>
  </si>
  <si>
    <t>D1/802, Experion Heartsong, Sec 108</t>
  </si>
  <si>
    <t>Dwarka Expressway</t>
  </si>
  <si>
    <t>No Asiatic n Spray Daisy // Today Hold (14/08) Replacement tom (04/12) No Orchid (11/12) No BOP n Orchid (12/12) Today Returned -send on Sunday (18/12) Returned today (01/01/26) Next 3 Deliveries with Premium (11/.04)</t>
  </si>
  <si>
    <t>BOP n Orchid</t>
  </si>
  <si>
    <t>Next 3 Deliveries with Premium (11/.04)</t>
  </si>
  <si>
    <t>Arun Gupta</t>
  </si>
  <si>
    <t>C-22m Arc Stationary</t>
  </si>
  <si>
    <t>4 Flowers at both Shop</t>
  </si>
  <si>
    <t>4  del of this cycle   -  0-cycles pmnt   In Process - Collect 0</t>
  </si>
  <si>
    <t>Dr. Deepa Gupta</t>
  </si>
  <si>
    <t>Mayom Hospital, D block south city 1</t>
  </si>
  <si>
    <t>South City 1</t>
  </si>
  <si>
    <t>Corporate</t>
  </si>
  <si>
    <t>1 del Missed(07/10) Return-send next week(31/12) Send replacement of Gerbera(30/10) Send on Monday this week(20/03) Return- hold package(08/07) Today returned-send next week(02/06) HDTNP (19/02)</t>
  </si>
  <si>
    <t>G-00015</t>
  </si>
  <si>
    <t>Harsh  - Unikon</t>
  </si>
  <si>
    <t>AR-903B, 3rd Floor, Aralias</t>
  </si>
  <si>
    <t>From Deep Bajaj // Message = Your boyfriend:p (05/11) Paytm from Simran Dhawan (04/03) Send 1 delivery tomorrow (17/03) Skip 1 week (10/04) Add change request from Jasjit -- 9560611229</t>
  </si>
  <si>
    <t>One time Single n One Time Mixed</t>
  </si>
  <si>
    <t>Mrs. Verma</t>
  </si>
  <si>
    <t>A1/192, 1st Floor, Sec 55, Sushant Lok-2, Near Orchid International School</t>
  </si>
  <si>
    <t>Sector 56</t>
  </si>
  <si>
    <t>Return today (01/05) Return today (05/06) Send on Sunday This week (05/06) Upgrade to bliss from next cycle (20/09) Skip 1 week (04/02) Send Replacement tom of Asiatic Lily (16/04) Send Replacement tom (21/05) No Sunflower (21/05)</t>
  </si>
  <si>
    <t>4  del of this cycle   -  0-cycles pmnt   CompletedNO COLLECTION-we have extra money - Collect -100</t>
  </si>
  <si>
    <t>Nidhi Singh</t>
  </si>
  <si>
    <t>8383036664//9899389873</t>
  </si>
  <si>
    <t>D-8/3, Ground Floor DLF Exclusive Floors</t>
  </si>
  <si>
    <t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t>
  </si>
  <si>
    <t>Radhika Surana-- Before 10</t>
  </si>
  <si>
    <t>1204, The Magnolias</t>
  </si>
  <si>
    <t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t>
  </si>
  <si>
    <t>BOP n ORCHID</t>
  </si>
  <si>
    <t>Samar Singh</t>
  </si>
  <si>
    <t>C-13, DLF Icon</t>
  </si>
  <si>
    <t>Mixed Flowers // Day Changed to Sunday (20/12) Day Changed to Thursday (10/01) Skip 2 week (11/02) Send one Del tom (07/07)</t>
  </si>
  <si>
    <t>Sharwan Chopra</t>
  </si>
  <si>
    <t>A-223, The Belaire</t>
  </si>
  <si>
    <t>NO Car (15/02) Skip 3 Weeks (12/06) Skip 1 week (28/12) Hold all deliveries till 1st July (12/06) Skip 25th Dec (23/12) Hold due to non payment (29/01) Returned today (04/06) Skip 1 week (16/06)</t>
  </si>
  <si>
    <t>CAR</t>
  </si>
  <si>
    <t>Shivani Gogia</t>
  </si>
  <si>
    <t>A-105, 1st Floor, Siushant Lok 3, Sec 57</t>
  </si>
  <si>
    <t>14 rajni</t>
  </si>
  <si>
    <t>Shubhra Gupta</t>
  </si>
  <si>
    <t>ES-245, Espace</t>
  </si>
  <si>
    <t>Paytm From 9811656524 // No Orchids // Skip 1 week (01/10) Same flowers from last  2weeks, pls Check (06/11) Paytm from Gaurav Gupta (0703)</t>
  </si>
  <si>
    <t>ORCHID</t>
  </si>
  <si>
    <t>Same Flowers from 2 week, Pls Check (06/11)</t>
  </si>
  <si>
    <t>DLF Phase 4</t>
  </si>
  <si>
    <t>Bouquet</t>
  </si>
  <si>
    <t>Convinience Enterprises-Veena Anand</t>
  </si>
  <si>
    <t>307, Aralyas, DLF 5</t>
  </si>
  <si>
    <t>By 10 AM</t>
  </si>
  <si>
    <t>Skip this Thursday and send on Sunday (20/11)Hold and send on 12th Now (31/12) Do Not count last Del (02/07) Skip 1 week (10/09) Skip 2 week (18/05)</t>
  </si>
  <si>
    <t>Group Captain Prabal Bir Singh</t>
  </si>
  <si>
    <t>603, Shivshakti CGHS, Plot-94, Near Ati Chowk</t>
  </si>
  <si>
    <t>Shipra</t>
  </si>
  <si>
    <t xml:space="preserve">C-94 Trinity </t>
  </si>
  <si>
    <t>Saturday</t>
  </si>
  <si>
    <t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 HDTNP (12/07) HDTNP (16/07) HDTNP (19/07)</t>
  </si>
  <si>
    <t>2  del of this cycle   -  1-cycles pmnt   Pending - Collect 1600</t>
  </si>
  <si>
    <t>Sonia Kalra</t>
  </si>
  <si>
    <t>C-264, Sushant Lok-1</t>
  </si>
  <si>
    <t>M G Road</t>
  </si>
  <si>
    <t>Tuesday</t>
  </si>
  <si>
    <t>Change Rs 50// Hold today n skip 1 week(29/07) Paytm from harsonia Kalra (03/09) Skip Tuesday and sned on Thursday this week (19/07)</t>
  </si>
  <si>
    <t>3  del of this cycle   -  0-cycles pmnt   CompletedNO COLLECTION-we have extra money - Collect -57</t>
  </si>
  <si>
    <t>Anastasiia Liapicheva</t>
  </si>
  <si>
    <t>7678659573 // '+79029329098</t>
  </si>
  <si>
    <t>B1/602, Palm Groove Heights, Ardee City Sec 52</t>
  </si>
  <si>
    <t>Sushant Estate</t>
  </si>
  <si>
    <t>No Lilies (02/11) No White Greens (02/12) Skip 1 week (07/01) skip 1 week (27/01) No Sunflower (06/03) Skip 1 week (06/06)</t>
  </si>
  <si>
    <t>Lily n Sunflower n White Greens</t>
  </si>
  <si>
    <t>No White Greens n Mixed Flowers</t>
  </si>
  <si>
    <t>Bidisha Dey</t>
  </si>
  <si>
    <t>C-24, Carlton Estate-1, Club Drive</t>
  </si>
  <si>
    <t>Skip 1 week (03/06) Returned send next week (11/07) Skip 1 week (08/01) Skip 1 week (26/03) Skip tom (02/07) Today Returned (20/11) HDTNP (25/06)</t>
  </si>
  <si>
    <t>Gagan Ahluwalia</t>
  </si>
  <si>
    <t>C-82, The Summit</t>
  </si>
  <si>
    <t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t>
  </si>
  <si>
    <t>Megha Manchanda -- Bliss Pack</t>
  </si>
  <si>
    <t>T-3/302, Unitech Harmony</t>
  </si>
  <si>
    <t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t>
  </si>
  <si>
    <t>Ms. Anupma Chandna</t>
  </si>
  <si>
    <t>32, aspen greens, nirvana</t>
  </si>
  <si>
    <t>No Rose // Hold n start from 04th Dec (03/11) No Greens</t>
  </si>
  <si>
    <t>Rose</t>
  </si>
  <si>
    <t>No Greens</t>
  </si>
  <si>
    <t>3  del of this cycle   -  0-cycles pmnt   Completed - Collect 30</t>
  </si>
  <si>
    <t>Parul Sharma --Elation</t>
  </si>
  <si>
    <t>Villa-27, The Legend</t>
  </si>
  <si>
    <t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t>
  </si>
  <si>
    <t>Before 11:30 AM</t>
  </si>
  <si>
    <t>Sanjeet Kaur</t>
  </si>
  <si>
    <t>601, Emerald Green, Sector 52</t>
  </si>
  <si>
    <t>1 Gypsola in each Del (16/05) Paytm From Arshia Kaur (13/06) Paytm From Yogpal Singh (20/12) Do not count todays delivery (30/04)</t>
  </si>
  <si>
    <t>1 Gyposla in each Del</t>
  </si>
  <si>
    <t>Shinjini Mehrotra</t>
  </si>
  <si>
    <t>F-109, 2nd Floor, Suncity</t>
  </si>
  <si>
    <t>Hold 4 Weeks (04/12) Skip 1 week (14/02) Skip 2 week (28/02) Skip 1 week  (01/04) Hold till 29th Apr (06/04)</t>
  </si>
  <si>
    <t>3  del of this cycle   -  0-cycles pmnt   CompletedNO COLLECTION-we have extra money - Collect -100</t>
  </si>
  <si>
    <t>Shivani Katyal</t>
  </si>
  <si>
    <t>H. No. 1486, Sarsawati Kunj</t>
  </si>
  <si>
    <t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t>
  </si>
  <si>
    <t>GULDAWARI n ANTHURIUM n GLAD</t>
  </si>
  <si>
    <t>Abha Ghosh</t>
  </si>
  <si>
    <t>6A, Galicia, Raisina Residency, Sec 59</t>
  </si>
  <si>
    <t>Ghata</t>
  </si>
  <si>
    <t>Returned yesterday (07/11)</t>
  </si>
  <si>
    <t>2  del of this cycle   -  0-cycles pmnt   Completed - Collect 0</t>
  </si>
  <si>
    <t>Anu-- After 6 PM</t>
  </si>
  <si>
    <t>98103 39602</t>
  </si>
  <si>
    <t xml:space="preserve">Tower 6, 901 Fresco </t>
  </si>
  <si>
    <t>Poise</t>
  </si>
  <si>
    <t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t>
  </si>
  <si>
    <t>ROSE n RAJNI n HELICONIA n BOP</t>
  </si>
  <si>
    <t>after 6 pm on 19th (16/04)</t>
  </si>
  <si>
    <t>Eva-Pinnacle</t>
  </si>
  <si>
    <t>C-93, The Pinnacle</t>
  </si>
  <si>
    <t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t>
  </si>
  <si>
    <t>Riddhi Desai</t>
  </si>
  <si>
    <t>D-71, The Icon</t>
  </si>
  <si>
    <t>Send this week on Saturday (14/08) Skip 1 week (21/12) Hold till 2nd June (20/05)</t>
  </si>
  <si>
    <t>Manvi Bajpai</t>
  </si>
  <si>
    <t>A-43, Westend Heights</t>
  </si>
  <si>
    <t>Preferred Flowers-- Car//Rose//Guldawari//Gerbera//Orchid//Spray Daisy (27/09) 4th Del was on Hold (10/10) Skip 1 week (21/10) Skip 1 week (02/03) No Orchid (27/04) Hold n start after 15th Sep (18/08) Skip 1 week (19/10) Skip 1 week (17/12) Skip 2 week (17/03) Sending del today instead of tom (26/04) Skip 1 week (13/08) Skip 1 week (10/10) Return today (26/10) Today Hold (28/12) Skip 2 week (27/01) Skip 1 week (14/03) Skip 2 weks (17/04) Skip 2 week (01/06) Payment from Sreyansh Updhyay (19/07) Skip 18th to 25th (02/10) Skip 1 week (06/020</t>
  </si>
  <si>
    <t>Tarishka Gupta</t>
  </si>
  <si>
    <t>A1/804, Unitech The Residences</t>
  </si>
  <si>
    <t>V P Singh</t>
  </si>
  <si>
    <t>WT04/701, Experion Windchantsm Sec 112</t>
  </si>
  <si>
    <t>Paytm From Vijay Pratap Singh</t>
  </si>
  <si>
    <t>1  del of this cycle   -  0-cycles pmnt   Completed - Collect 0</t>
  </si>
  <si>
    <t>G-00066</t>
  </si>
  <si>
    <t>Aastha Vernma</t>
  </si>
  <si>
    <t>T-3/604, Takshila Heights, Sec 37 C</t>
  </si>
  <si>
    <t>Old Gurgaon</t>
  </si>
  <si>
    <t>From Srishti Verma</t>
  </si>
  <si>
    <t>Anuradha M Agarwal</t>
  </si>
  <si>
    <t>A-82, Westend Heights</t>
  </si>
  <si>
    <t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t>
  </si>
  <si>
    <t>Convinience Enterprises-Sonali anand</t>
  </si>
  <si>
    <t>E-243 belaire apartments</t>
  </si>
  <si>
    <t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t>
  </si>
  <si>
    <t>2  del of this cycle   -  0-cycles pmnt   In Process - Collect 0</t>
  </si>
  <si>
    <t>Divya Rawat</t>
  </si>
  <si>
    <t>D-13/14, 1st Floor, DLF Exclusive Floor</t>
  </si>
  <si>
    <t>Return today (04/12) Hold today (05/03) Returned today (28/05) HDTNP (25/06)</t>
  </si>
  <si>
    <t>Gunjan Malhotra</t>
  </si>
  <si>
    <t>H. No. 298C, 1st Floor, Block G, Sushant Lok-2</t>
  </si>
  <si>
    <t>Paytm From Gunjan Malhotra // Hold n start from 04th Sep (02/08) Change day to Thursday (31/08) Do not count last Del (20/12) Skip 1 week (02/02) Skip 1 week (25/03)</t>
  </si>
  <si>
    <t>Gyan</t>
  </si>
  <si>
    <t>J7, 2nd Floor, Signature Global City, Sec 37 D</t>
  </si>
  <si>
    <t>Upgraded as per scheme to Bliss for 5 Deliveries (22/08) No delivered today-send tom (02/10) Skip 1 week (26/11) Skip 2 week (28/01) Skip 2 week (10/03) No Sunflower ( 17/06)</t>
  </si>
  <si>
    <t>2  del of this cycle   -  1-cycles pmnt   Pending - Collect 1450</t>
  </si>
  <si>
    <t>Meenu Amrith-- Evening Only</t>
  </si>
  <si>
    <t>H. No. 579, Ground Floor,Near Dell-- Sec-43</t>
  </si>
  <si>
    <t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t>
  </si>
  <si>
    <t>Mrs. Geeta Chopra</t>
  </si>
  <si>
    <t>E-64,Ground Floor,Suncity,Sec-54</t>
  </si>
  <si>
    <t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t>
  </si>
  <si>
    <t>Ms. Neelam Bhalla </t>
  </si>
  <si>
    <t>H4, 4th Floor, Olive Residency, Mayfield Garden, Sec 57</t>
  </si>
  <si>
    <t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t>
  </si>
  <si>
    <t>GLAD n BOP n GERBERA</t>
  </si>
  <si>
    <t>Priyanka Katyal</t>
  </si>
  <si>
    <t>1487, Saraswati Kunj, Sector 53</t>
  </si>
  <si>
    <t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t>
  </si>
  <si>
    <t>ORIENTAL n GULDAWARI</t>
  </si>
  <si>
    <t>Premium Flwer extra Next (09/01)</t>
  </si>
  <si>
    <t>Rahul Sehgal</t>
  </si>
  <si>
    <t>418-A, Hamilton Court</t>
  </si>
  <si>
    <t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t>
  </si>
  <si>
    <t>ROSE n RAJNI</t>
  </si>
  <si>
    <t>Roshni Achpal</t>
  </si>
  <si>
    <t>A-102, Belaire</t>
  </si>
  <si>
    <t>Gift From Ankita Mehta  // Shift to Delight(04/12) Gpay from Alok Asrani (04/12) Skip 2 week (19/12) No car (01/05) Skip 2 weeks (19/08) No rajni (08/09) Skip 2 week (18/12) No Button Daisy 912/02) Skip 1 week (14/03) Do not count last del (13/05) Skip 1 week (11/06) Skip 1 week (25/07)</t>
  </si>
  <si>
    <t>Car n Rajni n Buttn Daisies</t>
  </si>
  <si>
    <t>Sarita Dosaj</t>
  </si>
  <si>
    <t>B-24, Trinity Towers</t>
  </si>
  <si>
    <t>One Color Flower ( 06/06) HDTNP (25/06)</t>
  </si>
  <si>
    <t>One Color Flower ( 06/06)</t>
  </si>
  <si>
    <t>Shalini Sharma</t>
  </si>
  <si>
    <t>208, Espace</t>
  </si>
  <si>
    <t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t>
  </si>
  <si>
    <t>GULDAWARI n ORCHID</t>
  </si>
  <si>
    <t>Lilies Next (20/05)</t>
  </si>
  <si>
    <t>Shikha Malhotra</t>
  </si>
  <si>
    <t>M-254, Park Place</t>
  </si>
  <si>
    <t>Skip 2 week after 13th (07/11) Today Hold (04/12) Paytm From Vivek Malhotra //</t>
  </si>
  <si>
    <t>Tanya Sharma</t>
  </si>
  <si>
    <t>T-8/202, Chintel Serenity, Sec 109</t>
  </si>
  <si>
    <t>No Yellow wn Purple // no Rajni (02/02) No ALstroemeria and do not count last del(19/06) Pls Don’t count last del (26/06)</t>
  </si>
  <si>
    <t>Rajni n Alstroemeria</t>
  </si>
  <si>
    <t>No Yellow wn Purple // Stock Next (02/03)</t>
  </si>
  <si>
    <t>Chetna Bhardwaj</t>
  </si>
  <si>
    <t>A1/22C, ILD Grand Sec 37 C</t>
  </si>
  <si>
    <t>Alpna Jain</t>
  </si>
  <si>
    <t>C-64, The Icon</t>
  </si>
  <si>
    <t>Charm</t>
  </si>
  <si>
    <t>Thursday n Sunday // Hold today (08/02) Keep flowers outside of Door (17/05)</t>
  </si>
  <si>
    <t>Keep flowers outside of door always</t>
  </si>
  <si>
    <t>1  del of this cycle   -  1-cycles pmnt   Pending - Collect 3000</t>
  </si>
  <si>
    <t>Himabindu Kanchan</t>
  </si>
  <si>
    <t xml:space="preserve">D -13, Pinnacle Dlf Phase - 5 </t>
  </si>
  <si>
    <t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t>
  </si>
  <si>
    <t>Badshahpur</t>
  </si>
  <si>
    <t>Friday</t>
  </si>
  <si>
    <t>B56500</t>
  </si>
  <si>
    <t>By 7 PM</t>
  </si>
  <si>
    <t>Special Project</t>
  </si>
  <si>
    <t>8 Yel Marigold Lari + 4 Rajni Lari + 500 Gm Rose Petal + 3 Arrangements with Lily + Car + Orchid (19/07)</t>
  </si>
  <si>
    <t>1  del of this cycle   -  1-cycles pmnt   Pending - Collect 21500</t>
  </si>
  <si>
    <t>Saloni Gupta</t>
  </si>
  <si>
    <t>338, 3rd Floor, Espace</t>
  </si>
  <si>
    <t>B56516</t>
  </si>
  <si>
    <t>Ridhi Heritage</t>
  </si>
  <si>
    <t xml:space="preserve"> Flat-704 tower -C  Heritage One sector 62</t>
  </si>
  <si>
    <t>2 P Oriental</t>
  </si>
  <si>
    <t>1  del of this cycle   -  1-cycles pmnt   Pending - Collect 700</t>
  </si>
  <si>
    <t>G-00036</t>
  </si>
  <si>
    <t>Aanchal Boora</t>
  </si>
  <si>
    <t>Flat - 1171, Ats Triumph, Wing B, Tower 1, 17th Floor, Sec 104</t>
  </si>
  <si>
    <t>From Avni Ahuja // Skip tom (10/12) Paytm From Nitin Kunka // No Orchids (27/01) Skip 1 week (27/02) No Sunflowers (02/05)</t>
  </si>
  <si>
    <t xml:space="preserve">Orchid n Sunflowers </t>
  </si>
  <si>
    <t>One Kind</t>
  </si>
  <si>
    <t>B56526</t>
  </si>
  <si>
    <t>Abhijeet Mukherjee</t>
  </si>
  <si>
    <t xml:space="preserve"> 88029 99303</t>
  </si>
  <si>
    <t xml:space="preserve">Tower 6 Apartment no 401, Palm Terrace Select, Sector 66, </t>
  </si>
  <si>
    <t>By 9:30 AM</t>
  </si>
  <si>
    <t>Happy Birthday Namrata!</t>
  </si>
  <si>
    <t>1  del of this cycle   -  1-cycles pmnt   Pending - Collect 1450</t>
  </si>
  <si>
    <t>1  del of this cycle   -  0-cycles pmnt   In Process - Collect 0</t>
  </si>
  <si>
    <t>Ankita Mehta</t>
  </si>
  <si>
    <t>1B-71, Wellington Estate</t>
  </si>
  <si>
    <t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 Skip 1 week (03/07)</t>
  </si>
  <si>
    <t xml:space="preserve">SPRAY DAISY n GULDAWARI </t>
  </si>
  <si>
    <t>Change to Deligh next (30/01)</t>
  </si>
  <si>
    <t>Bhavna Taneja</t>
  </si>
  <si>
    <t>F-214, DLF The Crest,Sec-54</t>
  </si>
  <si>
    <t>9:30 AM to 2 PM</t>
  </si>
  <si>
    <t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t>
  </si>
  <si>
    <t>GULDAWARI n BOP n GERBERA</t>
  </si>
  <si>
    <t>Mixed Now</t>
  </si>
  <si>
    <t>1  del of this cycle   -  1-cycles pmnt   Pending - Collect 1400</t>
  </si>
  <si>
    <t>Divya Jain Midas</t>
  </si>
  <si>
    <t>Midas Touch, 1st Floor, A Block, Nirvana Courtyard</t>
  </si>
  <si>
    <t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t>
  </si>
  <si>
    <t>Dr. Arti Gupta 1</t>
  </si>
  <si>
    <t>Mondau</t>
  </si>
  <si>
    <t>Pls send a replacement of Asiatic tomorrow(23/08)NO GERBERA(22/09) Start special Pack(13/04) Send Del on Monday this week(20/03) NEVER BUT DAISIES(29/10) Hold today (22/01) HDTNP (19/02) Sent one xtra del today (29/06) Hold today (09/07)</t>
  </si>
  <si>
    <t>Monday</t>
  </si>
  <si>
    <t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 Hold today (09/07)</t>
  </si>
  <si>
    <t>Dr. Roma Kumar</t>
  </si>
  <si>
    <t>98110 87708</t>
  </si>
  <si>
    <t>RT-181, Royalton Tower
Inside Princeton Estate
DLF City Phase-V
Gurgaon-122009
Haryana</t>
  </si>
  <si>
    <t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 Hold today (02/07) Today Hold (12/07)</t>
  </si>
  <si>
    <t>Garima jain</t>
  </si>
  <si>
    <t xml:space="preserve"> G-901, Central Park 1, Golf Course Road    Sec 42 Gurgaon  122002</t>
  </si>
  <si>
    <t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t>
  </si>
  <si>
    <t>B56527</t>
  </si>
  <si>
    <t>Jasbir Singh</t>
  </si>
  <si>
    <t>9997092561 // 999453496</t>
  </si>
  <si>
    <t>Amber, 4th Floor, Universal Trade Centre</t>
  </si>
  <si>
    <t>Sohna Road 1</t>
  </si>
  <si>
    <t>By 11 AM</t>
  </si>
  <si>
    <t>White n Blue color theme// Need to check about wooden basket with orchids</t>
  </si>
  <si>
    <t>Ms Swati Bhise--before 10</t>
  </si>
  <si>
    <t xml:space="preserve">TG-5/4B Orchid Garden Sun city Sec - 54 </t>
  </si>
  <si>
    <t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 Skip next week (02/07)</t>
  </si>
  <si>
    <t>Upgrade to Elation next (14/08)</t>
  </si>
  <si>
    <t>1  del of this cycle   -  1-cycles pmnt   Pending - Collect 2750</t>
  </si>
  <si>
    <t>Rachna Rathee</t>
  </si>
  <si>
    <t xml:space="preserve">DX-106 flat no,Kendriya vihar Sector 56
</t>
  </si>
  <si>
    <t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t>
  </si>
  <si>
    <t>BLUE ORCHID n GERBERA</t>
  </si>
  <si>
    <t>Cutsomized-Biweekly</t>
  </si>
  <si>
    <t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 Do not count todays del (19/07)</t>
  </si>
  <si>
    <t>Sanjay Singh</t>
  </si>
  <si>
    <t>WT-1/1902, Experion Windchants, Sec 112</t>
  </si>
  <si>
    <t>From 9575027271</t>
  </si>
  <si>
    <t>1  del of this cycle   -  1-cycles pmnt   Pending - Collect 3088</t>
  </si>
  <si>
    <t>Sheeba Rana</t>
  </si>
  <si>
    <t>T-14/1202, The Close North</t>
  </si>
  <si>
    <t>Skip 1 week (31/12)</t>
  </si>
  <si>
    <t>Shipra Malhotra -- Same Flowers</t>
  </si>
  <si>
    <t>F-12, First Floor, Galacy Apartments</t>
  </si>
  <si>
    <t>3:30 PM to 7:30 PM</t>
  </si>
  <si>
    <t>Same Flowers in her Both subscription</t>
  </si>
  <si>
    <t>Same Flowers in Both Pack (13/05)</t>
  </si>
  <si>
    <t>Same Flowers in her Both subscription // Skip 1 week and next week send after 5 PM (17/06)</t>
  </si>
  <si>
    <t>After 5 PM on 28th (17/06)</t>
  </si>
  <si>
    <t>Simmi Chopra</t>
  </si>
  <si>
    <t>B/145, Suncity, Golf Course Road</t>
  </si>
  <si>
    <t>Upgrade to Elation (27/08) Send 10 B daisy next extra (04/10) Today Hold (04/12) Send one Del Tom (30/12)</t>
  </si>
  <si>
    <t>Send on del tom and no del on 1st Jan (30/12)</t>
  </si>
  <si>
    <t>B56528</t>
  </si>
  <si>
    <t>Suhina Banga</t>
  </si>
  <si>
    <t>D1-903 Ireo Skyon, sector 60 gurgaon</t>
  </si>
  <si>
    <t>From Raunak Banga // Happy Birthday Suhina</t>
  </si>
  <si>
    <t>Sunanda</t>
  </si>
  <si>
    <t>C-084, The Icon</t>
  </si>
  <si>
    <t>One Kind // Skip 1 week (13/01) HDTNP (26/02) HDTNP (04/03) HDTNP (12/03)</t>
  </si>
  <si>
    <t>Vermeen Kapoor</t>
  </si>
  <si>
    <t>B-59, South City 2</t>
  </si>
  <si>
    <t>Referred by Swati Khandelwal?/ Mixed Flowers // Send replace,ent tom (19/02) Day Changed to Thursday (08/04) today returned-send tom (24/07)</t>
  </si>
  <si>
    <t>Pre Flowers 4</t>
  </si>
  <si>
    <t>Pre Flowers 3</t>
  </si>
  <si>
    <t>Pre Flowers 2</t>
  </si>
  <si>
    <t>Pre Flowers 1</t>
  </si>
  <si>
    <t xml:space="preserve">Pre Flowers </t>
  </si>
  <si>
    <t>Flower 1</t>
  </si>
  <si>
    <t>Stick</t>
  </si>
  <si>
    <t>Flower 2</t>
  </si>
  <si>
    <t>Flower 3</t>
  </si>
  <si>
    <t>Consumables</t>
  </si>
  <si>
    <t>Delivered By</t>
  </si>
  <si>
    <t>Priority</t>
  </si>
  <si>
    <t>Feedback</t>
  </si>
  <si>
    <t>Payment</t>
  </si>
  <si>
    <t>Meenakshi Bhatia</t>
  </si>
  <si>
    <t>T-E/244, The Crest</t>
  </si>
  <si>
    <t>Hold she will confirm (17/05) Send on Sunday this week (23/05) Next Del on Sunday (29/05) 1 Spray daisy next (22/06) Send anthurium n BOP too (19/07) Skip 1 week (02/08) Skip 1 week and confirm before sending (24/08) Change day to Thursday (25/10) Today Hold (06/11) Send del on sunday and then from 18th (12/12) Skip 1 week (07/04)</t>
  </si>
  <si>
    <t>Send BOP and Anthuriums too (10/07) Chcek before sending (24/08)</t>
  </si>
  <si>
    <t>7  del of this cycle   -  0-cycles pmnt   Completed - Collect 0</t>
  </si>
  <si>
    <t>8  del of this cycle   -  0-cycles pmnt   Completed - Collect 0</t>
  </si>
  <si>
    <t>3  del of this cycle   -  1-cycles pmnt   Pending - Collect 1600</t>
  </si>
  <si>
    <t>5  del of this cycle   -  0-cycles pmnt   Completed - Collect 0</t>
  </si>
  <si>
    <t>2  del of this cycle   -  1-cycles pmnt   Pending - Collect 3000</t>
  </si>
  <si>
    <t>G n W Car ( 14 inch )</t>
  </si>
  <si>
    <t>Rajni ( 14 Inch )</t>
  </si>
  <si>
    <t>Y Spray Daisy ( 14 Inch )</t>
  </si>
  <si>
    <t>Y Asiatic ( 14 inch )</t>
  </si>
  <si>
    <t>Sunflower ( 12 Inch )</t>
  </si>
  <si>
    <t>O Asiatic ( 14 Inch )</t>
  </si>
  <si>
    <t>P n W Car ( 14 Inch )</t>
  </si>
  <si>
    <t>P n Y Spray Daisy ( 14 Inch )</t>
  </si>
  <si>
    <t>Mix Glad ( 14 Inch )</t>
  </si>
  <si>
    <t>Pur n P Car ( 14 Inch )</t>
  </si>
  <si>
    <t>Grass</t>
  </si>
  <si>
    <t>FF Sachet + Grass</t>
  </si>
  <si>
    <t>Semi Bloom P Oriental</t>
  </si>
  <si>
    <t>Walkin Tissue Wrap</t>
  </si>
  <si>
    <t>Message</t>
  </si>
  <si>
    <t>Semi Bloom P n W Oriental + P n W Car + Y Spray Daisy</t>
  </si>
  <si>
    <t>4 + 15 + 5</t>
  </si>
  <si>
    <t>Single Wrap</t>
  </si>
  <si>
    <t xml:space="preserve">Broken Flowers </t>
  </si>
  <si>
    <t>1 Shop</t>
  </si>
  <si>
    <t>Mix Alstroemeria ( 12 Inch )</t>
  </si>
  <si>
    <t>Pur Eustoma ( 12 Inch )</t>
  </si>
  <si>
    <t>G n W Car ( 14 Inch )</t>
  </si>
  <si>
    <t>P Glad ( 14 Inch )</t>
  </si>
  <si>
    <t>1  del of this cycle   -  1-cycles pmnt   Pending - Collect 1900</t>
  </si>
  <si>
    <t>Collect Rs 435</t>
  </si>
  <si>
    <t>Carry Receipt Book</t>
  </si>
  <si>
    <t>Y n W Asiatic ( 14 Inch )</t>
  </si>
  <si>
    <t>4 Areca Palm + 2 Gypsola + 2 Limonium</t>
  </si>
  <si>
    <t>Collection Only</t>
  </si>
  <si>
    <t>W Asiatic</t>
  </si>
  <si>
    <t>P Eustoma ( 12 Inch )</t>
  </si>
  <si>
    <t>NO Yellow n Purple Color</t>
  </si>
  <si>
    <t xml:space="preserve">B Orchid </t>
  </si>
  <si>
    <t>Pur n P Eustoma ( 12 Inch )</t>
  </si>
  <si>
    <t>2 Gypsola</t>
  </si>
  <si>
    <t>2 Limonium + FF Sachet</t>
  </si>
  <si>
    <t>2 Limonium</t>
  </si>
  <si>
    <t>3 Areca Palm + 3 3 Limonium</t>
  </si>
  <si>
    <t>Chcek Flowers</t>
  </si>
  <si>
    <t xml:space="preserve">Y Marigold Lari + Big Rajni Lari + B Orchid + P n W n Pur Car + Y Asiatic </t>
  </si>
  <si>
    <t>8 Bunch + 4 Bunch + 10 + 40 + 8</t>
  </si>
  <si>
    <t xml:space="preserve">Rose Petal + Mogra </t>
  </si>
  <si>
    <t>500 Gm + 200 Gm</t>
  </si>
  <si>
    <t>Check Wooden Basket with Orchids with Om Prakash</t>
  </si>
  <si>
    <t>Rajni</t>
  </si>
  <si>
    <t>Spray Daisy</t>
  </si>
  <si>
    <t>Alstroemeria</t>
  </si>
  <si>
    <t>B Daisy</t>
  </si>
  <si>
    <t>Glad</t>
  </si>
  <si>
    <t>Carnation</t>
  </si>
  <si>
    <t>Asiatic</t>
  </si>
  <si>
    <t>Oriental</t>
  </si>
  <si>
    <t>Anthurium // BOP</t>
  </si>
  <si>
    <t>Eustoma</t>
  </si>
  <si>
    <t>total revenue</t>
  </si>
  <si>
    <t>revenue for the day</t>
  </si>
  <si>
    <t>Total</t>
  </si>
  <si>
    <t>Sticks in bndl</t>
  </si>
  <si>
    <t>Current Cost/bdl</t>
  </si>
  <si>
    <t>bi weekly</t>
  </si>
  <si>
    <t>NA</t>
  </si>
  <si>
    <t>Customized Plans</t>
  </si>
  <si>
    <t>A-2, G Floor</t>
  </si>
  <si>
    <t xml:space="preserve"> left of prev day</t>
  </si>
  <si>
    <t>TO BUY</t>
  </si>
  <si>
    <t>Wastage</t>
  </si>
  <si>
    <t>To buy wth wastage</t>
  </si>
  <si>
    <t>Bundles to buy</t>
  </si>
  <si>
    <t xml:space="preserve">Flowers </t>
  </si>
  <si>
    <t>COST</t>
  </si>
  <si>
    <t>Quantity</t>
  </si>
  <si>
    <t>Rate</t>
  </si>
  <si>
    <t>Arika</t>
  </si>
  <si>
    <t>victoria</t>
  </si>
  <si>
    <t>Murraiya</t>
  </si>
  <si>
    <t>grass</t>
  </si>
  <si>
    <t>Taal Palm</t>
  </si>
  <si>
    <t>Nargis</t>
  </si>
  <si>
    <t>Rose petal</t>
  </si>
  <si>
    <t>Genda</t>
  </si>
  <si>
    <t>Limonium</t>
  </si>
  <si>
    <t>Mogra</t>
  </si>
  <si>
    <t>Gypsy</t>
  </si>
  <si>
    <t>Leather Fern</t>
  </si>
  <si>
    <t>Cycus Palm</t>
  </si>
  <si>
    <t>O Marigold Lari</t>
  </si>
  <si>
    <t>Y Marigold Lari</t>
  </si>
  <si>
    <t>Ashok Lari</t>
  </si>
  <si>
    <t>Mogra Lari</t>
  </si>
  <si>
    <t>Rajni Lari</t>
  </si>
  <si>
    <t>Daisy Lari</t>
  </si>
  <si>
    <t>Check with us before sending</t>
  </si>
  <si>
    <t>Ensure Collection</t>
  </si>
  <si>
    <t>2  del of this cycle   -   0 -cycles pmnt   Completed - Collect 0</t>
  </si>
  <si>
    <t>Pls Ensure Collection</t>
  </si>
  <si>
    <t>BPTP Cetra 1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</si>
</sst>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dd\/mm\/yy"/>
    <numFmt numFmtId="166" formatCode="0.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2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i/>
      <sz val="11"/>
      <color rgb="FF7030A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1" fontId="4" fillId="2" borderId="1" xfId="1" applyNumberFormat="1" applyFont="1" applyFill="1" applyBorder="1" applyAlignment="1">
      <alignment horizontal="center" vertical="center" wrapText="1" shrinkToFit="1"/>
    </xf>
    <xf numFmtId="0" fontId="5" fillId="2" borderId="1" xfId="1" applyFont="1" applyFill="1" applyBorder="1" applyAlignment="1">
      <alignment horizontal="center" vertical="center" wrapText="1" shrinkToFit="1"/>
    </xf>
    <xf numFmtId="164" fontId="4" fillId="2" borderId="1" xfId="1" applyNumberFormat="1" applyFont="1" applyFill="1" applyBorder="1" applyAlignment="1">
      <alignment horizontal="center" vertical="center" wrapText="1" shrinkToFit="1"/>
    </xf>
    <xf numFmtId="165" fontId="5" fillId="2" borderId="1" xfId="1" applyNumberFormat="1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shrinkToFit="1"/>
    </xf>
    <xf numFmtId="0" fontId="9" fillId="2" borderId="1" xfId="1" applyFont="1" applyFill="1" applyBorder="1" applyAlignment="1">
      <alignment horizontal="center" vertical="center" wrapText="1" shrinkToFit="1"/>
    </xf>
    <xf numFmtId="0" fontId="0" fillId="0" borderId="1" xfId="0" applyBorder="1" applyAlignment="1">
      <alignment wrapText="1" shrinkToFit="1"/>
    </xf>
    <xf numFmtId="0" fontId="10" fillId="2" borderId="1" xfId="0" applyFont="1" applyFill="1" applyBorder="1" applyAlignment="1">
      <alignment horizontal="center" vertical="center" wrapText="1" shrinkToFit="1"/>
    </xf>
    <xf numFmtId="0" fontId="12" fillId="4" borderId="1" xfId="0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 shrinkToFit="1"/>
    </xf>
    <xf numFmtId="0" fontId="12" fillId="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 shrinkToFit="1"/>
    </xf>
    <xf numFmtId="0" fontId="1" fillId="7" borderId="1" xfId="0" applyFont="1" applyFill="1" applyBorder="1" applyAlignment="1">
      <alignment horizontal="center" vertical="center" wrapText="1" shrinkToFit="1"/>
    </xf>
    <xf numFmtId="0" fontId="0" fillId="8" borderId="1" xfId="0" applyFill="1" applyBorder="1" applyAlignment="1">
      <alignment horizontal="center" vertical="center" wrapText="1" shrinkToFit="1"/>
    </xf>
    <xf numFmtId="0" fontId="12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 shrinkToFi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3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5" fillId="0" borderId="1" xfId="0" applyFont="1" applyBorder="1" applyAlignment="1">
      <alignment wrapText="1" shrinkToFit="1"/>
    </xf>
    <xf numFmtId="0" fontId="16" fillId="0" borderId="1" xfId="0" applyFont="1" applyBorder="1" applyAlignment="1">
      <alignment wrapText="1" shrinkToFit="1"/>
    </xf>
    <xf numFmtId="0" fontId="9" fillId="2" borderId="3" xfId="1" applyFont="1" applyFill="1" applyBorder="1" applyAlignment="1">
      <alignment horizontal="center" vertical="center" wrapText="1" shrinkToFit="1"/>
    </xf>
    <xf numFmtId="0" fontId="17" fillId="0" borderId="4" xfId="1" applyFont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9" fillId="0" borderId="1" xfId="1" applyNumberFormat="1" applyFont="1" applyBorder="1" applyAlignment="1">
      <alignment horizontal="center" vertical="center" wrapText="1"/>
    </xf>
    <xf numFmtId="1" fontId="19" fillId="0" borderId="0" xfId="1" applyNumberFormat="1" applyFont="1" applyAlignment="1">
      <alignment horizontal="center" vertical="center" wrapText="1"/>
    </xf>
    <xf numFmtId="1" fontId="20" fillId="0" borderId="1" xfId="1" applyNumberFormat="1" applyFont="1" applyBorder="1" applyAlignment="1">
      <alignment horizontal="center" vertical="center" wrapText="1"/>
    </xf>
    <xf numFmtId="0" fontId="19" fillId="5" borderId="4" xfId="1" applyFont="1" applyFill="1" applyBorder="1" applyAlignment="1">
      <alignment horizontal="center" vertical="center" wrapText="1"/>
    </xf>
    <xf numFmtId="0" fontId="19" fillId="9" borderId="1" xfId="1" applyFont="1" applyFill="1" applyBorder="1" applyAlignment="1">
      <alignment horizontal="center" vertical="center" wrapText="1"/>
    </xf>
    <xf numFmtId="0" fontId="17" fillId="9" borderId="4" xfId="1" applyFont="1" applyFill="1" applyBorder="1" applyAlignment="1">
      <alignment horizontal="center" vertical="center" wrapText="1"/>
    </xf>
    <xf numFmtId="0" fontId="21" fillId="5" borderId="4" xfId="1" applyFont="1" applyFill="1" applyBorder="1" applyAlignment="1">
      <alignment horizontal="center" vertical="center" wrapText="1"/>
    </xf>
    <xf numFmtId="0" fontId="19" fillId="10" borderId="1" xfId="1" applyFont="1" applyFill="1" applyBorder="1" applyAlignment="1">
      <alignment horizontal="center" vertical="center" wrapText="1"/>
    </xf>
    <xf numFmtId="1" fontId="15" fillId="0" borderId="0" xfId="4" applyNumberFormat="1" applyFont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17" fillId="8" borderId="4" xfId="1" applyFont="1" applyFill="1" applyBorder="1" applyAlignment="1">
      <alignment horizontal="center" vertical="center" wrapText="1"/>
    </xf>
    <xf numFmtId="0" fontId="17" fillId="8" borderId="1" xfId="1" applyFont="1" applyFill="1" applyBorder="1" applyAlignment="1">
      <alignment horizontal="center" vertical="center" wrapText="1"/>
    </xf>
    <xf numFmtId="0" fontId="17" fillId="5" borderId="4" xfId="1" applyFont="1" applyFill="1" applyBorder="1" applyAlignment="1">
      <alignment horizontal="center" vertical="center" wrapText="1"/>
    </xf>
    <xf numFmtId="1" fontId="17" fillId="0" borderId="1" xfId="1" applyNumberFormat="1" applyFont="1" applyBorder="1" applyAlignment="1">
      <alignment horizontal="center" vertical="center" wrapText="1"/>
    </xf>
    <xf numFmtId="9" fontId="19" fillId="0" borderId="1" xfId="1" applyNumberFormat="1" applyFont="1" applyBorder="1" applyAlignment="1">
      <alignment horizontal="center" vertical="center" wrapText="1"/>
    </xf>
    <xf numFmtId="1" fontId="19" fillId="0" borderId="1" xfId="1" applyNumberFormat="1" applyFont="1" applyBorder="1" applyAlignment="1">
      <alignment horizontal="center" vertical="center" wrapText="1"/>
    </xf>
    <xf numFmtId="166" fontId="19" fillId="0" borderId="1" xfId="1" applyNumberFormat="1" applyFont="1" applyBorder="1" applyAlignment="1">
      <alignment horizontal="center" vertical="center" wrapText="1"/>
    </xf>
    <xf numFmtId="0" fontId="17" fillId="6" borderId="4" xfId="1" applyFont="1" applyFill="1" applyBorder="1" applyAlignment="1">
      <alignment horizontal="center" vertical="center" wrapText="1"/>
    </xf>
    <xf numFmtId="0" fontId="19" fillId="6" borderId="1" xfId="1" applyFont="1" applyFill="1" applyBorder="1" applyAlignment="1">
      <alignment horizontal="center" vertical="center" wrapText="1"/>
    </xf>
    <xf numFmtId="0" fontId="22" fillId="11" borderId="4" xfId="1" applyFont="1" applyFill="1" applyBorder="1" applyAlignment="1">
      <alignment horizontal="center" vertical="center" wrapText="1"/>
    </xf>
    <xf numFmtId="0" fontId="20" fillId="11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5" borderId="1" xfId="1" applyFont="1" applyFill="1" applyBorder="1" applyAlignment="1">
      <alignment horizontal="center" vertical="center" wrapText="1"/>
    </xf>
    <xf numFmtId="0" fontId="17" fillId="12" borderId="4" xfId="1" applyFont="1" applyFill="1" applyBorder="1" applyAlignment="1">
      <alignment horizontal="center" vertical="center" wrapText="1"/>
    </xf>
    <xf numFmtId="0" fontId="19" fillId="12" borderId="1" xfId="1" applyFont="1" applyFill="1" applyBorder="1" applyAlignment="1">
      <alignment horizontal="center" vertical="center" wrapText="1"/>
    </xf>
    <xf numFmtId="0" fontId="23" fillId="13" borderId="4" xfId="1" applyFont="1" applyFill="1" applyBorder="1" applyAlignment="1">
      <alignment horizontal="center" vertical="center" wrapText="1"/>
    </xf>
    <xf numFmtId="0" fontId="24" fillId="13" borderId="1" xfId="1" applyFont="1" applyFill="1" applyBorder="1" applyAlignment="1">
      <alignment horizontal="center" vertical="center" wrapText="1"/>
    </xf>
    <xf numFmtId="0" fontId="17" fillId="14" borderId="4" xfId="1" applyFont="1" applyFill="1" applyBorder="1" applyAlignment="1">
      <alignment horizontal="center" vertical="center" wrapText="1"/>
    </xf>
    <xf numFmtId="0" fontId="25" fillId="14" borderId="1" xfId="1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9" fontId="15" fillId="0" borderId="0" xfId="5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</cellXfs>
  <cellStyles count="6">
    <cellStyle name="Hyperlink 2" xfId="2" xr:uid="{94670085-B701-4C15-A026-5A96B281BF85}"/>
    <cellStyle name="Normal" xfId="0" builtinId="0"/>
    <cellStyle name="Normal 2" xfId="1" xr:uid="{467B75AE-C9B1-44D9-9D8D-A910F52C4139}"/>
    <cellStyle name="Normal 25" xfId="3" xr:uid="{DA4EBEF7-30F7-4179-8C11-9413FDAA2DDD}"/>
    <cellStyle name="Percent" xfId="4" builtinId="5"/>
    <cellStyle name="Percent 2" xfId="5" xr:uid="{D19326D5-180D-474A-8ED5-7E31107BE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0bce48fe946bb5/Desktop/Final%20Feedback%20June%202026%20(31).xlsx" TargetMode="External"/><Relationship Id="rId1" Type="http://schemas.openxmlformats.org/officeDocument/2006/relationships/externalLinkPath" Target="Final%20Feedback%20June%202026%20(3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t%20Tripathi\Downloads\Feedback%20July%2026%20(24).xlsx" TargetMode="External"/><Relationship Id="rId1" Type="http://schemas.openxmlformats.org/officeDocument/2006/relationships/externalLinkPath" Target="file:///C:\Users\Amit%20Tripathi\Downloads\Feedback%20July%2026%20(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6-26"/>
      <sheetName val="02-06-26"/>
      <sheetName val="03-06-26"/>
      <sheetName val="04-06-26"/>
      <sheetName val="05-06-26"/>
      <sheetName val="06-6-26"/>
      <sheetName val=" 07-06-26"/>
      <sheetName val="08-06-26"/>
      <sheetName val="09-06-26"/>
      <sheetName val="10-06-26"/>
      <sheetName val="11-06-26"/>
      <sheetName val="12-06-26"/>
      <sheetName val="13-06-26"/>
      <sheetName val="14-06-26"/>
      <sheetName val="15-06-26"/>
      <sheetName val="16-06-26"/>
      <sheetName val="17-06-26"/>
      <sheetName val="18-06-26"/>
      <sheetName val="19-06-26"/>
      <sheetName val="20-06-26"/>
      <sheetName val="21-06-26"/>
      <sheetName val="22-06-26"/>
      <sheetName val="25-06-26"/>
      <sheetName val="23-06-26"/>
      <sheetName val="24-06-26"/>
      <sheetName val="26-06-26"/>
      <sheetName val="27-06-26"/>
      <sheetName val="28-06-26"/>
      <sheetName val="29-06-26"/>
      <sheetName val="30-06-26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A2">
            <v>2655</v>
          </cell>
          <cell r="B2" t="str">
            <v>Komal - Abante</v>
          </cell>
          <cell r="C2" t="str">
            <v>0124-4042908</v>
          </cell>
          <cell r="D2" t="str">
            <v>Abante,C-301-02, 3rd Floor, M3M Urbana, Sec 67</v>
          </cell>
          <cell r="E2" t="str">
            <v>Badshahpur</v>
          </cell>
          <cell r="F2" t="str">
            <v>Sunday</v>
          </cell>
          <cell r="G2" t="str">
            <v>By 12 PM</v>
          </cell>
          <cell r="H2">
            <v>2100</v>
          </cell>
          <cell r="I2">
            <v>525</v>
          </cell>
          <cell r="J2" t="str">
            <v>Corporate</v>
          </cell>
          <cell r="K2" t="str">
            <v>Day Changed to // Send tomorrow (02/10) Send tom (26/01)</v>
          </cell>
          <cell r="N2" t="str">
            <v>3  del of this cycle   -  0-cycles pmnt   In Process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Arrangement  1     </v>
          </cell>
        </row>
        <row r="3">
          <cell r="A3">
            <v>237</v>
          </cell>
          <cell r="B3" t="str">
            <v>Mayom Hospital</v>
          </cell>
          <cell r="C3">
            <v>8860079525</v>
          </cell>
          <cell r="D3" t="str">
            <v>Mayom Hospital, D block south city 1</v>
          </cell>
          <cell r="E3" t="str">
            <v>South City 1</v>
          </cell>
          <cell r="F3" t="str">
            <v>Sunday</v>
          </cell>
          <cell r="G3" t="str">
            <v>9 AM - 12 PM</v>
          </cell>
          <cell r="H3">
            <v>3000</v>
          </cell>
          <cell r="I3">
            <v>375</v>
          </cell>
          <cell r="J3" t="str">
            <v>Corporate</v>
          </cell>
          <cell r="K3" t="str">
            <v>Sending on 20th instaed of 21st,bcoz of Holi(18/03) Send on Monday this week(20/03)</v>
          </cell>
          <cell r="N3" t="str">
            <v>3  del of this cycle   -  0-cycles pmnt   In Process - Collect 0</v>
          </cell>
          <cell r="O3" t="e">
            <v>#N/A</v>
          </cell>
          <cell r="P3" t="str">
            <v xml:space="preserve">Mix Car 16     </v>
          </cell>
          <cell r="Q3" t="str">
            <v xml:space="preserve">Asiatic 3     </v>
          </cell>
          <cell r="R3" t="str">
            <v xml:space="preserve">P n W Glad ( 14 Inch ) 15     </v>
          </cell>
          <cell r="S3" t="str">
            <v>Sunflower ( 12 Inch ) 4     Grass</v>
          </cell>
          <cell r="T3" t="str">
            <v xml:space="preserve">Rajni ( 14 Inch ) 15     </v>
          </cell>
        </row>
        <row r="4">
          <cell r="A4" t="str">
            <v>B53825</v>
          </cell>
          <cell r="B4" t="str">
            <v>Surender Chaudhary</v>
          </cell>
          <cell r="C4" t="str">
            <v>0124-404030</v>
          </cell>
          <cell r="D4" t="str">
            <v>D-2/502, Parsvanath Exotica</v>
          </cell>
          <cell r="E4" t="str">
            <v>DLF Phase 5</v>
          </cell>
          <cell r="F4" t="str">
            <v>Thursday</v>
          </cell>
          <cell r="G4" t="str">
            <v>9 AM - 12 PM</v>
          </cell>
          <cell r="H4">
            <v>550</v>
          </cell>
          <cell r="I4">
            <v>550</v>
          </cell>
          <cell r="J4" t="str">
            <v>Bouquet</v>
          </cell>
          <cell r="K4" t="str">
            <v>Rotary Birthday // Wish you a very Happy Birthday. From RCGQE (31/01)</v>
          </cell>
          <cell r="N4" t="str">
            <v>1  del of this cycle   -  0-cycles pmnt   In Process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 xml:space="preserve">Pur n P Car ( 14 inch ) 15 Walkin Tissue Wrap Message   </v>
          </cell>
        </row>
        <row r="5">
          <cell r="A5" t="str">
            <v>B56181</v>
          </cell>
          <cell r="B5" t="str">
            <v>Sonia Gabba</v>
          </cell>
          <cell r="C5">
            <v>9650808877</v>
          </cell>
          <cell r="D5" t="str">
            <v>T-1/1601, Soveriegn, C Tower, Vatika City</v>
          </cell>
          <cell r="E5" t="str">
            <v>Sohna Road 1</v>
          </cell>
          <cell r="F5" t="str">
            <v>Thursday</v>
          </cell>
          <cell r="G5" t="str">
            <v>By 10 AM</v>
          </cell>
          <cell r="H5">
            <v>850</v>
          </cell>
          <cell r="I5">
            <v>850</v>
          </cell>
          <cell r="J5" t="str">
            <v>Bouquet</v>
          </cell>
          <cell r="K5" t="str">
            <v>From Mamta Wassan// 5 Sunflower in Single Wrap // Dear Sonia,    May there always be sunshine, like these flowers, in your life.       Happy Birthday           Mamta (16/06)</v>
          </cell>
          <cell r="N5" t="str">
            <v>1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 xml:space="preserve">Sunflower ( 12 Inch ) 5 Single Wrap Message   </v>
          </cell>
        </row>
        <row r="6">
          <cell r="A6" t="str">
            <v>B56189</v>
          </cell>
          <cell r="B6" t="str">
            <v>Meenu Amrith-- Evening Only</v>
          </cell>
          <cell r="C6">
            <v>9891350735</v>
          </cell>
          <cell r="D6" t="str">
            <v>H. No. 579, Ground Floor,Near Dell-- Sec-43</v>
          </cell>
          <cell r="E6" t="str">
            <v>DLF Phase 5</v>
          </cell>
          <cell r="F6" t="str">
            <v>Thursday</v>
          </cell>
          <cell r="G6" t="str">
            <v>By 10 AM</v>
          </cell>
          <cell r="H6">
            <v>1450</v>
          </cell>
          <cell r="I6">
            <v>362.5</v>
          </cell>
          <cell r="J6" t="str">
            <v>Bouquet</v>
          </cell>
          <cell r="K6" t="str">
            <v>10 B Orchid in Blue/W n Golden Tossue Wrap front</v>
          </cell>
          <cell r="N6" t="str">
            <v>1  del of this cycle   -  1-cycles pmnt   Pending - Collect 1450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>B Orchid 10 Front Blue n W n Golden Tissue Wrap With Subscription With Subscription  Grass</v>
          </cell>
        </row>
        <row r="7">
          <cell r="A7">
            <v>949</v>
          </cell>
          <cell r="B7" t="str">
            <v>Meenu Amrith-- Evening Only</v>
          </cell>
          <cell r="C7">
            <v>9891350735</v>
          </cell>
          <cell r="D7" t="str">
            <v>H. No. 579, Ground Floor,Near Dell-- Sec-43</v>
          </cell>
          <cell r="E7" t="str">
            <v>DLF Phase 5</v>
          </cell>
          <cell r="F7" t="str">
            <v>Thursday</v>
          </cell>
          <cell r="G7" t="str">
            <v>10 AM to 2:30 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" t="str">
            <v>1  del of this cycle   -  1-cycles pmnt   Pending - Collect 2900</v>
          </cell>
          <cell r="O7" t="e">
            <v>#N/A</v>
          </cell>
          <cell r="P7" t="str">
            <v>Mix Alstroemeria ( 12 Inch ) 16     Grass</v>
          </cell>
          <cell r="Q7" t="str">
            <v>P n W Glad ( 14 Inch ) 16     Grass</v>
          </cell>
          <cell r="R7" t="str">
            <v>P n Y Spray Dausy ( 14 Inch ) 5     FF Sachet + Grass</v>
          </cell>
          <cell r="S7" t="str">
            <v>P Asiatic ( 14 Inch )  3     Grass</v>
          </cell>
          <cell r="T7" t="str">
            <v>Pur n P Car ( 14 inch ) 16     FF Sachet + Grass</v>
          </cell>
        </row>
        <row r="8">
          <cell r="A8" t="str">
            <v>B56191</v>
          </cell>
          <cell r="B8" t="str">
            <v>V P Singh</v>
          </cell>
          <cell r="C8">
            <v>9717986555</v>
          </cell>
          <cell r="D8" t="str">
            <v>WT04/701, Experion Windchantsm Sec 112</v>
          </cell>
          <cell r="E8" t="str">
            <v>Dwarka Expressway</v>
          </cell>
          <cell r="F8" t="str">
            <v>Thursday</v>
          </cell>
          <cell r="G8" t="str">
            <v>By 10 AM</v>
          </cell>
          <cell r="H8">
            <v>1050</v>
          </cell>
          <cell r="I8">
            <v>1050</v>
          </cell>
          <cell r="J8" t="str">
            <v>Bouquet</v>
          </cell>
          <cell r="K8" t="str">
            <v>3 Asiatic + 5 Car + 5 Spray Daisy</v>
          </cell>
          <cell r="N8" t="str">
            <v>1  del of this cycle   -  0-cycles pmnt   Completed - Collect 0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str">
            <v xml:space="preserve">Semi Bloom P Asiatic + P n W Car + G n W Spray Daisy 3 + 6 + 5 Single Wrap    </v>
          </cell>
        </row>
        <row r="9">
          <cell r="A9">
            <v>236</v>
          </cell>
          <cell r="B9" t="str">
            <v>Dr. Arti Gupta 1</v>
          </cell>
          <cell r="C9">
            <v>8860079525</v>
          </cell>
          <cell r="D9" t="str">
            <v>Mayom Hospital, D block south city 1</v>
          </cell>
          <cell r="E9" t="str">
            <v>South City 1</v>
          </cell>
          <cell r="F9" t="str">
            <v>Mondau</v>
          </cell>
          <cell r="G9" t="str">
            <v>9 AM - 12 PM</v>
          </cell>
          <cell r="H9">
            <v>1450</v>
          </cell>
          <cell r="I9">
            <v>362.5</v>
          </cell>
          <cell r="J9" t="str">
            <v>Corporate</v>
          </cell>
          <cell r="K9" t="str">
            <v>Pls send a replacement of Asiatic tomorrow(23/08)NO GERBERA(22/09) Start special Pack(13/04) Send Del on Monday this week(20/03) NEVER BUT DAISIES(29/10) Hold today (22/01) HDTNP (19/02)</v>
          </cell>
          <cell r="N9" t="str">
            <v>1  del of this cycle   -  0-cycles pmnt   In Process - Collect 0</v>
          </cell>
          <cell r="O9" t="str">
            <v>Mix Alstroemeria ( 14 inch )  16     FF sachet + Grass</v>
          </cell>
          <cell r="P9" t="str">
            <v>Mix Car 16     Grass</v>
          </cell>
          <cell r="Q9" t="str">
            <v>P n W Glad ( 14 Inch ) 16     Grass</v>
          </cell>
          <cell r="R9" t="str">
            <v>Mix Alstroemeria ( 12 Inch ) 16     FF Sachet + Grass</v>
          </cell>
          <cell r="S9" t="str">
            <v>Pur n P Car ( 14 inch ) 16     FF Sachet + Grass</v>
          </cell>
          <cell r="T9" t="str">
            <v>P n W Glad ( 14 Inch ) 16     Grass</v>
          </cell>
        </row>
        <row r="10">
          <cell r="A10">
            <v>366</v>
          </cell>
          <cell r="B10" t="str">
            <v>Dr. Arti Gupta 1</v>
          </cell>
          <cell r="C10">
            <v>8860079525</v>
          </cell>
          <cell r="D10" t="str">
            <v>Mayom Hospital, D block south city 1</v>
          </cell>
          <cell r="E10" t="str">
            <v>South City 1</v>
          </cell>
          <cell r="F10" t="str">
            <v>Monday</v>
          </cell>
          <cell r="G10" t="str">
            <v>9 AM - 12 PM</v>
          </cell>
          <cell r="H10">
            <v>1450</v>
          </cell>
          <cell r="I10">
            <v>362.5</v>
          </cell>
          <cell r="J10" t="str">
            <v>Corporate</v>
          </cell>
          <cell r="K10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</v>
          </cell>
          <cell r="N10" t="str">
            <v>1  del of this cycle   -  0-cycles pmnt   In Process - Collect 0</v>
          </cell>
          <cell r="O10" t="str">
            <v>Sunflower ( 15 inch ) 4     Grass</v>
          </cell>
          <cell r="P10" t="str">
            <v>P n Y Spray Daisy ( 15 Inch ) 5     FF Sachet + Grass</v>
          </cell>
          <cell r="Q10" t="str">
            <v>W Asiatic ( 14 Inch ) 3     Grass</v>
          </cell>
          <cell r="R10" t="str">
            <v>P Asiatic ( 14 Inch ) 3     Grass</v>
          </cell>
          <cell r="S10" t="str">
            <v>Y Asiatic ( 14 Inch ) 3     Grass</v>
          </cell>
          <cell r="T10" t="str">
            <v>O Asiatic ( 14 Inch ) 3     Grass</v>
          </cell>
        </row>
        <row r="11">
          <cell r="A11">
            <v>396</v>
          </cell>
          <cell r="B11" t="str">
            <v>Dr. Deepa Gupta</v>
          </cell>
          <cell r="C11">
            <v>8860079525</v>
          </cell>
          <cell r="D11" t="str">
            <v>Mayom Hospital, D block south city 1</v>
          </cell>
          <cell r="E11" t="str">
            <v>South City 1</v>
          </cell>
          <cell r="F11" t="str">
            <v>Thursday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Corporate</v>
          </cell>
          <cell r="K11" t="str">
            <v>1 del Missed(07/10) Return-send next week(31/12) Send replacement of Gerbera(30/10) Send on Monday this week(20/03) Return- hold package(08/07) Today returned-send next week(02/06) HDTNP (19/02)</v>
          </cell>
          <cell r="N11" t="str">
            <v>3  del of this cycle   -  0-cycles pmnt   In Process - Collect 0</v>
          </cell>
          <cell r="O11" t="str">
            <v>Mix Alstroemeria ( 14 inch )  16     FF sachet + Grass</v>
          </cell>
          <cell r="P11" t="str">
            <v>P n W Glad ( 14 inch ) 16     Grass</v>
          </cell>
          <cell r="Q11" t="str">
            <v>P n W Car ( 14 inch ) 16     FF Sachet + grass</v>
          </cell>
          <cell r="R11" t="str">
            <v>Mix Alstroemeria ( 12 Inch ) 16     FF Sachet + Grass</v>
          </cell>
          <cell r="S11" t="str">
            <v>P n W Glad ( 14 Inch ) 16     Grass</v>
          </cell>
          <cell r="T11" t="str">
            <v>Pur n P Car ( 14 inch ) 16     FF Sachet + Grass</v>
          </cell>
        </row>
        <row r="12">
          <cell r="A12">
            <v>922</v>
          </cell>
          <cell r="B12" t="str">
            <v>Dr. Deepa Gupta</v>
          </cell>
          <cell r="C12">
            <v>8860079525</v>
          </cell>
          <cell r="D12" t="str">
            <v>Mayom Hospital, D block south city 1</v>
          </cell>
          <cell r="E12" t="str">
            <v>South City 1</v>
          </cell>
          <cell r="F12" t="str">
            <v>Thursday</v>
          </cell>
          <cell r="G12" t="str">
            <v>4 PM to 7 PM</v>
          </cell>
          <cell r="H12">
            <v>1450</v>
          </cell>
          <cell r="I12">
            <v>362.5</v>
          </cell>
          <cell r="J12" t="str">
            <v>Corporate</v>
          </cell>
          <cell r="K12" t="str">
            <v>1 del Missed(07/10) Return-send next week(31/12) Send replacement of Gerbera(30/10) Send on Monday this week(20/03) Return- hold package(08/07) Today returned-send next week(02/06) HDTNP (19/02)</v>
          </cell>
          <cell r="N12" t="str">
            <v>3  del of this cycle   -  0-cycles pmnt   In Process - Collect 0</v>
          </cell>
          <cell r="O12" t="str">
            <v>P n W Spray Daisy ( 15 inch ) 5     FF sachet + Grass</v>
          </cell>
          <cell r="P12" t="str">
            <v>Sunflower ( 14 inch ) 4     Grass</v>
          </cell>
          <cell r="Q12" t="str">
            <v>W Asiatic ( 14 Inch ) 3     Grass</v>
          </cell>
          <cell r="R12" t="str">
            <v>P Asiatic ( 14 Inch ) 3     Grass</v>
          </cell>
          <cell r="S12" t="str">
            <v>Y Asiatic ( 14 Inch ) 3     Grass</v>
          </cell>
          <cell r="T12" t="str">
            <v>O Asiatic ( 14 Inch ) 3     Grass</v>
          </cell>
        </row>
        <row r="13">
          <cell r="B13" t="str">
            <v>6364 463 165</v>
          </cell>
          <cell r="C13" t="str">
            <v>6364 463 165</v>
          </cell>
          <cell r="D13" t="str">
            <v>A-635 block A, Sushant lok 1, near labernum drive</v>
          </cell>
          <cell r="G13" t="str">
            <v>Before 4 Pm</v>
          </cell>
          <cell r="H13">
            <v>600</v>
          </cell>
          <cell r="J13" t="str">
            <v>Bouquet</v>
          </cell>
          <cell r="K13" t="str">
            <v> 6364 463 165‬
Message-
For the hottest belle of the ball, see you tonight ❤️
Pls send 15 Rajnigandha in single wrap today before 4pm for 600</v>
          </cell>
          <cell r="T13" t="str">
            <v xml:space="preserve">Rajni 15 Single Wrap    </v>
          </cell>
        </row>
        <row r="14">
          <cell r="A14">
            <v>1098</v>
          </cell>
          <cell r="B14" t="str">
            <v>Rahul Sehgal</v>
          </cell>
          <cell r="C14">
            <v>9810022182</v>
          </cell>
          <cell r="D14" t="str">
            <v>418-A, Hamilton Court</v>
          </cell>
          <cell r="E14" t="str">
            <v>DLF Phase 4</v>
          </cell>
          <cell r="F14" t="str">
            <v>Thursday</v>
          </cell>
          <cell r="G14" t="str">
            <v>4 Pm to 7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14" t="str">
            <v>ROSE n RAJNI</v>
          </cell>
          <cell r="N14" t="str">
            <v>1  del of this cycle   -  1-cycles pmnt   Pending - Collect 1950</v>
          </cell>
          <cell r="O14" t="str">
            <v>Mix Alstroemeria ( 14 inch )  20     FF sachet + Grass</v>
          </cell>
          <cell r="P14" t="str">
            <v>P Asiatic ( 15 inch ) 4     Grass</v>
          </cell>
          <cell r="Q14" t="str">
            <v>Mix Glad 22     Grass</v>
          </cell>
          <cell r="R14" t="str">
            <v>Sunflower ( 12 Inch ) 5     FF Sachet + Grass</v>
          </cell>
          <cell r="S14" t="str">
            <v>Pur n P Car ( 14 inch ) 22     FF Sachet + Grass</v>
          </cell>
          <cell r="T14" t="str">
            <v>P n W Spray Daisy ( 14 Inch ) 7     FF Sachet + Grass</v>
          </cell>
        </row>
        <row r="15">
          <cell r="A15" t="str">
            <v>G-00015</v>
          </cell>
          <cell r="B15" t="str">
            <v>Harsh  - Unikon</v>
          </cell>
          <cell r="C15">
            <v>9015463811</v>
          </cell>
          <cell r="D15" t="str">
            <v>AR-903B, 3rd Floor, Aralias</v>
          </cell>
          <cell r="E15" t="str">
            <v>Golf Course Road</v>
          </cell>
          <cell r="F15" t="str">
            <v>Thursday</v>
          </cell>
          <cell r="G15" t="str">
            <v>4 Pm to 7 PM</v>
          </cell>
          <cell r="H15">
            <v>2750</v>
          </cell>
          <cell r="I15">
            <v>687.5</v>
          </cell>
          <cell r="J15" t="str">
            <v>Elation</v>
          </cell>
          <cell r="K15" t="str">
            <v>From Deep Bajaj // Message = Your boyfriend:p (05/11) Paytm from Simran Dhawan (04/03) Send 1 delivery tomorrow (17/03) Skip 1 week (10/04) Add change request from Jasjit -- 9560611229</v>
          </cell>
          <cell r="M15" t="str">
            <v>One time Single n One Time Mixed</v>
          </cell>
          <cell r="N15" t="str">
            <v>3  del of this cycle   -  0-cycles pmnt   In Process - Collect 0</v>
          </cell>
          <cell r="O15" t="str">
            <v>P n Y spray Daisy ( 15 inch ) 5 P n W Glad ( 14 inch) 16   2 Limonium + FF sachet</v>
          </cell>
          <cell r="P15" t="str">
            <v>Bop 3 Rajni 15   2 Gypsola</v>
          </cell>
          <cell r="Q15" t="str">
            <v>O Asiatic ( 14 Inch ) 3 R n W Car ( 14 Inch ) 16   2 Limonium</v>
          </cell>
          <cell r="R15" t="str">
            <v>Sunflower ( 12 Inch ) 4 Mix Alstroemeria ( 12 Inch ) 16   2 Gypsola + FF Sachet</v>
          </cell>
          <cell r="S15" t="str">
            <v>Pur n P Eustoma ( 12 Inch ) 4 P n W Glad ( 14 Inch ) 16   2 Limonium + FF Sachet</v>
          </cell>
          <cell r="T15" t="str">
            <v>P n W Spray Daisy ( 14 Inch ) 5 Pur n P Car ( 14 Inch ) 16   2 Gypsola + FF Sachet</v>
          </cell>
        </row>
        <row r="16">
          <cell r="A16">
            <v>3128</v>
          </cell>
          <cell r="B16" t="str">
            <v>Shikha Malhotra</v>
          </cell>
          <cell r="C16">
            <v>9873498869</v>
          </cell>
          <cell r="D16" t="str">
            <v>M-254, Park Place</v>
          </cell>
          <cell r="E16" t="str">
            <v>Golf Course Road</v>
          </cell>
          <cell r="F16" t="str">
            <v>Thursday</v>
          </cell>
          <cell r="G16" t="str">
            <v>4 PM to 7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Skip 2 week after 13th (07/11) Today Hold (04/12) Paytm From Vivek Malhotra //</v>
          </cell>
          <cell r="N16" t="str">
            <v>1  del of this cycle   -  1-cycles pmnt   Pending - Collect 1450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e">
            <v>#N/A</v>
          </cell>
          <cell r="T16" t="str">
            <v>Pur n P Car ( 14 inch ) 16     FF Sachet + Grass</v>
          </cell>
        </row>
        <row r="17">
          <cell r="A17">
            <v>2578</v>
          </cell>
          <cell r="B17" t="str">
            <v>Suchit Agarwal</v>
          </cell>
          <cell r="C17">
            <v>9999404880</v>
          </cell>
          <cell r="D17" t="str">
            <v>T-A/702, Kanchanjunga Towers, Sec 56</v>
          </cell>
          <cell r="E17" t="str">
            <v>Sector 56</v>
          </cell>
          <cell r="F17" t="str">
            <v>Thursday</v>
          </cell>
          <cell r="G17" t="str">
            <v>4 Pm to 7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Paytm From Richa Handa (20/06) Skip Thursday and send on Sunday (23/02) Skip tom n send on Sunday this week (01/04)</v>
          </cell>
          <cell r="N17" t="str">
            <v>2  del of this cycle   -  1-cycles pmnt   Pending - Collect 999</v>
          </cell>
          <cell r="O17" t="str">
            <v>P Spray Daisy ( 15 inch ) 3     FF sachet + Grass</v>
          </cell>
          <cell r="P17" t="str">
            <v>Mix Car 9     Grass</v>
          </cell>
          <cell r="Q17" t="str">
            <v>O Asiatic ( 14 Inch ) 2     Grass</v>
          </cell>
          <cell r="R17" t="str">
            <v>P n W Glad ( 14 Inch ) 9     Grass</v>
          </cell>
          <cell r="S17" t="str">
            <v>Mix Alstroemeria ( 12 Inch ) 9     Grass</v>
          </cell>
          <cell r="T17" t="str">
            <v>Sunflower ( 12 Inch ) 2     FF Sachet + Grass</v>
          </cell>
        </row>
        <row r="18">
          <cell r="A18">
            <v>2666</v>
          </cell>
          <cell r="B18" t="str">
            <v>Gunjan Malhotra</v>
          </cell>
          <cell r="C18">
            <v>9971518253</v>
          </cell>
          <cell r="D18" t="str">
            <v>H. No. 298C, 1st Floor, Block G, Sushant Lok-2</v>
          </cell>
          <cell r="E18" t="str">
            <v>Artemis</v>
          </cell>
          <cell r="F18" t="str">
            <v>Thursday</v>
          </cell>
          <cell r="G18" t="str">
            <v>4 PM to 7 PM</v>
          </cell>
          <cell r="H18">
            <v>1450</v>
          </cell>
          <cell r="I18">
            <v>362.5</v>
          </cell>
          <cell r="J18" t="str">
            <v>Bliss</v>
          </cell>
          <cell r="K18" t="str">
            <v>Paytm From Gunjan Malhotra // Hold n start from 04th Sep (02/08) Change day to Thursday (31/08) Do not count last Del (20/12) Skip 1 week (02/02) Skip 1 week (25/03)</v>
          </cell>
          <cell r="N18" t="str">
            <v>1  del of this cycle   -  0-cycles pmnt   Completed - Collect 0</v>
          </cell>
          <cell r="O18" t="str">
            <v>Mix Alstroemeria ( 14 inch )  9     FF sachet + Grass</v>
          </cell>
          <cell r="P18" t="str">
            <v>P Spray daisy ( 15 Inch ) 3     FF Sachet + Grass</v>
          </cell>
          <cell r="Q18" t="str">
            <v>O Asiatic ( 14 Inch ) 2     Grass</v>
          </cell>
          <cell r="R18" t="str">
            <v>P n W Glad ( 14 Inch ) 9     Grass</v>
          </cell>
          <cell r="S18" t="str">
            <v>Pur n P Car ( 14 inch ) 9     Grass</v>
          </cell>
          <cell r="T18" t="str">
            <v>Mix Alstroemeria ( 12 Inch ) 16     FF Sachet + Grass</v>
          </cell>
        </row>
        <row r="19">
          <cell r="A19">
            <v>3212</v>
          </cell>
          <cell r="B19" t="str">
            <v>Sheeba Rana</v>
          </cell>
          <cell r="C19">
            <v>9958849523</v>
          </cell>
          <cell r="D19" t="str">
            <v>T-14/1202, The Close North</v>
          </cell>
          <cell r="E19" t="str">
            <v>Nirvana Country</v>
          </cell>
          <cell r="F19" t="str">
            <v>Thursday</v>
          </cell>
          <cell r="G19" t="str">
            <v>4 Pm to 7 PM</v>
          </cell>
          <cell r="H19">
            <v>999</v>
          </cell>
          <cell r="I19">
            <v>249.75</v>
          </cell>
          <cell r="J19" t="str">
            <v>Delight</v>
          </cell>
          <cell r="K19" t="str">
            <v>Skip 1 week (31/12)</v>
          </cell>
          <cell r="N19" t="str">
            <v>4  del of this cycle   -  0-cycles pmnt   Completed - Collect 0</v>
          </cell>
          <cell r="O19" t="str">
            <v>Mix Alstroemeria ( 14 inch )  9     FF sachet + Grass</v>
          </cell>
          <cell r="P19" t="str">
            <v>P Spray daisy ( 15 Inch ) 3     FF Sachet + Grass</v>
          </cell>
          <cell r="Q19" t="str">
            <v>Sunflower 2     Grass</v>
          </cell>
          <cell r="R19" t="str">
            <v>R n W Car ( 14 inch ) 9     FF Sachet + Grass</v>
          </cell>
          <cell r="S19" t="str">
            <v>P n W Glad ( 14 Inch ) 9     Gras</v>
          </cell>
          <cell r="T19" t="str">
            <v>P Asiatic ( 14 Inch ) 2     Grass</v>
          </cell>
        </row>
        <row r="20">
          <cell r="A20">
            <v>1978</v>
          </cell>
          <cell r="B20" t="str">
            <v>Anu-- After 6 PM</v>
          </cell>
          <cell r="C20" t="str">
            <v>98103 39602</v>
          </cell>
          <cell r="D20" t="str">
            <v xml:space="preserve">Tower 6, 901 Fresco </v>
          </cell>
          <cell r="E20" t="str">
            <v>Nirvana Country</v>
          </cell>
          <cell r="F20" t="str">
            <v>Thursday</v>
          </cell>
          <cell r="G20" t="str">
            <v>4 Pm to 7 PM</v>
          </cell>
          <cell r="H20">
            <v>4850</v>
          </cell>
          <cell r="I20">
            <v>606.25</v>
          </cell>
          <cell r="J20" t="str">
            <v>Poise</v>
          </cell>
          <cell r="K20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20" t="str">
            <v>ROSE n RAJNI n HELICONIA n BOP</v>
          </cell>
          <cell r="M20" t="str">
            <v>after 6 pm on 19th (16/04)</v>
          </cell>
          <cell r="N20" t="str">
            <v>2  del of this cycle   -  1-cycles pmnt   Pending - Collect 4850</v>
          </cell>
          <cell r="O20" t="str">
            <v>P Asiatic ( 15 inch ) 2 P n Y Spray daisy ( 15 Inch )  4 W Guldawari ( 14 inch ) 10 FF Sachet + Grass</v>
          </cell>
          <cell r="P20" t="str">
            <v>P Asiatic ( 15 inch ) 2 Spray Daisy 4 P n W Car ( 14 inch ) 12 Grass</v>
          </cell>
          <cell r="Q20" t="str">
            <v>W Asiatic ( 14 Inch ) 2 Mix Alstroemeria ( 12 Inch ) 6 P n W Car ( 14 inch ) 10 Grass</v>
          </cell>
          <cell r="R20" t="str">
            <v>P Asiatic ( 14 Inch ) 2 P n W Spray Dausy ( 14 Inch ) 4 P n W Glad ( 14 Inch ) 12 Grass</v>
          </cell>
          <cell r="S20" t="str">
            <v>Y Asiatic ( 14 Inch ) 2 Mix Eustoma ( 12 Inch ) 4 P n W Car ( 14 Inch ) 12 Grass</v>
          </cell>
          <cell r="T20" t="str">
            <v>P Asiatic ( 14 Inch ) 2 Mix Alstroemeria ( 12 inch )  8 P n W Glad ( 14 Inch ) 8 Grass</v>
          </cell>
        </row>
        <row r="21">
          <cell r="A21">
            <v>3051</v>
          </cell>
          <cell r="B21" t="str">
            <v>Ishita Sinha</v>
          </cell>
          <cell r="C21">
            <v>8587979620</v>
          </cell>
          <cell r="D21" t="str">
            <v>C1/102, Unitech The Residencies, Sec 33</v>
          </cell>
          <cell r="E21" t="str">
            <v>Sohna Road 2</v>
          </cell>
          <cell r="F21" t="str">
            <v>Thursday</v>
          </cell>
          <cell r="G21" t="str">
            <v>4 PM to 7 PM</v>
          </cell>
          <cell r="H21">
            <v>1740</v>
          </cell>
          <cell r="I21">
            <v>435</v>
          </cell>
          <cell r="J21" t="str">
            <v>Customized</v>
          </cell>
          <cell r="K21" t="str">
            <v>4 Sunflowers every week (17/12) 3 Asiatic every week (16/01) HDTNP (26/02) HDTNP (11/06)</v>
          </cell>
          <cell r="N21" t="str">
            <v>2  del of this cycle   -  1-cycles pmnt   Pending - Collect 1740</v>
          </cell>
          <cell r="O21" t="str">
            <v xml:space="preserve">Sunflower ( 15 inch ) 3 Y Spray Daisy ( 15 inch ) 3   </v>
          </cell>
          <cell r="P21" t="str">
            <v>Sunflower ( 14 inch ) 3 W Spray Daisy ( 15 inch ) 3   2 Gypsola</v>
          </cell>
          <cell r="Q21" t="str">
            <v>Sunflower ( 14 Inch ) 4 P Spray Daisy ( 15 Inch ) 4   2 Limonium + FF sachet</v>
          </cell>
          <cell r="R21" t="str">
            <v>Sunflower ( 12 Inch ) 4 Y Spray Daisy ( 15 Inch ) 4   2 Gypsola + FF Sachet</v>
          </cell>
          <cell r="S21" t="e">
            <v>#N/A</v>
          </cell>
          <cell r="T21" t="str">
            <v xml:space="preserve">Sunflower ( 12 Inch ) 4 G Spray Daisy ( 14 Inch ) 4   </v>
          </cell>
        </row>
        <row r="22">
          <cell r="A22">
            <v>2761</v>
          </cell>
          <cell r="B22" t="str">
            <v>Gyan</v>
          </cell>
          <cell r="C22">
            <v>9560719191</v>
          </cell>
          <cell r="D22" t="str">
            <v>J7, 2nd Floor, Signature Global City, Sec 37 D</v>
          </cell>
          <cell r="E22" t="str">
            <v>Dwarka Expressway</v>
          </cell>
          <cell r="F22" t="str">
            <v>Thursday</v>
          </cell>
          <cell r="G22" t="str">
            <v>4 PM to 7 PM</v>
          </cell>
          <cell r="H22">
            <v>1450</v>
          </cell>
          <cell r="I22">
            <v>362.5</v>
          </cell>
          <cell r="J22" t="str">
            <v>Bliss</v>
          </cell>
          <cell r="K22" t="str">
            <v>Upgraded as per scheme to Bliss for 5 Deliveries (22/08) No delivered today-send tom (02/10) Skip 1 week (26/11) Skip 2 week (28/01) Skip 2 week (10/03) No Sunflower ( 17/06)</v>
          </cell>
          <cell r="L22" t="str">
            <v>Sunflower</v>
          </cell>
          <cell r="N22" t="str">
            <v>1  del of this cycle   -  1-cycles pmnt   Pending - Collect 1450</v>
          </cell>
          <cell r="O22" t="str">
            <v>Y Spray Daisy ( 15 inch ) 3 P n W Glad ( 14 inch) 7   FF sachet + Grass</v>
          </cell>
          <cell r="P22" t="str">
            <v>P Eustoma ( 12 inch ) 2 Rajni 7   FF Sachet + Grass</v>
          </cell>
          <cell r="Q22" t="str">
            <v>W Asiatic ( 14 Inch ) 2 R n W Car ( 14 Inch ) 7   Grass</v>
          </cell>
          <cell r="R22" t="str">
            <v>Y Spray Daisy ( 15 Inch ) 3 Mix Alstroemeria ( 12 Inch ) 7   FF Sachet + Grass</v>
          </cell>
          <cell r="S22" t="str">
            <v>Sunflower ( 12 Inch ) 2 P n W Glad ( 14 Inch ) 7   FF Sachet + Grass</v>
          </cell>
          <cell r="T22" t="str">
            <v>P Asiatic ( 14 Inch ) 2 Pur n P Car ( 14 Inch ) 7   Grass</v>
          </cell>
        </row>
        <row r="23">
          <cell r="A23">
            <v>2355</v>
          </cell>
          <cell r="B23" t="str">
            <v>Convinience Enterprises-Veena Anand</v>
          </cell>
          <cell r="C23">
            <v>9810031208</v>
          </cell>
          <cell r="D23" t="str">
            <v>307, Aralyas, DLF 5</v>
          </cell>
          <cell r="E23" t="str">
            <v>Golf Course Road</v>
          </cell>
          <cell r="F23" t="str">
            <v>Thursday</v>
          </cell>
          <cell r="G23" t="str">
            <v>By 10 AM</v>
          </cell>
          <cell r="H23">
            <v>2750</v>
          </cell>
          <cell r="I23">
            <v>687.5</v>
          </cell>
          <cell r="J23" t="str">
            <v>Corporate</v>
          </cell>
          <cell r="K23" t="str">
            <v>Skip this Thursday and send on Sunday (20/11)Hold and send on 12th Now (31/12) Do Not count last Del (02/07) Skip 1 week (10/09) Skip 2 week (18/05)</v>
          </cell>
          <cell r="N23" t="str">
            <v>4  del of this cycle   -  0-cycles pmnt   In Process - Collect 0</v>
          </cell>
          <cell r="O23" t="str">
            <v>P n W Glad ( 14 inch ) 32     2 Limoniumn</v>
          </cell>
          <cell r="P23" t="e">
            <v>#N/A</v>
          </cell>
          <cell r="Q23" t="e">
            <v>#N/A</v>
          </cell>
          <cell r="R23" t="str">
            <v>Sunflower ( 12 Inch ) 7     2 Gypsola + FF Sachet</v>
          </cell>
          <cell r="S23" t="str">
            <v>Pur n P Car ( 14 inch ) 32     2 Limonium + FF Sachet</v>
          </cell>
          <cell r="T23" t="str">
            <v xml:space="preserve">O Asiatic ( 14 Inch ) 6     2 Gypsola </v>
          </cell>
        </row>
        <row r="24">
          <cell r="A24">
            <v>244</v>
          </cell>
          <cell r="B24" t="str">
            <v>Garima jain</v>
          </cell>
          <cell r="C24">
            <v>9958581403</v>
          </cell>
          <cell r="D24" t="str">
            <v xml:space="preserve"> G-901, Central Park 1, Golf Course Road    Sec 42 Gurgaon  122002</v>
          </cell>
          <cell r="E24" t="str">
            <v>Golf Course Road</v>
          </cell>
          <cell r="F24" t="str">
            <v>Thursday</v>
          </cell>
          <cell r="G24" t="str">
            <v>9 AM - 12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24" t="str">
            <v>4  del of this cycle   -  0-cycles pmnt   Completed - Collect 0</v>
          </cell>
          <cell r="O24" t="str">
            <v>P Spray Daisy ( 15 inch ) 3     FF sachet + Grass</v>
          </cell>
          <cell r="P24" t="str">
            <v>Mix Alstroemeria ( 12 Inch ) 9     Grass</v>
          </cell>
          <cell r="Q24" t="str">
            <v>P n W Glad ( 14 Inch ) 9     Grass</v>
          </cell>
          <cell r="R24" t="str">
            <v>P Asiatic ( 14 Inch ) 2 Pls Insure Collection    Grass</v>
          </cell>
          <cell r="S24" t="str">
            <v>Mix Alstroemeria ( 12 Inch ) 9 Pls Collect Cash     Grass</v>
          </cell>
          <cell r="T24" t="str">
            <v>Pur n P Car ( 14 inch ) 9     Grass</v>
          </cell>
        </row>
        <row r="25">
          <cell r="A25">
            <v>2200</v>
          </cell>
          <cell r="B25" t="str">
            <v>Naina Gandhi</v>
          </cell>
          <cell r="C25">
            <v>9811188863</v>
          </cell>
          <cell r="D25" t="str">
            <v>K2/105, Central Park -1</v>
          </cell>
          <cell r="E25" t="str">
            <v>Golf Course Road</v>
          </cell>
          <cell r="F25" t="str">
            <v>Thursday</v>
          </cell>
          <cell r="G25" t="str">
            <v>9 AM - 12 PM</v>
          </cell>
          <cell r="H25">
            <v>2300</v>
          </cell>
          <cell r="I25">
            <v>287.5</v>
          </cell>
          <cell r="J25" t="str">
            <v>Felicity</v>
          </cell>
          <cell r="K25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(19/05(</v>
          </cell>
          <cell r="L25" t="str">
            <v>SPRAY DAISY</v>
          </cell>
          <cell r="M25" t="str">
            <v>Check for Bi weekly package</v>
          </cell>
          <cell r="N25" t="str">
            <v>7  del of this cycle   -  0-cycles pmnt   Completed - Collect 0</v>
          </cell>
          <cell r="O25" t="str">
            <v>Mix Alstroemeria ( 14 inch )  11     FF Sachet + Grass</v>
          </cell>
          <cell r="P25" t="str">
            <v>Sunflower ( 14 inch ) 3     Grass</v>
          </cell>
          <cell r="Q25" t="e">
            <v>#N/A</v>
          </cell>
          <cell r="R25" t="e">
            <v>#N/A</v>
          </cell>
          <cell r="S25" t="e">
            <v>#N/A</v>
          </cell>
          <cell r="T25" t="str">
            <v>P n W Glad ( 14 Inch ) 11     Grass</v>
          </cell>
        </row>
        <row r="26">
          <cell r="A26">
            <v>2205</v>
          </cell>
          <cell r="B26" t="str">
            <v>Shubhra Gupta</v>
          </cell>
          <cell r="C26">
            <v>9811981626</v>
          </cell>
          <cell r="D26" t="str">
            <v>ES-245, Espace</v>
          </cell>
          <cell r="E26" t="str">
            <v>Nirvana Country</v>
          </cell>
          <cell r="F26" t="str">
            <v>Thursday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Paytm From 9811656524 // No Orchids // Skip 1 week (01/10) Same flowers from last  2weeks, pls Check (06/11) Paytm from Gaurav Gupta (0703)</v>
          </cell>
          <cell r="L26" t="str">
            <v>ORCHID</v>
          </cell>
          <cell r="M26" t="str">
            <v>Same Flowers from 2 week, Pls Check (06/11)</v>
          </cell>
          <cell r="N26" t="str">
            <v>3  del of this cycle   -  0-cycles pmnt   Completed - Collect 0</v>
          </cell>
          <cell r="O26" t="str">
            <v>P n Y spray Daisy ( 15 inch ) 5     FF sachet + Grass</v>
          </cell>
          <cell r="P26" t="str">
            <v>Mix Alstroemeria ( 12 Inch ) 16     Grass</v>
          </cell>
          <cell r="Q26" t="str">
            <v>O Asiatic ( 14 Inch ) 3     Grass</v>
          </cell>
          <cell r="R26" t="str">
            <v>P n W Glad ( 14 Inch ) 16     Grass</v>
          </cell>
          <cell r="S26" t="str">
            <v>Pur n P Car ( 14 inch ) 16     FF Sachet + Grass</v>
          </cell>
          <cell r="T26" t="str">
            <v>P n W Spray Daisy ( 14 Inch ) 5     FF Sachet + Grass</v>
          </cell>
        </row>
        <row r="27">
          <cell r="A27">
            <v>401</v>
          </cell>
          <cell r="B27" t="str">
            <v>Nameesha Verma -- Before 12PM</v>
          </cell>
          <cell r="C27">
            <v>9899240454</v>
          </cell>
          <cell r="D27" t="str">
            <v>D-4/102, Parsvanath Exotica</v>
          </cell>
          <cell r="E27" t="str">
            <v>DLF Phase 5</v>
          </cell>
          <cell r="F27" t="str">
            <v>Thursday</v>
          </cell>
          <cell r="G27" t="str">
            <v>Before 12 PM</v>
          </cell>
          <cell r="H27">
            <v>1600</v>
          </cell>
          <cell r="I27">
            <v>200</v>
          </cell>
          <cell r="J27" t="str">
            <v>Bloom</v>
          </cell>
          <cell r="K27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27" t="str">
            <v>3 Car extra next (20/03)</v>
          </cell>
          <cell r="N27" t="str">
            <v>6  del of this cycle   -  0-cycles pmnt   Completed - Collect 0</v>
          </cell>
          <cell r="O27" t="str">
            <v>Mix Alstroemeria ( 14 inch )  7     FF Sachet + Grass</v>
          </cell>
          <cell r="P27" t="str">
            <v>Y Spray Daosy ( 15 inch ) 2     FF Sachet + grass</v>
          </cell>
          <cell r="Q27" t="str">
            <v>Rajni ( 14 Inch ) 7     Grass</v>
          </cell>
          <cell r="R27" t="str">
            <v>Mix Alstroemeria ( 12 Inch ) 7     FF Sachet + Grass</v>
          </cell>
          <cell r="S27" t="e">
            <v>#N/A</v>
          </cell>
          <cell r="T27" t="str">
            <v>P Spray Daisy ( 14 Inch ) 2     FF Sachet + Grass</v>
          </cell>
        </row>
        <row r="28">
          <cell r="A28">
            <v>2024</v>
          </cell>
          <cell r="B28" t="str">
            <v>Priyanka Katyal</v>
          </cell>
          <cell r="C28">
            <v>9958565556</v>
          </cell>
          <cell r="D28" t="str">
            <v>1487, Saraswati Kunj, Sector 53</v>
          </cell>
          <cell r="E28" t="str">
            <v>DLF Phase 5</v>
          </cell>
          <cell r="F28" t="str">
            <v>Thursday</v>
          </cell>
          <cell r="G28" t="str">
            <v>9 AM - 12 PM</v>
          </cell>
          <cell r="H28">
            <v>1950</v>
          </cell>
          <cell r="I28">
            <v>487.5</v>
          </cell>
          <cell r="J28" t="str">
            <v>Joy</v>
          </cell>
          <cell r="K28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28" t="str">
            <v>ORIENTAL n GULDAWARI</v>
          </cell>
          <cell r="M28" t="str">
            <v>Premium Flwer extra Next (09/01)</v>
          </cell>
          <cell r="N28" t="str">
            <v>1  del of this cycle   -  0-cycles pmnt   Completed - Collect 0</v>
          </cell>
          <cell r="O28" t="str">
            <v>Mix Alstroemeria ( 14 inch )  20     FF sachet + Grass</v>
          </cell>
          <cell r="P28" t="str">
            <v>P Asiatic ( 15 inch ) 4     Grass</v>
          </cell>
          <cell r="Q28" t="str">
            <v>R n W Car ( 14 Inch ) 22     FF Sachet + Grass</v>
          </cell>
          <cell r="R28" t="str">
            <v>Sunflower ( 12 Inch ) 5     FF Sachet + Grass</v>
          </cell>
          <cell r="S28" t="str">
            <v>P n W Glad ( 14 Inch ) 22     Grass</v>
          </cell>
          <cell r="T28" t="str">
            <v>P n W Spray Daisy ( 14 Inch ) 7     FF Sachet + Grass</v>
          </cell>
        </row>
        <row r="29">
          <cell r="A29">
            <v>1998</v>
          </cell>
          <cell r="B29" t="str">
            <v>Shivani Katyal</v>
          </cell>
          <cell r="C29">
            <v>9811053756</v>
          </cell>
          <cell r="D29" t="str">
            <v>H. No. 1486, Sarsawati Kunj</v>
          </cell>
          <cell r="E29" t="str">
            <v>DLF Phase 5</v>
          </cell>
          <cell r="F29" t="str">
            <v>Thursday</v>
          </cell>
          <cell r="G29" t="str">
            <v>9:30 Am to 2 PM</v>
          </cell>
          <cell r="H29">
            <v>1950</v>
          </cell>
          <cell r="I29">
            <v>487.5</v>
          </cell>
          <cell r="J29" t="str">
            <v>Joy</v>
          </cell>
          <cell r="K29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29" t="str">
            <v>GULDAWARI n ANTHURIUM n GLAD</v>
          </cell>
          <cell r="N29" t="str">
            <v>2  del of this cycle   -  1-cycles pmnt   Pending - Collect 1950</v>
          </cell>
          <cell r="O29" t="str">
            <v>Mix Alstroemeria ( 14 inch )  20     FF sachet + Grass</v>
          </cell>
          <cell r="P29" t="str">
            <v>B Orchid 7     FF Sachet + Grass</v>
          </cell>
          <cell r="Q29" t="str">
            <v>O Asiatic ( 14 Inch ) 4     Grass</v>
          </cell>
          <cell r="R29" t="str">
            <v>Sunflower ( 12 Inch ) 5     FF Sachet + Grass</v>
          </cell>
          <cell r="S29" t="str">
            <v>Pur n P Car ( 14 inch ) 22     FF Sachet + Grass</v>
          </cell>
          <cell r="T29" t="str">
            <v>Mix Alstroemeria ( 12 Inch ) 22     FF Sachet + Grass</v>
          </cell>
        </row>
        <row r="30">
          <cell r="A30">
            <v>849</v>
          </cell>
          <cell r="B30" t="str">
            <v>Shalini Sharma</v>
          </cell>
          <cell r="C30">
            <v>7838500808</v>
          </cell>
          <cell r="D30" t="str">
            <v>208, Espace</v>
          </cell>
          <cell r="E30" t="str">
            <v>Nirvana Country</v>
          </cell>
          <cell r="F30" t="str">
            <v>Thursday</v>
          </cell>
          <cell r="G30" t="str">
            <v>9:30 Am to 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30" t="str">
            <v>GULDAWARI n ORCHID</v>
          </cell>
          <cell r="M30" t="str">
            <v>Lilies Next (20/05)</v>
          </cell>
          <cell r="N30" t="str">
            <v>1  del of this cycle   -  1-cycles pmnt   Pending - Collect 1450</v>
          </cell>
          <cell r="O30" t="str">
            <v>Sunflower ( 15 inch ) 4     Grass</v>
          </cell>
          <cell r="P30" t="str">
            <v>Mix Car 16     Grass</v>
          </cell>
          <cell r="Q30" t="str">
            <v>Mix Alstroemeria ( 12 Inch ) 16     FF Sachet + grass</v>
          </cell>
          <cell r="R30" t="str">
            <v>P n W Glad ( 14 Inch ) 16     Grass</v>
          </cell>
          <cell r="S30" t="str">
            <v>P Asiatic ( 14 Inch )  3     Grass</v>
          </cell>
          <cell r="T30" t="str">
            <v>P n Y Spray Daisy ( 14 Inch ) 5     FF Sachet + Grass</v>
          </cell>
        </row>
        <row r="31">
          <cell r="A31">
            <v>2395</v>
          </cell>
          <cell r="B31" t="str">
            <v>Anupma Katyal</v>
          </cell>
          <cell r="C31">
            <v>9999967563</v>
          </cell>
          <cell r="D31" t="str">
            <v>1484, Saraswati Kunj</v>
          </cell>
          <cell r="E31" t="str">
            <v>DLF Phase 5</v>
          </cell>
          <cell r="F31" t="str">
            <v>Thursday</v>
          </cell>
          <cell r="G31" t="str">
            <v>10 AM to 2:30 PM</v>
          </cell>
          <cell r="H31">
            <v>1950</v>
          </cell>
          <cell r="I31">
            <v>487.5</v>
          </cell>
          <cell r="J31" t="str">
            <v>Joy</v>
          </cell>
          <cell r="K31" t="str">
            <v>Return today (22/05) Hold today due to non payment (02/10)</v>
          </cell>
          <cell r="M31" t="str">
            <v>Mixed Flowers</v>
          </cell>
          <cell r="N31" t="str">
            <v>4  del of this cycle   -  1-cycles pmnt   Pending - Collect 1950</v>
          </cell>
          <cell r="O31" t="str">
            <v>P n W Glad ( 14 inch ) 22     Grass</v>
          </cell>
          <cell r="P31" t="str">
            <v>Mix Alstroemeria ( 12 Inch ) 22     Grass</v>
          </cell>
          <cell r="Q31" t="str">
            <v>O Asiatic ( 14 Inch ) 4     Grass</v>
          </cell>
          <cell r="R31" t="str">
            <v>R n W Car ( 14 inch ) 22     FF Sachet + Grass</v>
          </cell>
          <cell r="S31" t="str">
            <v>Pur n P Eustoma ( 12 Inch ) 4     FF Sachet + Grass</v>
          </cell>
          <cell r="T31" t="str">
            <v>Sunflower ( 12 Inch ) 5     FF Sachet + Grass</v>
          </cell>
        </row>
        <row r="32">
          <cell r="A32">
            <v>2076</v>
          </cell>
          <cell r="B32" t="str">
            <v>Divya Jain Midas</v>
          </cell>
          <cell r="C32">
            <v>9910172233</v>
          </cell>
          <cell r="D32" t="str">
            <v>Midas Touch, 1st Floor, A Block, Nirvana Courtyard</v>
          </cell>
          <cell r="E32" t="str">
            <v>Nirvana Country</v>
          </cell>
          <cell r="F32" t="str">
            <v>Thursday</v>
          </cell>
          <cell r="G32" t="str">
            <v>9 AM - 12 PM</v>
          </cell>
          <cell r="H32">
            <v>1450</v>
          </cell>
          <cell r="I32">
            <v>362.5</v>
          </cell>
          <cell r="J32" t="str">
            <v>Bliss</v>
          </cell>
          <cell r="K32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32" t="str">
            <v>4  del of this cycle   -  0-cycles pmnt   Completed - Collect 0</v>
          </cell>
          <cell r="O32" t="str">
            <v>Mix Alstroemeria ( 14 inch )  16     FF sachet + Grass</v>
          </cell>
          <cell r="P32" t="str">
            <v>P Asiatic ( 15 inch ) 3     Grass</v>
          </cell>
          <cell r="Q32" t="str">
            <v>R n W Car ( 14 Inch ) 16     FF Sachet + grass</v>
          </cell>
          <cell r="R32" t="str">
            <v>P n W Glad ( 14 Inch ) 16     Grass</v>
          </cell>
          <cell r="S32" t="str">
            <v>P n Y Spray Daisy ( 14 Inch ) 5     FF Sachet + Grass</v>
          </cell>
          <cell r="T32" t="str">
            <v>Sunflower ( 12 Inch ) 4     FF Sachet + Grass</v>
          </cell>
        </row>
        <row r="33">
          <cell r="A33">
            <v>2774</v>
          </cell>
          <cell r="B33" t="str">
            <v>Vandana Thakran</v>
          </cell>
          <cell r="C33">
            <v>9899589964</v>
          </cell>
          <cell r="D33" t="str">
            <v>H. No. 35, Cedar Crest</v>
          </cell>
          <cell r="E33" t="str">
            <v>Nirvana Country</v>
          </cell>
          <cell r="F33" t="str">
            <v>Sunday</v>
          </cell>
          <cell r="G33" t="str">
            <v>9 AM - 12 PM</v>
          </cell>
          <cell r="H33">
            <v>1600</v>
          </cell>
          <cell r="I33">
            <v>200</v>
          </cell>
          <cell r="J33" t="str">
            <v>Bloom</v>
          </cell>
          <cell r="N33" t="str">
            <v>6  del of this cycle   -  0-cycles pmnt   Completed - Collect 0</v>
          </cell>
          <cell r="O33" t="str">
            <v>Y Spray Daisy ( 15 inch ) 2     FF Sachet + Grass</v>
          </cell>
          <cell r="P33" t="str">
            <v>B Daisy ( 12 inch ) 7     Grass</v>
          </cell>
          <cell r="Q33" t="str">
            <v>P n W Car ( 14 inch ) 7     FF Sachet + Grass</v>
          </cell>
          <cell r="R33" t="str">
            <v>P Spray Daisy ( 14 Inch ) 2     FF Sachet + Grass</v>
          </cell>
          <cell r="S33" t="str">
            <v>Sunflower ( 12 Inch ) 2     FF Sachet + Grass</v>
          </cell>
          <cell r="T33" t="str">
            <v>Pur n P Car ( 14 inch ) 7     FF Sachet + Grass</v>
          </cell>
        </row>
        <row r="34">
          <cell r="A34">
            <v>326</v>
          </cell>
          <cell r="B34" t="str">
            <v>Radhika Surana-- Before 10</v>
          </cell>
          <cell r="C34">
            <v>9871132800</v>
          </cell>
          <cell r="D34" t="str">
            <v>1204, The Magnolias</v>
          </cell>
          <cell r="E34" t="str">
            <v>Golf Course Road</v>
          </cell>
          <cell r="F34" t="str">
            <v>Thursday</v>
          </cell>
          <cell r="G34" t="str">
            <v>9 AM - 12 PM</v>
          </cell>
          <cell r="H34">
            <v>2750</v>
          </cell>
          <cell r="I34">
            <v>687.5</v>
          </cell>
          <cell r="J34" t="str">
            <v>Elation</v>
          </cell>
          <cell r="K34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34" t="str">
            <v>BOP n ORCHID</v>
          </cell>
          <cell r="N34" t="str">
            <v>3  del of this cycle   -  0-cycles pmnt   Completed - Collect 0</v>
          </cell>
          <cell r="O34" t="str">
            <v>R n W Car ( 14 inch ) 32     2 Limonium + FF sachet</v>
          </cell>
          <cell r="P34" t="str">
            <v>Mix Alstroemeria ( 12 Inch ) 30     2 Gypsola</v>
          </cell>
          <cell r="Q34" t="str">
            <v>O Asiatic ( 14 Inch ) 6     2 Limonium</v>
          </cell>
          <cell r="R34" t="e">
            <v>#N/A</v>
          </cell>
          <cell r="S34" t="e">
            <v>#N/A</v>
          </cell>
          <cell r="T34" t="str">
            <v>Pur n P Car ( 14 inch ) 32     2 Gypsola + FF Sachet</v>
          </cell>
        </row>
        <row r="35">
          <cell r="A35">
            <v>894</v>
          </cell>
          <cell r="B35" t="str">
            <v>Dr. Roma Kumar</v>
          </cell>
          <cell r="C35" t="str">
            <v>98110 87708</v>
          </cell>
          <cell r="D35" t="str">
            <v>RT-181, Royalton Tower
Inside Princeton Estate
DLF City Phase-V
Gurgaon-122009
Haryana</v>
          </cell>
          <cell r="E35" t="str">
            <v>DLF Phase 5</v>
          </cell>
          <cell r="F35" t="str">
            <v>Thursday</v>
          </cell>
          <cell r="G35" t="str">
            <v>9 AM - 12 PM</v>
          </cell>
          <cell r="H35">
            <v>3000</v>
          </cell>
          <cell r="I35">
            <v>375</v>
          </cell>
          <cell r="J35" t="str">
            <v>Charm</v>
          </cell>
          <cell r="K3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35" t="str">
            <v>ORCHID</v>
          </cell>
          <cell r="N35" t="str">
            <v>1  del of this cycle   -  1-cycles pmnt   Pending - Collect 3000</v>
          </cell>
          <cell r="O35" t="str">
            <v>Mix Alstroemeria ( 14 inch )  15     FF Sachet + Grass</v>
          </cell>
          <cell r="P35" t="str">
            <v>Rajni ( 14 inch ) 15     Grass</v>
          </cell>
          <cell r="Q35" t="str">
            <v>P n Y Spray Daisy ( 15 Inch ) 4     FF Sachet + Grass</v>
          </cell>
          <cell r="R35" t="str">
            <v>W Oriental ( 15 Inch ) 2     Grass</v>
          </cell>
          <cell r="S35" t="str">
            <v>P n W Glad ( 14 Inch ) 15     Grass</v>
          </cell>
          <cell r="T35" t="str">
            <v>P Asiatic ( 14 Inch ) 3     Grass</v>
          </cell>
        </row>
        <row r="36">
          <cell r="A36">
            <v>2246</v>
          </cell>
          <cell r="B36" t="str">
            <v>Amita Gupta</v>
          </cell>
          <cell r="C36">
            <v>9811985450</v>
          </cell>
          <cell r="D36" t="str">
            <v>146, Cedar Crest</v>
          </cell>
          <cell r="E36" t="str">
            <v>Nirvana Country</v>
          </cell>
          <cell r="F36" t="str">
            <v>Thursday</v>
          </cell>
          <cell r="G36" t="str">
            <v>9 AM - 12 PM</v>
          </cell>
          <cell r="H36">
            <v>1600</v>
          </cell>
          <cell r="I36">
            <v>200</v>
          </cell>
          <cell r="J36" t="str">
            <v>Bloom</v>
          </cell>
          <cell r="K36" t="str">
            <v>Return today (03/10) Change to bliss (23/10) No Orchid (24/10) Send a vase tom (20/08) Upgrade to bliss (17/12)</v>
          </cell>
          <cell r="L36" t="str">
            <v>Orchid</v>
          </cell>
          <cell r="M36" t="str">
            <v>1 Vase Tom (20/08)</v>
          </cell>
          <cell r="N36" t="str">
            <v>5  del of this cycle   -  0-cycles pmnt   Completed - Collect 0</v>
          </cell>
          <cell r="O36" t="str">
            <v>P n W Glad ( 14 inch ) 7     Grass</v>
          </cell>
          <cell r="P36" t="str">
            <v>R n W Car ( 14 inch ) 7     FF Sachet + grass</v>
          </cell>
          <cell r="Q36" t="str">
            <v>Sunflower ( 14 Inch ) 2     FF Sachet + Grass</v>
          </cell>
          <cell r="R36" t="str">
            <v>Mix Alstroemeria ( 12 Inch ) 7     FF Sachet + Grass</v>
          </cell>
          <cell r="S36" t="str">
            <v>Pur n P Car ( 14 inch ) 7     FF Sachet + Grass</v>
          </cell>
          <cell r="T36" t="str">
            <v>Sunflower ( 12 Inch ) 2     FF Sachet + Grass</v>
          </cell>
        </row>
        <row r="37">
          <cell r="A37">
            <v>3273</v>
          </cell>
          <cell r="B37" t="str">
            <v>Sharmishtha Jhulka</v>
          </cell>
          <cell r="C37">
            <v>9810010615</v>
          </cell>
          <cell r="D37" t="str">
            <v>817-B, The Camelias</v>
          </cell>
          <cell r="E37" t="str">
            <v>Golf Course Road</v>
          </cell>
          <cell r="F37" t="str">
            <v>Thursday</v>
          </cell>
          <cell r="G37" t="str">
            <v>9 AM to 2 PM</v>
          </cell>
          <cell r="H37">
            <v>5800</v>
          </cell>
          <cell r="I37">
            <v>1450</v>
          </cell>
          <cell r="J37" t="str">
            <v>Customized</v>
          </cell>
          <cell r="K37" t="str">
            <v>send on 19th, 26th Mar, 23rd April and may 26 // Now start from 18th June (15/05) 10 Asiatic Lilies // 20 Spray Daisies // 10 Sunflowers// 10 Eustoma Pack (20/05)</v>
          </cell>
          <cell r="N37" t="str">
            <v>4  del of this cycle   -  0-cycles pmnt   Completed - Collect 0</v>
          </cell>
          <cell r="O37" t="str">
            <v>BOP 6 R n W Car ( 14 inch ) 30   3 Areca Palm + 2 Gypsola + FF sachet</v>
          </cell>
          <cell r="P37" t="str">
            <v>P n Y Asiatic ( 15 inch ) 10     2 Gypsola</v>
          </cell>
          <cell r="Q37" t="e">
            <v>#N/A</v>
          </cell>
          <cell r="R37" t="str">
            <v xml:space="preserve">Pur n P Eustoma ( 12 Inch ) 10     </v>
          </cell>
          <cell r="S37" t="e">
            <v>#N/A</v>
          </cell>
          <cell r="T37" t="str">
            <v xml:space="preserve">P n Y Spray Daisy ( 14 Inch ) 20     </v>
          </cell>
        </row>
        <row r="38">
          <cell r="A38">
            <v>58</v>
          </cell>
          <cell r="B38" t="str">
            <v>Ms. Anupma Chandna</v>
          </cell>
          <cell r="C38">
            <v>8130077970</v>
          </cell>
          <cell r="D38" t="str">
            <v>32, aspen greens, nirvana</v>
          </cell>
          <cell r="E38" t="str">
            <v>Nirvana Country</v>
          </cell>
          <cell r="F38" t="str">
            <v>Thursday</v>
          </cell>
          <cell r="G38" t="str">
            <v>9 AM - 12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No Rose // Hold n start from 04th Dec (03/11) No Greens</v>
          </cell>
          <cell r="L38" t="str">
            <v>Rose</v>
          </cell>
          <cell r="M38" t="str">
            <v>No Greens</v>
          </cell>
          <cell r="N38" t="str">
            <v>2  del of this cycle   -  0-cycles pmnt   Completed - Collect 0</v>
          </cell>
          <cell r="O38" t="str">
            <v>P Asiatic ( 15 inch ) 2 Mix Alstroemeria ( 14 inch ) 11   Grass</v>
          </cell>
          <cell r="P38" t="str">
            <v>Sunflower ( 14 inch ) 3 P n W Glad ( 14 inch ) 10   Grass</v>
          </cell>
          <cell r="Q38" t="str">
            <v>P n W Spray Daisy ( 15 Inch ) 4 R n W Car ( 14 Inch ) 11   FF Sachet + Grass</v>
          </cell>
          <cell r="R38" t="str">
            <v>W Asiatic ( 14 Inch ) 2 Mix Alstroemeria ( 12 Inch ) 11   Grass</v>
          </cell>
          <cell r="S38" t="str">
            <v>Pur Eustoma ( 12 Inch ) 3 P n W Glad ( 14 Inch ) 11   FF Sachet + Grass</v>
          </cell>
          <cell r="T38" t="str">
            <v>Sunflower ( 12 Inch ) 3 Pur n P Car ( 14 Inch ) 11   FF Sachet + Grass</v>
          </cell>
        </row>
        <row r="39">
          <cell r="A39">
            <v>888</v>
          </cell>
          <cell r="B39" t="str">
            <v>Ankita Mehta</v>
          </cell>
          <cell r="C39">
            <v>9868169896</v>
          </cell>
          <cell r="D39" t="str">
            <v>1B-71, Wellington Estate</v>
          </cell>
          <cell r="E39" t="str">
            <v>DLF Phase 5</v>
          </cell>
          <cell r="F39" t="str">
            <v>Thursday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</v>
          </cell>
          <cell r="L39" t="str">
            <v xml:space="preserve">SPRAY DAISY n GULDAWARI </v>
          </cell>
          <cell r="M39" t="str">
            <v>Change to Deligh next (30/01)</v>
          </cell>
          <cell r="N39" t="str">
            <v>1  del of this cycle   -  1-cycles pmnt   Pending - Collect 1450</v>
          </cell>
          <cell r="O39" t="str">
            <v>Mix Alstroemeria ( 14 inch )  9     FF sachet + Grass</v>
          </cell>
          <cell r="P39" t="str">
            <v>P n W Glad ( 14 inch ) 2     Grass</v>
          </cell>
          <cell r="Q39" t="str">
            <v>O Asiatic ( 14 Inch ) 2     Grass</v>
          </cell>
          <cell r="R39" t="str">
            <v>R n W Car ( 14 inch ) 9     FF Sachet + Grass</v>
          </cell>
          <cell r="S39" t="str">
            <v>Sunflower ( 12 Inch ) 2     Grass</v>
          </cell>
          <cell r="T39" t="str">
            <v>Mix Alstroemeria ( 12 Inch ) 16     FF Sachet + Grass</v>
          </cell>
        </row>
        <row r="40">
          <cell r="A40">
            <v>2406</v>
          </cell>
          <cell r="B40" t="str">
            <v>Vermeen Kapoor</v>
          </cell>
          <cell r="C40">
            <v>9873458198</v>
          </cell>
          <cell r="D40" t="str">
            <v>B-59, South City 2</v>
          </cell>
          <cell r="E40" t="str">
            <v>Nirvana Country</v>
          </cell>
          <cell r="F40" t="str">
            <v>Thursday</v>
          </cell>
          <cell r="G40" t="str">
            <v>9:30 Am to 2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Referred by Swati Khandelwal?/ Mixed Flowers // Send replace,ent tom (19/02) Day Changed to Thursday (08/04) today returned-send tom (24/07)</v>
          </cell>
          <cell r="M40" t="str">
            <v>Mixed Flowers</v>
          </cell>
          <cell r="N40" t="str">
            <v>4  del of this cycle   -  0-cycles pmnt   Completed - Collect 0</v>
          </cell>
          <cell r="O40" t="str">
            <v>P Asiatic ( 15 inch ) 2 Mix Alstroemeria ( 14 inch ) 7   Grass</v>
          </cell>
          <cell r="P40" t="str">
            <v>Sunflower ( 14 inch ) 2 R n W Car ( 14 inch ) 7   Grass</v>
          </cell>
          <cell r="Q40" t="str">
            <v>P Spray Daisy ( 15 Inch ) 3 P n W Glad ( 14 Inch ) 7   FF Sachet + grass</v>
          </cell>
          <cell r="R40" t="str">
            <v>W Asiatic ( 14 Inch ) 2 Mix Alstroemeria ( 12 Inch ) 7   Grass</v>
          </cell>
          <cell r="S40" t="str">
            <v>Pur Eustoma ( 12 Inch ) 2 Pur n P Car ( 14 inch ) 7   FF Sachet + Grass</v>
          </cell>
          <cell r="T40" t="str">
            <v>Sunflower ( 12 Inch ) 2 P n W Glad ( 14 Inch ) 7   FF Sachet + Grass</v>
          </cell>
        </row>
        <row r="41">
          <cell r="A41">
            <v>2481</v>
          </cell>
          <cell r="B41" t="str">
            <v>Puneet Mahajan</v>
          </cell>
          <cell r="C41">
            <v>9810110847</v>
          </cell>
          <cell r="D41" t="str">
            <v>D-19, 4th Floor, Siuth City -2, Opp Arcadia Mall</v>
          </cell>
          <cell r="E41" t="str">
            <v>Nirvana Country</v>
          </cell>
          <cell r="F41" t="str">
            <v>Sunday</v>
          </cell>
          <cell r="G41" t="str">
            <v>9 AM - 12 PM</v>
          </cell>
          <cell r="H41">
            <v>2300</v>
          </cell>
          <cell r="I41">
            <v>287.5</v>
          </cell>
          <cell r="J41" t="str">
            <v>Felicity</v>
          </cell>
          <cell r="K41" t="str">
            <v>Send Sponge// Day Changed to Sunday (16/04) Paytm From Sri Sai makers (20/04) Change to felicity (17/05)</v>
          </cell>
          <cell r="N41" t="str">
            <v>2  del of this cycle   -  1-cycles pmnt   Pending - Collect 2300</v>
          </cell>
          <cell r="O41" t="str">
            <v>Mix Alstroemeria ( 14 inch )  11     FF Sachet + Grass</v>
          </cell>
          <cell r="P41" t="str">
            <v>Rajni ( 14 inch ) 11     Grass</v>
          </cell>
          <cell r="Q41" t="str">
            <v>O Asiatic ( 14 Inch ) 2     Grass</v>
          </cell>
          <cell r="R41" t="str">
            <v>Mix Alstroemeria ( 12 Inch ) 11     FF Sachet + Grass</v>
          </cell>
          <cell r="S41" t="str">
            <v>Pur n P Car ( 14 inch ) 11     FF Sachet + Grass</v>
          </cell>
          <cell r="T41" t="str">
            <v>P Spray Daisy ( 14 Inch ) 3     FF Sachet + Grass</v>
          </cell>
        </row>
        <row r="42">
          <cell r="A42">
            <v>71</v>
          </cell>
          <cell r="B42" t="str">
            <v>Meenakshi Verma</v>
          </cell>
          <cell r="C42">
            <v>9810044544</v>
          </cell>
          <cell r="D42" t="str">
            <v>D-24, The Belaire Dlf golf course Road Phase 5</v>
          </cell>
          <cell r="E42" t="str">
            <v>Golf Course Road</v>
          </cell>
          <cell r="F42" t="str">
            <v>Thursday</v>
          </cell>
          <cell r="G42" t="str">
            <v>9 AM - 12 PM</v>
          </cell>
          <cell r="H42">
            <v>1950</v>
          </cell>
          <cell r="I42">
            <v>487.5</v>
          </cell>
          <cell r="J42" t="str">
            <v>Joy</v>
          </cell>
          <cell r="K42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42" t="str">
            <v>DAHELIA n GLAD n ROSE n ORCHID n Sunflower (30/04)</v>
          </cell>
          <cell r="N42" t="str">
            <v>1  del of this cycle   -  1-cycles pmnt   Pending - Collect 1950</v>
          </cell>
          <cell r="O42" t="str">
            <v>Mix Alstroemeria ( 14 inch )  20     FF sachet + Grass</v>
          </cell>
          <cell r="P42" t="str">
            <v>P Asiatic ( 15 inch ) 4     Grass</v>
          </cell>
          <cell r="Q42" t="str">
            <v>R n W Car ( 14 Inch ) 22     FF Sachet + Grass</v>
          </cell>
          <cell r="R42" t="str">
            <v>P n Y Spray Dausy ( 14 Inch ) 7     FF Sachet + Grass</v>
          </cell>
          <cell r="S42" t="str">
            <v>Mix Alstroemeria ( 12 Inch ) 22     FF Sachet + Grass</v>
          </cell>
          <cell r="T42" t="str">
            <v>O Asiatic ( 14 Inch ) 4     2 Gypsola</v>
          </cell>
        </row>
        <row r="43">
          <cell r="A43" t="str">
            <v>G-00028</v>
          </cell>
          <cell r="B43" t="str">
            <v>Niharika Mohanty</v>
          </cell>
          <cell r="C43">
            <v>9711098608</v>
          </cell>
          <cell r="D43" t="str">
            <v>W2A-151, Wellington Estate</v>
          </cell>
          <cell r="E43" t="str">
            <v>DLF Phase 5</v>
          </cell>
          <cell r="F43" t="str">
            <v>Thursday</v>
          </cell>
          <cell r="G43" t="str">
            <v>10 AM to 2:30 PM</v>
          </cell>
          <cell r="H43">
            <v>1950</v>
          </cell>
          <cell r="I43">
            <v>487.5</v>
          </cell>
          <cell r="J43" t="str">
            <v>Joy</v>
          </cell>
          <cell r="K43" t="str">
            <v>From Akriti Chopra // Mixed Flowers // Skip this week (11/03) Skip 1 week (11/03)  Skip 2 week (18/06) Skip 1 week (13/08) Skip 1 week (14/10) Skip 2 weeks (12/11) Skip 1 week (03/12) Skip 1 week (03/01) Hold today (21/05) Skip tom (03/06)</v>
          </cell>
          <cell r="M43" t="str">
            <v>Mixed Flowers</v>
          </cell>
          <cell r="N43" t="str">
            <v>1  del of this cycle   -  1-cycles pmnt   Pending - Collect 1950</v>
          </cell>
          <cell r="O43" t="str">
            <v>P Asiatic ( 15 inch ) 2 R n W Car ( 14 inch ) 11   Grass</v>
          </cell>
          <cell r="P43" t="str">
            <v>P n W Spray Daisy ( 15 inch ) 4 Mix Alstroemeria ( 12 Inch ) 10   FF Sachet + Grass</v>
          </cell>
          <cell r="Q43" t="str">
            <v>Pur Eustoma 2 Mix Spray Car 10   FF Sachet + Grass</v>
          </cell>
          <cell r="R43" t="e">
            <v>#N/A</v>
          </cell>
          <cell r="S43" t="str">
            <v>Y Asiatic ( 14 Inch ) 2 P n W Glad ( 14 Inch ) 11   2 Gypsola</v>
          </cell>
          <cell r="T43" t="str">
            <v>Sunflower ( 12 Inch ) 3 Mix Alstroemeria ( 12 inch )  11   FF Sachet + Grass</v>
          </cell>
        </row>
        <row r="44">
          <cell r="A44">
            <v>3285</v>
          </cell>
          <cell r="B44" t="str">
            <v xml:space="preserve">Atifa </v>
          </cell>
          <cell r="C44">
            <v>7006933974</v>
          </cell>
          <cell r="D44" t="str">
            <v>T-3/003, Imperial Gardens, Sec 102</v>
          </cell>
          <cell r="E44" t="str">
            <v>Dwarka Expressway</v>
          </cell>
          <cell r="F44" t="str">
            <v>Thursday</v>
          </cell>
          <cell r="G44" t="str">
            <v>4 PM to 7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HDTNP (21/05) HDTNP (28/05) HDTNP (04/06)</v>
          </cell>
          <cell r="N44" t="str">
            <v>3  del of this cycle   -  0-cycles pmnt   Completed - Collect 0</v>
          </cell>
          <cell r="O44" t="str">
            <v>B Orchid 5     FF sachet + Grass</v>
          </cell>
          <cell r="P44" t="str">
            <v>Mix Alstroemeria ( 12 Inch ) 16     Grass</v>
          </cell>
          <cell r="Q44" t="e">
            <v>#N/A</v>
          </cell>
          <cell r="R44" t="e">
            <v>#N/A</v>
          </cell>
          <cell r="S44" t="str">
            <v xml:space="preserve">Collect 775 Carry Change and Receipt Book 50 Pending from last Payment  725 for current cycle 2 deliveries   </v>
          </cell>
          <cell r="T44" t="str">
            <v xml:space="preserve">Collect 775  Carry Change and Receipt Book Pese Na Mile To Call Karna Hai    </v>
          </cell>
        </row>
        <row r="45">
          <cell r="A45">
            <v>3247</v>
          </cell>
          <cell r="B45" t="str">
            <v>V P Singh</v>
          </cell>
          <cell r="C45">
            <v>9717986555</v>
          </cell>
          <cell r="D45" t="str">
            <v>WT04/701, Experion Windchantsm Sec 112</v>
          </cell>
          <cell r="E45" t="str">
            <v>Dwarka Expressway</v>
          </cell>
          <cell r="F45" t="str">
            <v>Thursday</v>
          </cell>
          <cell r="G45" t="str">
            <v>4 Pm to 7 PM</v>
          </cell>
          <cell r="H45">
            <v>1450</v>
          </cell>
          <cell r="I45">
            <v>362.5</v>
          </cell>
          <cell r="J45" t="str">
            <v>Bliss</v>
          </cell>
          <cell r="K45" t="str">
            <v>Paytm From Vijay Pratap Singh</v>
          </cell>
          <cell r="N45" t="str">
            <v>4  del of this cycle   -  0-cycles pmnt   Completed - Collect 0</v>
          </cell>
          <cell r="O45" t="str">
            <v>P n W Spray Daisy ( 15 inch ) 5     FF sachet + Grass</v>
          </cell>
          <cell r="P45" t="str">
            <v>P Asiatic ( 15 inch ) 3     Grass</v>
          </cell>
          <cell r="Q45" t="str">
            <v>Mix Alstroemeria ( 12 Inch ) 16     FF Sachet + grass</v>
          </cell>
          <cell r="R45" t="str">
            <v>Mix Car 16     Grass</v>
          </cell>
          <cell r="S45" t="str">
            <v>P n W Glad ( 14 Inch ) 16     Grass</v>
          </cell>
          <cell r="T45" t="str">
            <v>Sunflower ( 12 Inch ) 4 With Bouquet in Morning Pls With Bouquet in Morning Pls With Bouquet in Morning Pls  FF Sachet + Grass</v>
          </cell>
        </row>
        <row r="46">
          <cell r="A46">
            <v>2961</v>
          </cell>
          <cell r="B46" t="str">
            <v>Vishal Sagar</v>
          </cell>
          <cell r="C46">
            <v>9990720203</v>
          </cell>
          <cell r="D46" t="str">
            <v>E-002, The Residency, Aardee City, Gate No. 2</v>
          </cell>
          <cell r="E46" t="str">
            <v>Sushant Estate</v>
          </cell>
          <cell r="F46" t="str">
            <v>Thursday</v>
          </cell>
          <cell r="G46" t="str">
            <v>9 AM to 2 PM</v>
          </cell>
          <cell r="H46">
            <v>999</v>
          </cell>
          <cell r="I46">
            <v>249.75</v>
          </cell>
          <cell r="J46" t="str">
            <v>Delight</v>
          </cell>
          <cell r="K46" t="str">
            <v>Paytm From Vasudha Rana (26/02) Send 4 FF Sachet Next (27/02) HDTNP (21/05) Send on sat this week (22/05)</v>
          </cell>
          <cell r="M46" t="str">
            <v>4 FF Next (27/02)</v>
          </cell>
          <cell r="N46" t="str">
            <v>2  del of this cycle   -  1-cycles pmnt   Pending - Collect 999</v>
          </cell>
          <cell r="O46" t="str">
            <v>P Asiatic ( 15 inch ) 2     Grass</v>
          </cell>
          <cell r="P46" t="str">
            <v>Mix Alstroemeria ( 12 Inch ) 9     Grass</v>
          </cell>
          <cell r="Q46" t="str">
            <v>R n W Car ( 14 Inch ) 9     FF Sachet + Grass</v>
          </cell>
          <cell r="R46" t="str">
            <v>Y Spray Daisy ( 15 Inch ) 3     FF Sachet + Grass</v>
          </cell>
          <cell r="S46" t="str">
            <v>P n W Glad ( 14 Inch ) 9     Gras</v>
          </cell>
          <cell r="T46" t="str">
            <v>Sunflower ( 12 Inch ) 2     FF Sachet + Grass</v>
          </cell>
        </row>
        <row r="47">
          <cell r="A47">
            <v>203</v>
          </cell>
          <cell r="B47" t="str">
            <v>Alok divatia -- After 10 AM</v>
          </cell>
          <cell r="C47">
            <v>9819355743</v>
          </cell>
          <cell r="D47" t="str">
            <v>BLC 263, 26th Floor, Tower C, The Belaire</v>
          </cell>
          <cell r="E47" t="str">
            <v>Golf Course Road</v>
          </cell>
          <cell r="F47" t="str">
            <v>Thursday</v>
          </cell>
          <cell r="G47" t="str">
            <v>9 AM - 12 PM</v>
          </cell>
          <cell r="H47">
            <v>8648</v>
          </cell>
          <cell r="I47">
            <v>2162</v>
          </cell>
          <cell r="J47" t="str">
            <v>Customized</v>
          </cell>
          <cell r="K47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47" t="str">
            <v>3  del of this cycle   -  0-cycles pmnt   Completed - Collect 0</v>
          </cell>
          <cell r="O47" t="str">
            <v>P n Y Asiatic ( 15 inch ) 14 P n Y Car ( 14 Inch ) 24   4 Areca palm + 2 Gypsola + 2 Limonium</v>
          </cell>
          <cell r="P47" t="str">
            <v>P n W Asiatic ( 15 inch ) 14 Pur n P Car ( 14 inch ) 24   4 Areca palm + 2 Gypsola + 2 Limonium</v>
          </cell>
          <cell r="Q47" t="str">
            <v>O n W Asiatic  14 P n W Car ( 14 Inch )  24   4 Areca Palm + 2 Gypsola + 2 Limonium</v>
          </cell>
          <cell r="R47" t="str">
            <v>P n Y Asiatic ( 14 Inch ) 14 Pur n Y Car ( 14 Inch ) 24   4 Areca palm + 2 Gypsola + 2 Limonium</v>
          </cell>
          <cell r="S47" t="str">
            <v xml:space="preserve">P n W Asiatic ( 14 Inch ) 14 Pur n P Car ( 14 inch ) 24   </v>
          </cell>
          <cell r="T47" t="str">
            <v xml:space="preserve">O n P Asiatic ( 14 Inch ) 14 P n W Car ( 14 Inch ) 24   </v>
          </cell>
        </row>
        <row r="48">
          <cell r="A48">
            <v>3235</v>
          </cell>
          <cell r="B48" t="str">
            <v>Nishant -- Wellington</v>
          </cell>
          <cell r="C48">
            <v>9833057481</v>
          </cell>
          <cell r="D48" t="str">
            <v>Flat-1B/101, Wellington Estate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Paytm From Nishant Pandita // HDTNP (05/03) No Glad or Rajni (06/06)</v>
          </cell>
          <cell r="L48" t="str">
            <v>Glad n Rajni</v>
          </cell>
          <cell r="N48" t="str">
            <v>2  del of this cycle   -  0-cycles pmnt   Completed - Collect 0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str">
            <v>Pur n P Car ( 14 inch ) 16     FF Sachet + Grass</v>
          </cell>
          <cell r="T48" t="str">
            <v>P Asiatic ( 14 Inch ) 3     Grass</v>
          </cell>
        </row>
        <row r="49">
          <cell r="A49">
            <v>2684</v>
          </cell>
          <cell r="B49" t="str">
            <v>Meenakshi Bhatia</v>
          </cell>
          <cell r="C49">
            <v>9958428097</v>
          </cell>
          <cell r="D49" t="str">
            <v>T-E/244, The Crest</v>
          </cell>
          <cell r="E49" t="str">
            <v>Golf Course Road</v>
          </cell>
          <cell r="F49" t="str">
            <v>Thursday</v>
          </cell>
          <cell r="G49" t="str">
            <v>9 AM - 12 PM</v>
          </cell>
          <cell r="H49">
            <v>2750</v>
          </cell>
          <cell r="I49">
            <v>687.5</v>
          </cell>
          <cell r="J49" t="str">
            <v>Elation</v>
          </cell>
          <cell r="K49" t="str">
            <v>Hold she will confirm (17/05) Send on Sunday this week (23/05) Next Del on Sunday (29/05) 1 Spray daisy next (22/06) Send anthurium n BOP too (19/07) Skip 1 week (02/08) Skip 1 week and confirm before sending (24/08) Change day to Thursday (25/10) Today Hold (06/11) Send del on sunday and then from 18th (12/12) Skip 1 week (07/04)</v>
          </cell>
          <cell r="M49" t="str">
            <v>Send BOP and Anthuriums too (10/07) Chcek before sending (24/08)</v>
          </cell>
          <cell r="N49" t="str">
            <v>2  del of this cycle   -  0-cycles pmnt   Completed - Collect 0</v>
          </cell>
          <cell r="O49" t="str">
            <v>BOP 3 Mix Alstroemeria ( 14 inch ) 16   2 Limonium + FF sachet</v>
          </cell>
          <cell r="P49" t="str">
            <v>P Asiatic ( 15 inch ) 3 R n W Car ( 14 inch ) 16   2 Gypsola</v>
          </cell>
          <cell r="Q49" t="str">
            <v>P n W Spray Daisy ( 15 Inch ) 10 P n W Glad ( 14 Inch ) 16   2 Limonium + FF Sachet</v>
          </cell>
          <cell r="R49" t="str">
            <v>Sunflower ( 12 Inch ) 4 Mix Alstroemeria ( 12 Inch ) 16   2 Gypsola + FF Sachet</v>
          </cell>
          <cell r="S49" t="str">
            <v>Pur n P Eustoma ( 12 Inch ) 4 Pur n P Car ( 14 inch ) 16   2 Limonium + FF Sachet</v>
          </cell>
          <cell r="T49" t="str">
            <v xml:space="preserve">O Asiatic ( 14 Inch ) 3 P n W Glad ( 14 Inch ) 16   2 Gypsola </v>
          </cell>
        </row>
        <row r="50">
          <cell r="A50">
            <v>3133</v>
          </cell>
          <cell r="B50" t="str">
            <v>Anastasiia Liapicheva</v>
          </cell>
          <cell r="C50" t="str">
            <v>7678659573 // '+79029329098</v>
          </cell>
          <cell r="D50" t="str">
            <v>B1/602, Palm Groove Heights, Ardee City Sec 52</v>
          </cell>
          <cell r="E50" t="str">
            <v>Sushant Estate</v>
          </cell>
          <cell r="F50" t="str">
            <v>Thursday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No Lilies (02/11) No White Greens (02/12) Skip 1 week (07/01) skip 1 week (27/01) No Sunflower (06/03) Skip 1 week (06/06)</v>
          </cell>
          <cell r="L50" t="str">
            <v>Lily n Sunflower n White Greens</v>
          </cell>
          <cell r="M50" t="str">
            <v>No White Greens n Mixed Flowers</v>
          </cell>
          <cell r="N50" t="str">
            <v>2  del of this cycle   -  0-cycles pmnt   Completed - Collect 0</v>
          </cell>
          <cell r="O50" t="str">
            <v>P Asiatic ( 15 inch ) 2 Mix Alstroemeria ( 14 inch ) 7   Grass</v>
          </cell>
          <cell r="P50" t="str">
            <v>BOP ( 14 inch ) 2 P n W Glad ( 14 inch ) 7   FF Sachet + Grass</v>
          </cell>
          <cell r="Q50" t="str">
            <v>P Spray Daisy ( 15 Inch ) 3 R n W Car ( 14 Inch ) 7   FF Sachet + grass</v>
          </cell>
          <cell r="R50" t="str">
            <v>Pur Eustoma ( 14 Inch ) 2 Mix Alstroemeria ( 12 Inch ) 7   FF Sachet + Grass</v>
          </cell>
          <cell r="S50" t="e">
            <v>#N/A</v>
          </cell>
          <cell r="T50" t="str">
            <v>O Asiatic ( 14 Inch ) 2 P n W Glad ( 14 Inch ) 7   Grass</v>
          </cell>
        </row>
        <row r="51">
          <cell r="A51">
            <v>3097</v>
          </cell>
          <cell r="B51" t="str">
            <v>Jamie Miller</v>
          </cell>
          <cell r="C51">
            <v>7428737502</v>
          </cell>
          <cell r="D51" t="str">
            <v>D-072, The DLF Crest</v>
          </cell>
          <cell r="E51" t="str">
            <v>Golf Course Road</v>
          </cell>
          <cell r="F51" t="str">
            <v>Thursday</v>
          </cell>
          <cell r="G51" t="str">
            <v>9:30 Am to 2 PM</v>
          </cell>
          <cell r="H51">
            <v>2750</v>
          </cell>
          <cell r="I51">
            <v>687.5</v>
          </cell>
          <cell r="J51" t="str">
            <v>Elation</v>
          </cell>
          <cell r="K51" t="str">
            <v>From James Brittan // Skip 2 week (20/12) Today Returned (22/01) Skip 3 weeks (26/01) Skip 1 week (17/03) Skip 2 week (31/05)</v>
          </cell>
          <cell r="N51" t="str">
            <v>1  del of this cycle   -  0-cycles pmnt   Completed - Collect 0</v>
          </cell>
          <cell r="O51" t="str">
            <v xml:space="preserve">Sunflower ( 15 inch ) 4 R n W Car ( 14 inch ) 16   </v>
          </cell>
          <cell r="P51" t="str">
            <v>W Asiatic ( 15 Inch ) 3 Mix Alstroemeria ( 12 Inch ) 16   2 Gypsola</v>
          </cell>
          <cell r="Q51" t="str">
            <v>Pur n p Eustoma 4 P n W Glad ( 14 Inch ) 16   2 Limonium + FF Sachet</v>
          </cell>
          <cell r="R51" t="e">
            <v>#N/A</v>
          </cell>
          <cell r="S51" t="e">
            <v>#N/A</v>
          </cell>
          <cell r="T51" t="str">
            <v xml:space="preserve">P Asiatic ( 14 Inch ) 3 Pur n P Car ( 14 Inch ) 16   2 Gypsola </v>
          </cell>
        </row>
        <row r="52">
          <cell r="A52">
            <v>179</v>
          </cell>
          <cell r="B52" t="str">
            <v>Sarita Dosaj</v>
          </cell>
          <cell r="C52">
            <v>9810077026</v>
          </cell>
          <cell r="D52" t="str">
            <v>B-24, Trinity Towers</v>
          </cell>
          <cell r="E52" t="str">
            <v>DLF Phase 5</v>
          </cell>
          <cell r="F52" t="str">
            <v>Thursday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One Color Flower ( 06/06)</v>
          </cell>
          <cell r="M52" t="str">
            <v>One Color Flower ( 06/06)</v>
          </cell>
          <cell r="N52" t="str">
            <v>2  del of this cycle   -  1-cycles pmnt   Pending - Collect 1450</v>
          </cell>
          <cell r="O52" t="str">
            <v>Sunflower ( 15 inch ) 4     Grass</v>
          </cell>
          <cell r="P52" t="str">
            <v>Mix Alstroemeria ( 12 Inch ) 16     Grass</v>
          </cell>
          <cell r="Q52" t="str">
            <v>R n W Car ( 14 Inch ) 16     FF Sachet + grass</v>
          </cell>
          <cell r="R52" t="str">
            <v>P n W Spray Daisy ( 14 Inch ) 5     FF Sachet + Grass</v>
          </cell>
          <cell r="S52" t="str">
            <v>P Glad ( 14 Inch ) 16 One Color Flower Only    Grass</v>
          </cell>
          <cell r="T52" t="str">
            <v>O Asiatic ( 14 Inch ) 3 Collect Cash Collect Cash    Grass</v>
          </cell>
        </row>
        <row r="53">
          <cell r="A53">
            <v>1455</v>
          </cell>
          <cell r="B53" t="str">
            <v>Gagan Ahluwalia</v>
          </cell>
          <cell r="C53">
            <v>9811105056</v>
          </cell>
          <cell r="D53" t="str">
            <v>C-82, The Summit</v>
          </cell>
          <cell r="E53" t="str">
            <v>Golf Course Road</v>
          </cell>
          <cell r="F53" t="str">
            <v>Thursday</v>
          </cell>
          <cell r="G53" t="str">
            <v>9 AM - 12 PM</v>
          </cell>
          <cell r="H53">
            <v>2300</v>
          </cell>
          <cell r="I53">
            <v>287.5</v>
          </cell>
          <cell r="J53" t="str">
            <v>Felicity</v>
          </cell>
          <cell r="K53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53" t="str">
            <v>3  del of this cycle   -  0-cycles pmnt   Completed - Collect 0</v>
          </cell>
          <cell r="O53" t="str">
            <v>Mix Alstroemeria ( 14 inch )  11     FF Sachet + Grass</v>
          </cell>
          <cell r="P53" t="e">
            <v>#N/A</v>
          </cell>
          <cell r="Q53" t="e">
            <v>#N/A</v>
          </cell>
          <cell r="R53" t="str">
            <v>P n W Glad ( 14 Inch ) 11     Grass</v>
          </cell>
          <cell r="S53" t="str">
            <v>Rajni ( 14 Inch ) 11     Grass</v>
          </cell>
          <cell r="T53" t="str">
            <v>Pur n P Car ( 14 inch ) 11     FF Sachet + Grass</v>
          </cell>
        </row>
        <row r="54">
          <cell r="A54">
            <v>2644</v>
          </cell>
          <cell r="B54" t="str">
            <v>Sanjeet Kaur</v>
          </cell>
          <cell r="C54">
            <v>7889438209</v>
          </cell>
          <cell r="D54" t="str">
            <v>601, Emerald Green, Sector 52</v>
          </cell>
          <cell r="E54" t="str">
            <v>Artemis</v>
          </cell>
          <cell r="F54" t="str">
            <v>Thursday</v>
          </cell>
          <cell r="G54" t="str">
            <v>9:30 Am to 2 PM</v>
          </cell>
          <cell r="H54">
            <v>999</v>
          </cell>
          <cell r="I54">
            <v>249.75</v>
          </cell>
          <cell r="J54" t="str">
            <v>Delight</v>
          </cell>
          <cell r="K54" t="str">
            <v>1 Gypsola in each Del (16/05) Paytm From Arshia Kaur (13/06) Paytm From Yogpal Singh (20/12) Do not count todays delivery (30/04)</v>
          </cell>
          <cell r="M54" t="str">
            <v>1 Gyposla in each Del</v>
          </cell>
          <cell r="N54" t="str">
            <v>2  del of this cycle   -  0-cycles pmnt   Completed - Collect 0</v>
          </cell>
          <cell r="O54" t="str">
            <v>P Spray Daisy ( 15 inch ) 3     1 Gypsola + FF sachet</v>
          </cell>
          <cell r="P54" t="str">
            <v>Mix Alstroemeria ( 12 Inch ) 9     Grass</v>
          </cell>
          <cell r="Q54" t="str">
            <v>O Asiatic ( 14 Inch ) 2     Grass</v>
          </cell>
          <cell r="R54" t="str">
            <v>R n W Car ( 14 inch ) 9     FF Sachet + Grass</v>
          </cell>
          <cell r="S54" t="str">
            <v>P n W Glad ( 14 Inch ) 9     Gras</v>
          </cell>
          <cell r="T54" t="str">
            <v>Y Spray Daisy ( 14 Inch ) 3     1 Gypsola + FF Sachet</v>
          </cell>
        </row>
        <row r="55">
          <cell r="A55">
            <v>2204</v>
          </cell>
          <cell r="B55" t="str">
            <v>Bidisha Dey</v>
          </cell>
          <cell r="C55">
            <v>9811969982</v>
          </cell>
          <cell r="D55" t="str">
            <v>C-24, Carlton Estate-1, Club Drive</v>
          </cell>
          <cell r="E55" t="str">
            <v>DLF Phase 5</v>
          </cell>
          <cell r="F55" t="str">
            <v>Thursday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Skip 1 week (03/06) Returned send next week (11/07) Skip 1 week (08/01) Skip 1 week (26/03) Skip tom (02/07) Today Returned (20/11)</v>
          </cell>
          <cell r="N55" t="str">
            <v>3  del of this cycle   -  1-cycles pmnt   Pending - Collect 1450</v>
          </cell>
          <cell r="O55" t="str">
            <v>B Orchid 5     FF sachet + Grass</v>
          </cell>
          <cell r="P55" t="str">
            <v>Mix Alstroemeria ( 12 Inch ) 16     Grass</v>
          </cell>
          <cell r="Q55" t="str">
            <v>O Asiatic ( 14 Inch ) 3     Grass</v>
          </cell>
          <cell r="R55" t="str">
            <v>P n W Glad ( 14 Inch ) 16     Grass</v>
          </cell>
          <cell r="S55" t="str">
            <v>Pur n P Car ( 14 inch ) 16     FF Sachet + Grass</v>
          </cell>
          <cell r="T55" t="str">
            <v>Sunflower ( 12 Inch ) 4     FF Sachet + Grass</v>
          </cell>
        </row>
        <row r="56">
          <cell r="A56">
            <v>3071</v>
          </cell>
          <cell r="B56" t="str">
            <v>Divya Rawat</v>
          </cell>
          <cell r="C56">
            <v>8390310325</v>
          </cell>
          <cell r="D56" t="str">
            <v>D-13/14, 1st Floor, DLF Exclusive Floor</v>
          </cell>
          <cell r="E56" t="str">
            <v>DLF Phase 5</v>
          </cell>
          <cell r="F56" t="str">
            <v>Thursday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Return today (04/12) Hold today (05/03) Returned today (28/05)</v>
          </cell>
          <cell r="N56" t="str">
            <v>2  del of this cycle   -  1-cycles pmnt   Pending - Collect 1450</v>
          </cell>
          <cell r="O56" t="str">
            <v>Y Spray Daisy ( 15 inch ) 3 P n W Car ( 14 inch ) 7   FF sachet + Grass</v>
          </cell>
          <cell r="P56" t="str">
            <v>Sunflower ( 14 inch ) 2 Mix Alstroemeria ( 12 Inch ) 7   Grass</v>
          </cell>
          <cell r="Q56" t="str">
            <v>W Asiatic ( 14 Inch ) 2 P n W Glad 7   Grass</v>
          </cell>
          <cell r="R56" t="str">
            <v>Pur Eustoma ( 14 Inch ) 2 Pur n P Car ( 14 Inch ) 7   FF Sachet + Grass</v>
          </cell>
          <cell r="S56" t="str">
            <v>P Spray Daisy ( 14 Inch ) 3 Mix Alstroemeria ( 12 Inch ) 7   FF Sachet + Grass</v>
          </cell>
          <cell r="T56" t="str">
            <v>Sunflower ( 12 Inch ) 2 P n W Glad ( 14 Inch ) 7   FF Sachet + Grass</v>
          </cell>
        </row>
        <row r="57">
          <cell r="A57">
            <v>19</v>
          </cell>
          <cell r="B57" t="str">
            <v>Mrs. Geeta Chopra</v>
          </cell>
          <cell r="C57">
            <v>9811373448</v>
          </cell>
          <cell r="D57" t="str">
            <v>E-64,Ground Floor,Suncity,Sec-54</v>
          </cell>
          <cell r="E57" t="str">
            <v>Golf Course Road</v>
          </cell>
          <cell r="F57" t="str">
            <v>Thursday</v>
          </cell>
          <cell r="G57" t="str">
            <v>9 AM - 12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57" t="str">
            <v>1  del of this cycle   -  1-cycles pmnt   Pending - Collect 1450</v>
          </cell>
          <cell r="O57" t="str">
            <v>P Asiatic ( 15 inch ) 3     Grass</v>
          </cell>
          <cell r="P57" t="str">
            <v>P n Y Spray Daisy ( 15 Inch ) 5     FF Sachet + Grass</v>
          </cell>
          <cell r="Q57" t="str">
            <v>R n W Car ( 14 Inch ) 16     FF Sachet + grass</v>
          </cell>
          <cell r="R57" t="str">
            <v>P n W Glad ( 14 Inch ) 16     Grass</v>
          </cell>
          <cell r="S57" t="str">
            <v>Mix Alstroemeria ( 12 Inch ) 16     FF Sachet + Grass</v>
          </cell>
          <cell r="T57" t="str">
            <v>O Asiatic ( 14 Inch ) 3     Grass</v>
          </cell>
        </row>
        <row r="58">
          <cell r="A58" t="str">
            <v>G-00058</v>
          </cell>
          <cell r="B58" t="str">
            <v>Ayushi -- Sushant Lok 3</v>
          </cell>
          <cell r="C58">
            <v>7276564910</v>
          </cell>
          <cell r="D58" t="str">
            <v>A-186, 4th Floor, Sushant Lok 3, Sec 57</v>
          </cell>
          <cell r="E58" t="str">
            <v>Sector 56</v>
          </cell>
          <cell r="F58" t="str">
            <v>Thursday</v>
          </cell>
          <cell r="G58" t="str">
            <v>9:30 Am to 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Message -- Birthday month energy ( Flower Emoji) Wishing you soft days, happy surprises, and memories worth keeping this year. (23/05)</v>
          </cell>
          <cell r="N58" t="str">
            <v>3  del of this cycle   -  0-cycles pmnt   Completed - Collect 0</v>
          </cell>
          <cell r="O58" t="e">
            <v>#N/A</v>
          </cell>
          <cell r="P58" t="e">
            <v>#N/A</v>
          </cell>
          <cell r="Q58" t="str">
            <v>P n W Car ( 14 inch ) 16 Message    FF Sachet + grass</v>
          </cell>
          <cell r="R58" t="str">
            <v>P n Y Spray Dausy ( 14 Inch ) 5     FF Sachet + Grass</v>
          </cell>
          <cell r="S58" t="str">
            <v>P n W Glad ( 14 Inch ) 16     Grass</v>
          </cell>
          <cell r="T58" t="str">
            <v>P Asiatic ( 14 Inch ) 3     Grass</v>
          </cell>
        </row>
        <row r="59">
          <cell r="A59" t="str">
            <v>G-00061</v>
          </cell>
          <cell r="B59" t="str">
            <v>Dolly Mohan</v>
          </cell>
          <cell r="C59">
            <v>9210333222</v>
          </cell>
          <cell r="D59" t="str">
            <v>A-001, Shiv Shankar CGHS Appartmenet, Sec 51</v>
          </cell>
          <cell r="E59" t="str">
            <v>Artemis</v>
          </cell>
          <cell r="F59" t="str">
            <v>Thursday</v>
          </cell>
          <cell r="G59" t="str">
            <v>9 AM to 2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From Deepa Handa</v>
          </cell>
          <cell r="N59" t="str">
            <v>1  del of this cycle   -  0-cycles pmnt   In Process - Collect 0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str">
            <v>Pur n P Car ( 14 inch ) 16     FF Sachet + Grass</v>
          </cell>
        </row>
        <row r="60">
          <cell r="A60">
            <v>2509</v>
          </cell>
          <cell r="B60" t="str">
            <v>Shrija Majumder</v>
          </cell>
          <cell r="C60">
            <v>8910369663</v>
          </cell>
          <cell r="D60" t="str">
            <v>G-803, BPTP Freedom Park Life</v>
          </cell>
          <cell r="E60" t="str">
            <v>Artemis</v>
          </cell>
          <cell r="F60" t="str">
            <v>Thursday</v>
          </cell>
          <cell r="G60" t="str">
            <v>9:30 Am to 2 PM</v>
          </cell>
          <cell r="H60">
            <v>999</v>
          </cell>
          <cell r="I60">
            <v>249.75</v>
          </cell>
          <cell r="J60" t="str">
            <v>Delight</v>
          </cell>
          <cell r="K60" t="str">
            <v>Only Seasonals // skip tom (26/04) Skip 1 week (25/06) Hold today (14/08) Send tom after 7 PM (20/08) Skip 1 week (27/08) Skip 1 week (05/03) send replacement tom (28/03)</v>
          </cell>
          <cell r="M60" t="str">
            <v>Seasonlas</v>
          </cell>
          <cell r="N60" t="str">
            <v>4  del of this cycle   -  0-cycles pmnt   Completed - Collect 0</v>
          </cell>
          <cell r="O60" t="str">
            <v>Mix Alstroemeria ( 14 inch )  9     FF sachet + Grass</v>
          </cell>
          <cell r="P60" t="str">
            <v>P n W Car ( 14 inch ) 9     FF Sachet + Grass</v>
          </cell>
          <cell r="Q60" t="str">
            <v>P n W Glad ( 14 Inch ) 9     Grass</v>
          </cell>
          <cell r="R60" t="str">
            <v>Rajni ( 14 Inch ) 9     Grass</v>
          </cell>
          <cell r="S60" t="str">
            <v>Mix Car ( 14 Inch ) 9     Grass</v>
          </cell>
          <cell r="T60" t="str">
            <v>Mix Alstroemeria ( 12 Inch ) 9     FF Sachet + Grass</v>
          </cell>
        </row>
        <row r="61">
          <cell r="A61">
            <v>1140</v>
          </cell>
          <cell r="B61" t="str">
            <v>Nidhi Singh</v>
          </cell>
          <cell r="C61" t="str">
            <v>8383036664//9899389873</v>
          </cell>
          <cell r="D61" t="str">
            <v>D-8/3, Ground Floor DLF Exclusive Floors</v>
          </cell>
          <cell r="E61" t="str">
            <v>DLF Phase 5</v>
          </cell>
          <cell r="F61" t="str">
            <v>Thursday</v>
          </cell>
          <cell r="G61" t="str">
            <v>9 AM - 12 PM</v>
          </cell>
          <cell r="H61">
            <v>2300</v>
          </cell>
          <cell r="I61">
            <v>287.5</v>
          </cell>
          <cell r="J61" t="str">
            <v>Felicity</v>
          </cell>
          <cell r="K61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61" t="str">
            <v>ROSE</v>
          </cell>
          <cell r="N61" t="str">
            <v>5  del of this cycle   -  0-cycles pmnt   Completed - Collect 0</v>
          </cell>
          <cell r="O61" t="str">
            <v>Mix Alstroemeria ( 14 inch )  11     FF Sachet + Grass</v>
          </cell>
          <cell r="P61" t="str">
            <v>P Asiatic ( 15 inch ) 2     Grass</v>
          </cell>
          <cell r="Q61" t="str">
            <v>P n W Glad ( 14 Inch ) 11     Grass</v>
          </cell>
          <cell r="R61" t="str">
            <v>P Spray Daisy ( 14 Inch ) 3     FF Sachet + Grass</v>
          </cell>
          <cell r="S61" t="str">
            <v>Pur Eustoma ( 12 Inch ) 3     FF Sachet + Grass</v>
          </cell>
          <cell r="T61" t="str">
            <v>Rajni ( 14 Inch ) 11     Grass</v>
          </cell>
        </row>
        <row r="62">
          <cell r="A62">
            <v>2716</v>
          </cell>
          <cell r="B62" t="str">
            <v>Simmi Chopra</v>
          </cell>
          <cell r="C62">
            <v>9891744488</v>
          </cell>
          <cell r="D62" t="str">
            <v>B/145, Suncity, Golf Course Road</v>
          </cell>
          <cell r="E62" t="str">
            <v>Golf Course Road</v>
          </cell>
          <cell r="F62" t="str">
            <v>Thursday</v>
          </cell>
          <cell r="G62" t="str">
            <v>9 AM - 12 PM</v>
          </cell>
          <cell r="H62">
            <v>2750</v>
          </cell>
          <cell r="I62">
            <v>687.5</v>
          </cell>
          <cell r="J62" t="str">
            <v>Elation</v>
          </cell>
          <cell r="K62" t="str">
            <v>Upgrade to Elation (27/08) Send 10 B daisy next extra (04/10) Today Hold (04/12) Send one Del Tom (30/12)</v>
          </cell>
          <cell r="M62" t="str">
            <v>Send on del tom and no del on 1st Jan (30/12)</v>
          </cell>
          <cell r="N62" t="str">
            <v>4  del of this cycle   -  0-cycles pmnt   Completed - Collect 50</v>
          </cell>
          <cell r="O62" t="str">
            <v>Sunflower ( 15 inch ) 4 R n W Car ( 14 inch ) 16   2 Limonium</v>
          </cell>
          <cell r="P62" t="str">
            <v>Y Asiatic ( 15 Inch ) 3 Mix Alstroemeria ( 12 Inch ) 16   2 Gypsola</v>
          </cell>
          <cell r="Q62" t="str">
            <v>Pur n p Eustoma 4 P n W Glad ( 14 Inch ) 16   2 Limonium + FF Sachet</v>
          </cell>
          <cell r="R62" t="str">
            <v>P n Y Spray Dausy ( 14 Inch ) 5 P n W Car  ( 14 Inch ) 16   2 Gypsola + FF Sachet</v>
          </cell>
          <cell r="S62" t="str">
            <v>Sunflower ( 12 Inch ) 4 Mix Alstroemeria ( 12 Inch ) 16   2 Limonium + FF Sachet</v>
          </cell>
          <cell r="T62" t="str">
            <v xml:space="preserve">P Asiatic ( 14 Inch ) 3 P n W Glad ( 14 Inch ) 16   2 Gypsola </v>
          </cell>
        </row>
        <row r="63">
          <cell r="A63">
            <v>2307</v>
          </cell>
          <cell r="B63" t="str">
            <v>Alpna Jain</v>
          </cell>
          <cell r="C63">
            <v>9599336609</v>
          </cell>
          <cell r="D63" t="str">
            <v>C-64, The Icon</v>
          </cell>
          <cell r="E63" t="str">
            <v>DLF Phase 5</v>
          </cell>
          <cell r="F63" t="str">
            <v>Thursday</v>
          </cell>
          <cell r="G63" t="str">
            <v>10 AM to 2:30 PM</v>
          </cell>
          <cell r="H63">
            <v>3000</v>
          </cell>
          <cell r="I63">
            <v>375</v>
          </cell>
          <cell r="J63" t="str">
            <v>Charm</v>
          </cell>
          <cell r="K63" t="str">
            <v>Thursday n Sunday // Hold today (08/02) Keep flowers outside of Door (17/05)</v>
          </cell>
          <cell r="M63" t="str">
            <v>Keep flowers outside of door always</v>
          </cell>
          <cell r="N63" t="str">
            <v>8  del of this cycle   -  0-cycles pmnt   Completed - Collect 0</v>
          </cell>
          <cell r="O63" t="str">
            <v>P n W Glad ( 14 inch ) 15     Grass</v>
          </cell>
          <cell r="P63" t="str">
            <v>Y Asiatic ( 15 Inch ) 3     Grass</v>
          </cell>
          <cell r="Q63" t="str">
            <v>O Asiatic ( 14 Inch ) 3 Pls Leave Outside Door Pls Leave Outside Door Pls Leave Outside Door  Grass</v>
          </cell>
          <cell r="R63" t="str">
            <v>Mix Alstroemeria ( 12 Inch ) 15 ( 12 Inch ) Leave outside of door don’t ring bell and no call   FF Sachet + Grass</v>
          </cell>
          <cell r="S63" t="str">
            <v>Sunflower ( 12 Inch ) 4 Leave Outside of door-- Don’t Call and Don’t Ring Bell    FF Sachet + Grass</v>
          </cell>
          <cell r="T63" t="str">
            <v>Pur n P Eustoma ( 12 Inch ) 4 Leave Outside of door -- Don’t call n don’t ring bell    FF Sachet + Grass</v>
          </cell>
        </row>
        <row r="64">
          <cell r="A64">
            <v>3241</v>
          </cell>
          <cell r="B64" t="str">
            <v>Sunanda</v>
          </cell>
          <cell r="C64">
            <v>8800994226</v>
          </cell>
          <cell r="D64" t="str">
            <v>C-084, The Icon</v>
          </cell>
          <cell r="E64" t="str">
            <v>DLF Phase 5</v>
          </cell>
          <cell r="F64" t="str">
            <v>Thursday</v>
          </cell>
          <cell r="G64" t="str">
            <v>9 AM - 12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One Kind // Skip 1 week (13/01) HDTNP (26/02) HDTNP (04/03) HDTNP (12/03)</v>
          </cell>
          <cell r="M64" t="str">
            <v>One Kind</v>
          </cell>
          <cell r="N64" t="str">
            <v>4  del of this cycle   -  0-cycles pmnt   Completed - Collect 0</v>
          </cell>
          <cell r="O64" t="str">
            <v>R n W Car ( 14 inch ) 16     FF sachet + Grass</v>
          </cell>
          <cell r="P64" t="str">
            <v>Y Asiatic ( 15 Inch ) 3     Grass</v>
          </cell>
          <cell r="Q64" t="str">
            <v>Mix Alstroemeria ( 12 Inch ) 16     FF Sachet + grass</v>
          </cell>
          <cell r="R64" t="str">
            <v>P n W Glad ( 14 Inch ) 16     Grass</v>
          </cell>
          <cell r="S64" t="str">
            <v>Pur Eustoma ( 12 Inch ) 3     FF Sachet + Grass</v>
          </cell>
          <cell r="T64" t="str">
            <v>Pur n P Car ( 14 inch ) 16     FF Sachet + Grass</v>
          </cell>
        </row>
        <row r="65">
          <cell r="A65">
            <v>1181</v>
          </cell>
          <cell r="B65" t="str">
            <v>Parul Sharma --Elation</v>
          </cell>
          <cell r="C65">
            <v>8800895944</v>
          </cell>
          <cell r="D65" t="str">
            <v>Villa-27, The Legend</v>
          </cell>
          <cell r="E65" t="str">
            <v>Artemis</v>
          </cell>
          <cell r="F65" t="str">
            <v>Thursday</v>
          </cell>
          <cell r="G65" t="str">
            <v>9 AM to 2 PM</v>
          </cell>
          <cell r="H65">
            <v>1950</v>
          </cell>
          <cell r="I65">
            <v>487.5</v>
          </cell>
          <cell r="J65" t="str">
            <v>Joy</v>
          </cell>
          <cell r="K65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65" t="str">
            <v>Before 11:30 AM</v>
          </cell>
          <cell r="N65" t="str">
            <v>2  del of this cycle   -  0-cycles pmnt   Completed - Collect 0</v>
          </cell>
          <cell r="O65" t="str">
            <v>R n W Car ( 14 inch ) 22     FF sachet + Grass</v>
          </cell>
          <cell r="P65" t="str">
            <v>Mix Alstroemeria ( 12 Inch ) 20     Grass</v>
          </cell>
          <cell r="Q65" t="str">
            <v>W Asiatic ( 14 Inch ) 4     Grass</v>
          </cell>
          <cell r="R65" t="str">
            <v>P n W Glad ( 14 Inch ) 22     Grass</v>
          </cell>
          <cell r="S65" t="str">
            <v>Pur n P Eustoma ( 12 Inch ) 4     FF Sachet + Grass</v>
          </cell>
          <cell r="T65" t="str">
            <v>P n Y Spray Daisy ( 14 Inch ) 7     FF Sachet + Grass</v>
          </cell>
        </row>
        <row r="66">
          <cell r="A66">
            <v>3063</v>
          </cell>
          <cell r="B66" t="str">
            <v>Shinjini Mehrotra</v>
          </cell>
          <cell r="C66">
            <v>9810198315</v>
          </cell>
          <cell r="D66" t="str">
            <v>F-109, 2nd Floor, Suncity</v>
          </cell>
          <cell r="E66" t="str">
            <v>Golf Course Road</v>
          </cell>
          <cell r="F66" t="str">
            <v>Thursday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Hold 4 Weeks (04/12) Skip 1 week (14/02) Skip 2 week (28/02) Skip 1 week  (01/04) Hold till 29th Apr (06/04)</v>
          </cell>
          <cell r="N66" t="str">
            <v>2  del of this cycle   -  1-cycles pmnt   Pending - Collect 1450</v>
          </cell>
          <cell r="O66" t="str">
            <v>P n W Spray Daisy ( 15 inch ) 5     FF sachet + Grass</v>
          </cell>
          <cell r="P66" t="str">
            <v>Mix Alstroemeria ( 12 Inch ) 16     Grass</v>
          </cell>
          <cell r="Q66" t="str">
            <v>O Asiatic ( 14 Inch ) 3     Grass</v>
          </cell>
          <cell r="R66" t="str">
            <v>R n W Car ( 14 inch ) 16     FF Sachet + Grass</v>
          </cell>
          <cell r="S66" t="str">
            <v>Pur Eustoma ( 12 Inch ) 3     FF Sachet + Grass</v>
          </cell>
          <cell r="T66" t="str">
            <v>Sunflower ( 12 Inch ) 4     FF Sachet + Grass</v>
          </cell>
        </row>
        <row r="67">
          <cell r="A67">
            <v>3205</v>
          </cell>
          <cell r="B67" t="str">
            <v>Supriya -- The Icon</v>
          </cell>
          <cell r="C67">
            <v>9650802228</v>
          </cell>
          <cell r="D67" t="str">
            <v>B-31, The Icon</v>
          </cell>
          <cell r="E67" t="str">
            <v>DLF Phase 5</v>
          </cell>
          <cell r="F67" t="str">
            <v>Thursday</v>
          </cell>
          <cell r="G67" t="str">
            <v>9 AM - 12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Paytm from Nutan Joshi (19/04)</v>
          </cell>
          <cell r="N67" t="str">
            <v>2  del of this cycle   -  0-cycles pmnt   Completed - Collect 0</v>
          </cell>
          <cell r="O67" t="str">
            <v>Sunflower ( 15 inch ) 2 Mix Alstroemeria ( 14 inch ) 7   Grass</v>
          </cell>
          <cell r="P67" t="str">
            <v>Y Asiatic ( 15 Inch ) 2 P n W Glad ( 14 inch ) 7   Grass</v>
          </cell>
          <cell r="Q67" t="str">
            <v>P Spray Daisy ( 15 Inch ) 3 P n W Car ( 14 Inch )  7   FF Sachet + grass</v>
          </cell>
          <cell r="R67" t="str">
            <v>P Eustoma (14 Inch ) 2 Mix Alstroemeria ( 12 Inch ) 7   FF Sachet + Grass</v>
          </cell>
          <cell r="S67" t="str">
            <v>Sunflower ( 12 Inch ) 2 P n W Glad ( 14 Inch ) 7   FF Sachet + Grass</v>
          </cell>
          <cell r="T67" t="str">
            <v>P Asiatic ( 14 Inch ) 2 Pur n P Car ( 14 Inch ) 7   Grass</v>
          </cell>
        </row>
        <row r="68">
          <cell r="A68">
            <v>921</v>
          </cell>
          <cell r="B68" t="str">
            <v>Anumeha</v>
          </cell>
          <cell r="C68" t="str">
            <v>9899901949// 9953511987</v>
          </cell>
          <cell r="D68" t="str">
            <v>T-04/1701, South Close</v>
          </cell>
          <cell r="E68" t="str">
            <v>Nirvana Country</v>
          </cell>
          <cell r="F68" t="str">
            <v>Thursday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68" t="str">
            <v>No rajni till Oct (31/08)</v>
          </cell>
          <cell r="N68" t="str">
            <v>2  del of this cycle   -  1-cycles pmnt   Pending - Collect 1450</v>
          </cell>
          <cell r="O68" t="str">
            <v>R n W Car ( 14 inch ) 16     FF sachet + Grass</v>
          </cell>
          <cell r="P68" t="str">
            <v>P Asiatic ( 15 inch ) 3     Grass</v>
          </cell>
          <cell r="Q68" t="str">
            <v>Mix Alstroemeria ( 12 Inch ) 16     FF Sachet + grass</v>
          </cell>
          <cell r="R68" t="str">
            <v>P n W Glad ( 14 Inch ) 16     Grass</v>
          </cell>
          <cell r="S68" t="str">
            <v>P n W Spray Daisy ( 14 Inch ) 5     FF Sachet + Grass</v>
          </cell>
          <cell r="T68" t="str">
            <v>Sunflower ( 12 Inch ) 4     FF Sachet + Grass</v>
          </cell>
        </row>
        <row r="69">
          <cell r="A69">
            <v>2779</v>
          </cell>
          <cell r="B69" t="str">
            <v>Riddhi Desai</v>
          </cell>
          <cell r="C69">
            <v>8130497969</v>
          </cell>
          <cell r="D69" t="str">
            <v>D-71, The Icon</v>
          </cell>
          <cell r="E69" t="str">
            <v>Golf Course Road</v>
          </cell>
          <cell r="F69" t="str">
            <v>Sunday</v>
          </cell>
          <cell r="G69" t="str">
            <v>9 AM to 2 PM</v>
          </cell>
          <cell r="H69">
            <v>1600</v>
          </cell>
          <cell r="I69">
            <v>200</v>
          </cell>
          <cell r="J69" t="str">
            <v>Bloom</v>
          </cell>
          <cell r="K69" t="str">
            <v>Send this week on Saturday (14/08) Skip 1 week (21/12) Hold till 2nd June (20/05)</v>
          </cell>
          <cell r="N69" t="str">
            <v>2  del of this cycle   -  1-cycles pmnt   Pending - Collect 1600</v>
          </cell>
          <cell r="O69" t="str">
            <v>P n W Glad ( 14 inch ) 7     Grass</v>
          </cell>
          <cell r="P69" t="e">
            <v>#N/A</v>
          </cell>
          <cell r="Q69" t="e">
            <v>#N/A</v>
          </cell>
          <cell r="R69" t="str">
            <v>P n W Car ( 14 Inch ) 7     FF Sachet + Grass</v>
          </cell>
          <cell r="S69" t="str">
            <v>Y Spray Daisy ( 14 Inch ) 2     Grass</v>
          </cell>
          <cell r="T69" t="str">
            <v>Sunflower ( 12 Inch ) 2     FF Sachet + Grass</v>
          </cell>
        </row>
        <row r="70">
          <cell r="A70">
            <v>61</v>
          </cell>
          <cell r="B70" t="str">
            <v>Megha Manchanda</v>
          </cell>
          <cell r="C70">
            <v>9871919500</v>
          </cell>
          <cell r="D70" t="str">
            <v>T-3/302, Unitech Harmony</v>
          </cell>
          <cell r="E70" t="str">
            <v>Nirvana Country</v>
          </cell>
          <cell r="F70" t="str">
            <v>Thursday</v>
          </cell>
          <cell r="G70" t="str">
            <v>9 AM - 12 PM</v>
          </cell>
          <cell r="H70">
            <v>999</v>
          </cell>
          <cell r="I70">
            <v>249.75</v>
          </cell>
          <cell r="J70" t="str">
            <v>Delight</v>
          </cell>
          <cell r="K70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</v>
          </cell>
          <cell r="N70" t="str">
            <v>2  del of this cycle   -  0-cycles pmnt   Completed - Collect 0</v>
          </cell>
          <cell r="O70" t="str">
            <v>P Spray Daisy ( 15 inch ) 3     FF sachet + Grass</v>
          </cell>
          <cell r="P70" t="str">
            <v>Mix Alstroemeria ( 12 Inch ) 9     Grass</v>
          </cell>
          <cell r="Q70" t="str">
            <v>P n W Glad ( 14 Inch ) 9     Grass</v>
          </cell>
          <cell r="R70" t="str">
            <v>Y Asiatic ( 14 Inch ) 2     Grass</v>
          </cell>
          <cell r="S70" t="str">
            <v>Pur n P Car ( 14 inch ) 9     Grass</v>
          </cell>
          <cell r="T70" t="str">
            <v>Sunflower ( 12 Inch ) 2     FF Sachet + Grass</v>
          </cell>
        </row>
        <row r="71">
          <cell r="A71">
            <v>870</v>
          </cell>
          <cell r="B71" t="str">
            <v>Himabindu Kanchan</v>
          </cell>
          <cell r="C71">
            <v>9892501292</v>
          </cell>
          <cell r="D71" t="str">
            <v xml:space="preserve">D -13, Pinnacle Dlf Phase - 5 </v>
          </cell>
          <cell r="E71" t="str">
            <v>DLF Phase 5</v>
          </cell>
          <cell r="F71" t="str">
            <v>Thursday</v>
          </cell>
          <cell r="G71" t="str">
            <v>9 AM - 12 PM</v>
          </cell>
          <cell r="H71">
            <v>1600</v>
          </cell>
          <cell r="I71">
            <v>200</v>
          </cell>
          <cell r="J71" t="str">
            <v>Bloom</v>
          </cell>
          <cell r="K71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71" t="str">
            <v>8  del of this cycle   -  0-cycles pmnt   Completed - Collect 0</v>
          </cell>
          <cell r="O71" t="str">
            <v>Mix Alstroemeria ( 14 inch )  7     FF Sachet + Grass</v>
          </cell>
          <cell r="P71" t="str">
            <v>P n W Car ( 14 inch ) 7     FF Sachet + grass</v>
          </cell>
          <cell r="Q71" t="str">
            <v>Sunflower ( 14 Inch ) 2     Grass</v>
          </cell>
          <cell r="R71" t="str">
            <v>P n W Glad ( 14 Inch ) 7     Grass</v>
          </cell>
          <cell r="S71" t="str">
            <v>Pur n P Car ( 14 inch ) 7     FF Sachet + Grass</v>
          </cell>
          <cell r="T71" t="str">
            <v>Sunflower ( 12 Inch ) 2     FF Sachet + Grass</v>
          </cell>
        </row>
        <row r="72">
          <cell r="A72">
            <v>571</v>
          </cell>
          <cell r="B72" t="str">
            <v>Mrs. Singh</v>
          </cell>
          <cell r="C72">
            <v>9873099320</v>
          </cell>
          <cell r="D72" t="str">
            <v>D 42, pinnacle, Dlf ph 5, Golf course road</v>
          </cell>
          <cell r="E72" t="str">
            <v>DLF Phase 5</v>
          </cell>
          <cell r="F72" t="str">
            <v>Thursday</v>
          </cell>
          <cell r="G72" t="str">
            <v>9 AM - 12 PM</v>
          </cell>
          <cell r="H72">
            <v>1600</v>
          </cell>
          <cell r="I72">
            <v>200</v>
          </cell>
          <cell r="J72" t="str">
            <v>Bloom</v>
          </cell>
          <cell r="K72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72" t="str">
            <v>2  del of this cycle   -  1-cycles pmnt   Pending - Collect 1600</v>
          </cell>
          <cell r="O72" t="str">
            <v>P Spray Daisy ( 15 inch ) 2     FF Sachet + Grass</v>
          </cell>
          <cell r="P72" t="str">
            <v>P n W Glad ( 14 inch ) 7     Grass</v>
          </cell>
          <cell r="Q72" t="str">
            <v>Sunflower ( 14 Inch ) 2     FF Sachet + Grass</v>
          </cell>
          <cell r="R72" t="str">
            <v>Mix Alstroemeria ( 12 Inch ) 7     FF Sachet + Grass</v>
          </cell>
          <cell r="S72" t="str">
            <v>Pur n P Car ( 14 inch ) 7     FF Sachet + Grass</v>
          </cell>
          <cell r="T72" t="str">
            <v>Sunflower ( 12 Inch ) 2     FF Sachet + Grass</v>
          </cell>
        </row>
        <row r="73">
          <cell r="A73">
            <v>3246</v>
          </cell>
          <cell r="B73" t="str">
            <v>Anu Siwach</v>
          </cell>
          <cell r="C73">
            <v>9871900364</v>
          </cell>
          <cell r="D73" t="str">
            <v>Wing-A, Flat 7191, ATS Triumph, Sec 104</v>
          </cell>
          <cell r="E73" t="str">
            <v>Dwarka Expressway</v>
          </cell>
          <cell r="F73" t="str">
            <v>Thursday</v>
          </cell>
          <cell r="G73" t="str">
            <v>4 Pm to 7 PM</v>
          </cell>
          <cell r="H73">
            <v>999</v>
          </cell>
          <cell r="I73">
            <v>249.75</v>
          </cell>
          <cell r="J73" t="str">
            <v>Delight</v>
          </cell>
          <cell r="K73" t="str">
            <v>No Sunflowers (23/05)</v>
          </cell>
          <cell r="L73" t="str">
            <v>Sunflowers</v>
          </cell>
          <cell r="N73" t="str">
            <v>4  del of this cycle   -  0-cycles pmnt   Completed - Collect 0</v>
          </cell>
          <cell r="O73" t="str">
            <v>P Spray Daisy ( 15 inch ) 3     FF sachet + Grass</v>
          </cell>
          <cell r="P73" t="str">
            <v>Mix Car 9     Grass</v>
          </cell>
          <cell r="Q73" t="str">
            <v>P n W Glad ( 14 Inch ) 9     Grass</v>
          </cell>
          <cell r="R73" t="str">
            <v>P Asiatic ( 14 Inch ) 2     Grass</v>
          </cell>
          <cell r="S73" t="str">
            <v>Pink Spray Daisy  3     Grass</v>
          </cell>
          <cell r="T73" t="str">
            <v>Y Spray Daisy ( 14 Inch ) 3     Grass</v>
          </cell>
        </row>
        <row r="74">
          <cell r="A74">
            <v>2631</v>
          </cell>
          <cell r="B74" t="str">
            <v>Ruchee</v>
          </cell>
          <cell r="C74">
            <v>9811026182</v>
          </cell>
          <cell r="D74" t="str">
            <v>A-2/1603, Puri Emerald Bay, Sector 104</v>
          </cell>
          <cell r="E74" t="str">
            <v>Dwarka Expressway</v>
          </cell>
          <cell r="F74" t="str">
            <v>Thursday</v>
          </cell>
          <cell r="G74" t="str">
            <v>4 Pm to 7 PM</v>
          </cell>
          <cell r="H74">
            <v>999</v>
          </cell>
          <cell r="I74">
            <v>249.75</v>
          </cell>
          <cell r="J74" t="str">
            <v>Delight</v>
          </cell>
          <cell r="K74" t="str">
            <v>No White Colr (29/05) FF Next (06/06) From Ruchika Aneja (21/08) Skip 1 week (24/08) Deliver at T-2 Reception (31/01) No sunflower (17/05)</v>
          </cell>
          <cell r="L74" t="str">
            <v>Sunflower</v>
          </cell>
          <cell r="M74" t="str">
            <v>No White Color (29/05) FF Next (06/06)</v>
          </cell>
          <cell r="N74" t="str">
            <v>3  del of this cycle   -  0-cycles pmnt   Completed - Collect 0</v>
          </cell>
          <cell r="O74" t="str">
            <v>P Spray Daisy ( 15 inch ) 3     FF sachet + Grass</v>
          </cell>
          <cell r="P74" t="str">
            <v>Mix Car 9     Grass</v>
          </cell>
          <cell r="Q74" t="str">
            <v>O Asiatic ( 14 Inch ) 2     Grass</v>
          </cell>
          <cell r="R74" t="str">
            <v>Mix Alstroemeria ( 12 Inch ) 9 No white Color    FF Sachet + Grass</v>
          </cell>
          <cell r="S74" t="str">
            <v>P Glad 9 No White    Gras</v>
          </cell>
          <cell r="T74" t="str">
            <v>Y Spray Daisy ( 14 Inch ) 3     FF Sachet + Grass</v>
          </cell>
        </row>
        <row r="75">
          <cell r="A75">
            <v>309</v>
          </cell>
          <cell r="B75" t="str">
            <v>Ms Swati Bhise--before 10</v>
          </cell>
          <cell r="C75">
            <v>9811806611</v>
          </cell>
          <cell r="D75" t="str">
            <v xml:space="preserve">TG-5/4B Orchid Garden Sun city Sec - 54 </v>
          </cell>
          <cell r="E75" t="str">
            <v>Golf Course Road</v>
          </cell>
          <cell r="F75" t="str">
            <v>Thursday</v>
          </cell>
          <cell r="G75" t="str">
            <v>9 AM - 12 PM</v>
          </cell>
          <cell r="H75">
            <v>2750</v>
          </cell>
          <cell r="I75">
            <v>687.5</v>
          </cell>
          <cell r="J75" t="str">
            <v>Elation</v>
          </cell>
          <cell r="K75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75" t="str">
            <v>Upgrade to Elation next (14/08)</v>
          </cell>
          <cell r="N75" t="str">
            <v>1  del of this cycle   -  1-cycles pmnt   Pending - Collect 2750</v>
          </cell>
          <cell r="O75" t="str">
            <v>B Orchid 10     2 Limonium + FF sachet</v>
          </cell>
          <cell r="P75" t="e">
            <v>#N/A</v>
          </cell>
          <cell r="Q75" t="str">
            <v>R n W Car ( 14 Inch ) 32     2 Limonium + FF Sachet</v>
          </cell>
          <cell r="R75" t="e">
            <v>#N/A</v>
          </cell>
          <cell r="S75" t="str">
            <v>P Asiatic ( 14 Inch )  6     2 Gypsola</v>
          </cell>
          <cell r="T75" t="str">
            <v>P n W Glad ( 14 Inch ) 32     2 Limonium</v>
          </cell>
        </row>
        <row r="76">
          <cell r="A76">
            <v>1656</v>
          </cell>
          <cell r="B76" t="str">
            <v>Eva-Pinnacle</v>
          </cell>
          <cell r="C76">
            <v>9560609907</v>
          </cell>
          <cell r="D76" t="str">
            <v>C-93, The Pinnacle</v>
          </cell>
          <cell r="E76" t="str">
            <v>DLF Phase 5</v>
          </cell>
          <cell r="F76" t="str">
            <v>Thursday</v>
          </cell>
          <cell r="G76" t="str">
            <v>9:30 Am to 2 PM</v>
          </cell>
          <cell r="H76">
            <v>999</v>
          </cell>
          <cell r="I76">
            <v>249.75</v>
          </cell>
          <cell r="J76" t="str">
            <v>Delight</v>
          </cell>
          <cell r="K76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76" t="str">
            <v>2  del of this cycle   -  0-cycles pmnt   Completed - Collect 0</v>
          </cell>
          <cell r="O76" t="str">
            <v>P Asiatic ( 15 inch ) 2     Grass</v>
          </cell>
          <cell r="P76" t="str">
            <v>Mix Alstroemeria ( 12 Inch ) 9     Grass</v>
          </cell>
          <cell r="Q76" t="str">
            <v>P n W Glad ( 14 Inch ) 9     Grass</v>
          </cell>
          <cell r="R76" t="str">
            <v>Y Spray Daisy ( 15 Inch ) 3     FF Sachet + Grass</v>
          </cell>
          <cell r="S76" t="str">
            <v>Pur n P Car ( 14 inch ) 9     Grass</v>
          </cell>
          <cell r="T76" t="str">
            <v>Sunflower ( 12 Inch ) 2     FF Sachet + Grass</v>
          </cell>
        </row>
        <row r="77">
          <cell r="A77">
            <v>3270</v>
          </cell>
          <cell r="B77" t="str">
            <v>Tanya Sharma</v>
          </cell>
          <cell r="C77">
            <v>7022251818</v>
          </cell>
          <cell r="D77" t="str">
            <v>T-8/202, Chintel Serenity, Sec 109</v>
          </cell>
          <cell r="E77" t="str">
            <v>Dwarka Expressway</v>
          </cell>
          <cell r="F77" t="str">
            <v>Thursday</v>
          </cell>
          <cell r="G77" t="str">
            <v>4 Pm to 7 PM</v>
          </cell>
          <cell r="H77">
            <v>1950</v>
          </cell>
          <cell r="I77">
            <v>487.5</v>
          </cell>
          <cell r="J77" t="str">
            <v>Joy</v>
          </cell>
          <cell r="K77" t="str">
            <v>No Yellow wn Purple // no Rajni (02/02)</v>
          </cell>
          <cell r="L77" t="str">
            <v>Rajni</v>
          </cell>
          <cell r="M77" t="str">
            <v>No Yellow wn Purple // Stock Next (02/03)</v>
          </cell>
          <cell r="N77" t="str">
            <v>3  del of this cycle   -  0-cycles pmnt   Completed - Collect 0</v>
          </cell>
          <cell r="O77" t="str">
            <v>P Asiatic ( 15 inch ) 2 P n W Glad ( 14 inch) 11   Grass</v>
          </cell>
          <cell r="P77" t="str">
            <v>P n W Spray Daisy ( 15 inch ) 4 Pur n P Car ( 14 inch ) 10   FF Sachet + Grass</v>
          </cell>
          <cell r="Q77" t="str">
            <v>Pur Eustoma 2 Mix Alstroemeria ( 12 Inch ) 11   FF Sachet + Grass</v>
          </cell>
          <cell r="R77" t="str">
            <v>W Asiatic ( 14 Inch ) 2 P n W Glad ( 14 Inch ) 11   Grass</v>
          </cell>
          <cell r="S77" t="str">
            <v>G n W Spray Daisy ( 14 Inch ) 4 P n W Car ( 14 Inch ) 11   FF Sachet + Grass</v>
          </cell>
          <cell r="T77" t="str">
            <v>P Eustoma ( 12 Inch ) 2 Mix Alstroemeria ( 12 inch )  11   FF Sachet + Grass</v>
          </cell>
        </row>
        <row r="78">
          <cell r="A78" t="str">
            <v>CP00001</v>
          </cell>
          <cell r="B78" t="str">
            <v>Nidhi Sharma Malhotra -- BPTP -- Centra 1</v>
          </cell>
          <cell r="C78">
            <v>9999016333</v>
          </cell>
          <cell r="D78" t="str">
            <v>BPTP, Sec 61</v>
          </cell>
          <cell r="E78" t="str">
            <v>Ghata</v>
          </cell>
          <cell r="F78" t="str">
            <v>Thursday</v>
          </cell>
          <cell r="G78" t="str">
            <v>By 5 PM</v>
          </cell>
          <cell r="H78">
            <v>24600</v>
          </cell>
          <cell r="I78">
            <v>24600</v>
          </cell>
          <cell r="J78" t="str">
            <v>Corporate</v>
          </cell>
          <cell r="N78" t="str">
            <v>1  del of this cycle   -  0-cycles pmnt   Completed - Collect 0</v>
          </cell>
          <cell r="T78" t="str">
            <v xml:space="preserve">      </v>
          </cell>
        </row>
        <row r="79">
          <cell r="A79">
            <v>2868</v>
          </cell>
          <cell r="B79" t="str">
            <v>Group Captain Prabal Bir Singh</v>
          </cell>
          <cell r="C79">
            <v>7827468667</v>
          </cell>
          <cell r="D79" t="str">
            <v>603, Shivshakti CGHS, Plot-94, Near Ati Chowk</v>
          </cell>
          <cell r="E79" t="str">
            <v>DLF Phase 5</v>
          </cell>
          <cell r="F79" t="str">
            <v>Thursday</v>
          </cell>
          <cell r="G79" t="str">
            <v>9 AM to 2 PM</v>
          </cell>
          <cell r="H79">
            <v>999</v>
          </cell>
          <cell r="I79">
            <v>249.75</v>
          </cell>
          <cell r="J79" t="str">
            <v>Delight</v>
          </cell>
          <cell r="N79" t="str">
            <v>2  del of this cycle   -  0-cycles pmnt   Completed - Collect 0</v>
          </cell>
          <cell r="O79" t="str">
            <v>P Spray Daisy ( 15 inch ) 3     FF sachet + Grass</v>
          </cell>
          <cell r="P79" t="str">
            <v>Mix Alstroemeria ( 12 Inch ) 9     Grass</v>
          </cell>
          <cell r="Q79" t="str">
            <v>O Asiatic ( 14 Inch ) 2     Grass</v>
          </cell>
          <cell r="R79" t="str">
            <v>R n W Car ( 14 inch ) 9     FF Sachet + Grass</v>
          </cell>
          <cell r="S79" t="str">
            <v>P n W Glad ( 14 Inch ) 9     Gras</v>
          </cell>
          <cell r="T79" t="str">
            <v>Sunflower ( 12 Inch ) 2     FF Sachet + Grass</v>
          </cell>
        </row>
        <row r="80">
          <cell r="A80">
            <v>826</v>
          </cell>
          <cell r="B80" t="str">
            <v>Anuradha M Agarwal</v>
          </cell>
          <cell r="C80">
            <v>9811201606</v>
          </cell>
          <cell r="D80" t="str">
            <v>A-82, Westend Heights</v>
          </cell>
          <cell r="E80" t="str">
            <v>DLF Phase 5</v>
          </cell>
          <cell r="F80" t="str">
            <v>Thursday</v>
          </cell>
          <cell r="G80" t="str">
            <v>9 AM to 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80" t="str">
            <v>1  del of this cycle   -  0-cycles pmnt   Completed - Collect 0</v>
          </cell>
          <cell r="O80" t="str">
            <v>Sunflower ( 15 inch ) 2     Grass</v>
          </cell>
          <cell r="P80" t="str">
            <v>Mix Alstroemeria ( 12 Inch ) 9     Grass</v>
          </cell>
          <cell r="Q80" t="str">
            <v>R n W Car ( 14 Inch ) 9     FF Sachet + Grass</v>
          </cell>
          <cell r="R80" t="str">
            <v>P Spray Daisy ( 14 Inch ) 3     FF Sachet + Grass</v>
          </cell>
          <cell r="S80" t="str">
            <v>P n W Glad ( 14 Inch ) 9     Gras</v>
          </cell>
          <cell r="T80" t="str">
            <v>O Asiatic ( 14 Inch ) 3     Grass</v>
          </cell>
        </row>
        <row r="81">
          <cell r="A81">
            <v>2569</v>
          </cell>
          <cell r="B81" t="str">
            <v>Mrs. Verma</v>
          </cell>
          <cell r="C81">
            <v>9971135993</v>
          </cell>
          <cell r="D81" t="str">
            <v>A1/192, 1st Floor, Sec 55, Sushant Lok-2, Near Orchid International School</v>
          </cell>
          <cell r="E81" t="str">
            <v>Sector 56</v>
          </cell>
          <cell r="F81" t="str">
            <v>Thursday</v>
          </cell>
          <cell r="G81" t="str">
            <v>9 AM - 12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81" t="str">
            <v>Sunflower</v>
          </cell>
          <cell r="N81" t="str">
            <v>3  del of this cycle   -  1-cycles pmnt   Pending - Collect 1450</v>
          </cell>
          <cell r="O81" t="str">
            <v>P Asiatic ( 15 inch ) 2 W Guldawari ( 14 inch ) 7   Grass</v>
          </cell>
          <cell r="P81" t="str">
            <v>Sunflower ( 14 inch ) 2 R n W Car ( 14 inch ) 7   Grass</v>
          </cell>
          <cell r="Q81" t="str">
            <v>P Spray Daisy ( 15 Inch ) 3 P n W Glad ( 14 Inch ) 7   FF Sachet + grass</v>
          </cell>
          <cell r="R81" t="str">
            <v>W Asiatic ( 14 Inch ) 2 Mix Alstroemeria ( 12 Inch ) 7   Grass</v>
          </cell>
          <cell r="S81" t="str">
            <v>Pur Eustoma ( 12 Inch ) 2 Pur n P Car ( 14 inch ) 7   FF Sachet + Grass</v>
          </cell>
          <cell r="T81" t="str">
            <v>Sunflower ( 12 Inch ) 2 P n W Glad ( 14 Inch ) 7   FF Sachet + Grass</v>
          </cell>
        </row>
        <row r="82">
          <cell r="A82">
            <v>2865</v>
          </cell>
          <cell r="B82" t="str">
            <v>Shilpi Karan Bhalla</v>
          </cell>
          <cell r="C82">
            <v>9312239638</v>
          </cell>
          <cell r="D82" t="str">
            <v>A1/192, 4th Floor, Sec 55</v>
          </cell>
          <cell r="E82" t="str">
            <v>Sector 56</v>
          </cell>
          <cell r="F82" t="str">
            <v>Thursday</v>
          </cell>
          <cell r="G82" t="str">
            <v>9:30 Am to 2 PM</v>
          </cell>
          <cell r="H82">
            <v>999</v>
          </cell>
          <cell r="I82">
            <v>249.75</v>
          </cell>
          <cell r="J82" t="str">
            <v>Delight</v>
          </cell>
          <cell r="K82" t="str">
            <v>Hold Due to non payment (17/12) Name and num,ber changed (26/12) Hold due to non payment (04/02) HDTNP (19/02) HDTNP (11/06)</v>
          </cell>
          <cell r="N82" t="str">
            <v>2  del of this cycle   -  0-cycles pmnt   CompletedNO COLLECTION-we have extra money - Collect -10</v>
          </cell>
          <cell r="O82" t="str">
            <v>P Spray Daisy ( 15 inch ) 3     FF sachet + Grass</v>
          </cell>
          <cell r="P82" t="str">
            <v>R n W Car ( 14 inch ) 9     FF Sachet + Grass</v>
          </cell>
          <cell r="Q82" t="str">
            <v>O Asiatic ( 14 Inch ) 2     Grass</v>
          </cell>
          <cell r="R82" t="str">
            <v>P n W Glad ( 14 Inch ) 9     Grass</v>
          </cell>
          <cell r="S82" t="e">
            <v>#N/A</v>
          </cell>
          <cell r="T82" t="str">
            <v>Mix Alstroemeria ( 12 Inch ) 9     FF Sachet + Grass</v>
          </cell>
        </row>
        <row r="83">
          <cell r="A83">
            <v>3122</v>
          </cell>
          <cell r="B83" t="str">
            <v>Abha Ghosh</v>
          </cell>
          <cell r="C83">
            <v>9650001674</v>
          </cell>
          <cell r="D83" t="str">
            <v>6A, Galicia, Raisina Residency, Sec 59</v>
          </cell>
          <cell r="E83" t="str">
            <v>Ghata</v>
          </cell>
          <cell r="F83" t="str">
            <v>Thursday</v>
          </cell>
          <cell r="G83" t="str">
            <v>9 AM - 12 PM</v>
          </cell>
          <cell r="H83">
            <v>1450</v>
          </cell>
          <cell r="I83">
            <v>362.5</v>
          </cell>
          <cell r="J83" t="str">
            <v>Bliss</v>
          </cell>
          <cell r="K83" t="str">
            <v>Returned yesterday (07/11)</v>
          </cell>
          <cell r="N83" t="str">
            <v>1  del of this cycle   -  0-cycles pmnt   Completed - Collect 0</v>
          </cell>
          <cell r="O83" t="e">
            <v>#N/A</v>
          </cell>
          <cell r="P83" t="str">
            <v>P n Y Spray Daisy ( 15 Inch ) 5     FF Sachet + Grass</v>
          </cell>
          <cell r="Q83" t="str">
            <v>O Asiatic ( 14 Inch ) 3     Grass</v>
          </cell>
          <cell r="R83" t="str">
            <v>P n W Glad ( 14 Inch ) 16     Grass</v>
          </cell>
          <cell r="S83" t="str">
            <v>Pur n P Car ( 14 inch ) 16     FF Sachet + Grass</v>
          </cell>
          <cell r="T83" t="str">
            <v>Sunflower ( 12 Inch ) 4     FF Sachet + Grass</v>
          </cell>
        </row>
        <row r="84">
          <cell r="A84">
            <v>442</v>
          </cell>
          <cell r="B84" t="str">
            <v>Ruchi Mathure--Before 10:30 AM</v>
          </cell>
          <cell r="C84">
            <v>9871265555</v>
          </cell>
          <cell r="D84" t="str">
            <v>D-013, Westend height, DLF-5</v>
          </cell>
          <cell r="E84" t="str">
            <v>DLF Phase 5</v>
          </cell>
          <cell r="F84" t="str">
            <v>Thursday</v>
          </cell>
          <cell r="G84" t="str">
            <v>9 AM - 12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84" t="str">
            <v>Sunflower</v>
          </cell>
          <cell r="M84" t="str">
            <v>No White even in mixed // Skip 23rd and sned on 26th (20/04)</v>
          </cell>
          <cell r="N84" t="str">
            <v>3  del of this cycle   -  0-cycles pmnt   Completed - Collect 0</v>
          </cell>
          <cell r="O84" t="str">
            <v>Pur n P Car ( 14 inch ) 16     FF sachet + Grass</v>
          </cell>
          <cell r="P84" t="e">
            <v>#N/A</v>
          </cell>
          <cell r="Q84" t="str">
            <v>Mix Alstroemeria ( 12 Inch ) 16     FF Sachet + grass</v>
          </cell>
          <cell r="R84" t="str">
            <v>W Asiatic ( 14 Inch ) 3     Grass</v>
          </cell>
          <cell r="S84" t="str">
            <v>P Glad ( 14 Inch ) 16 No White     Grass</v>
          </cell>
          <cell r="T84" t="str">
            <v>P n Y Spray Daisy ( 14 Inch ) 5 No White Flower  No White Flower   FF Sachet + Grass</v>
          </cell>
        </row>
        <row r="85">
          <cell r="A85" t="str">
            <v>B56190</v>
          </cell>
          <cell r="B85" t="str">
            <v>Bibhuti Vikram Singh</v>
          </cell>
          <cell r="C85">
            <v>9811912776</v>
          </cell>
          <cell r="D85" t="str">
            <v>T-6A/104, Valley View Estate, Gwal pahari</v>
          </cell>
          <cell r="E85" t="str">
            <v>Ghata</v>
          </cell>
          <cell r="F85" t="str">
            <v>Thursday</v>
          </cell>
          <cell r="G85" t="str">
            <v>By 10 AM</v>
          </cell>
          <cell r="H85">
            <v>1150</v>
          </cell>
          <cell r="I85">
            <v>1150</v>
          </cell>
          <cell r="J85" t="str">
            <v>Bouquet</v>
          </cell>
          <cell r="K85" t="str">
            <v>5 BOP in Front Brown Wrap// Dear Sonu, we welcome you to your 48th year with this birds of paradise bouquet to herald  your paradise stag eof life. Having been an amazing mother &amp; sexy wife, let's all together enjoy this phase with laughter, knowledge n success.       Love you always (17/06)</v>
          </cell>
          <cell r="N85" t="str">
            <v>1  del of this cycle   -  0-cycles pmnt   Completed - Collect 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 xml:space="preserve">BOP 5 Front Folded Brown Wrap Message   </v>
          </cell>
        </row>
        <row r="86">
          <cell r="A86">
            <v>3231</v>
          </cell>
          <cell r="B86" t="str">
            <v>Saloni Mevawala</v>
          </cell>
          <cell r="C86">
            <v>9619924519</v>
          </cell>
          <cell r="D86" t="str">
            <v>T-1/201, Unitech Fresco</v>
          </cell>
          <cell r="E86" t="str">
            <v>Nirvana Country</v>
          </cell>
          <cell r="F86" t="str">
            <v>Thursday</v>
          </cell>
          <cell r="G86" t="str">
            <v>9 AM - 12 PM</v>
          </cell>
          <cell r="H86">
            <v>2160</v>
          </cell>
          <cell r="I86">
            <v>270</v>
          </cell>
          <cell r="J86" t="str">
            <v>Bi weekly Customised</v>
          </cell>
          <cell r="K86" t="str">
            <v>9 Rajni Every week (18/12) Skip 2 week (19/02) 1 Oriental and 5 Rajni (04/04) Paytm From Sejal Mevawala (05/04) 1 Oriental + 5 Rajni (04/04)</v>
          </cell>
          <cell r="M86" t="str">
            <v xml:space="preserve"> 1 Oriental + 5 Rajni (04/04)</v>
          </cell>
          <cell r="N86" t="str">
            <v>7  del of this cycle   -  0-cycles pmnt   Completed - Collect 0</v>
          </cell>
          <cell r="O86" t="e">
            <v>#N/A</v>
          </cell>
          <cell r="P86" t="e">
            <v>#N/A</v>
          </cell>
          <cell r="Q86" t="str">
            <v>Rajni ( 14 Inch ) 10     Grass</v>
          </cell>
          <cell r="R86" t="str">
            <v>Rajni ( 14 Inch ) 10     Grass</v>
          </cell>
          <cell r="S86" t="str">
            <v>Rajni ( 14 Inch ) 10     Grass</v>
          </cell>
          <cell r="T86" t="str">
            <v>Rajni ( 14 Inch ) 10     Grass</v>
          </cell>
        </row>
        <row r="87">
          <cell r="A87">
            <v>2104</v>
          </cell>
          <cell r="B87" t="str">
            <v>Arun Gupta</v>
          </cell>
          <cell r="C87">
            <v>9999072697</v>
          </cell>
          <cell r="D87" t="str">
            <v>C-22m Arc Stationary</v>
          </cell>
          <cell r="E87" t="str">
            <v>Nirvana Country</v>
          </cell>
          <cell r="F87" t="str">
            <v>Thursday</v>
          </cell>
          <cell r="G87" t="str">
            <v>9 AM to 2 PM</v>
          </cell>
          <cell r="H87">
            <v>400</v>
          </cell>
          <cell r="I87">
            <v>100</v>
          </cell>
          <cell r="J87" t="str">
            <v>Customized</v>
          </cell>
          <cell r="K87" t="str">
            <v>4 Flowers at both Shop</v>
          </cell>
          <cell r="N87" t="str">
            <v>3  del of this cycle   -  0-cycles pmnt   In Process - Collect 0</v>
          </cell>
          <cell r="O87" t="str">
            <v>Broken Flowers  5     Grass</v>
          </cell>
          <cell r="P87" t="str">
            <v>Broken Flowers  5 1 Shop    FF Sachet + Grass</v>
          </cell>
          <cell r="Q87" t="str">
            <v>Broken Flowers  5 1 Shop    FF Sachet + Grass</v>
          </cell>
          <cell r="R87" t="str">
            <v>Broken Flowers  5 1 Shop    Grass</v>
          </cell>
          <cell r="S87" t="str">
            <v>Broken Flowers  5 1 Shop    Grass</v>
          </cell>
          <cell r="T87" t="str">
            <v xml:space="preserve">      </v>
          </cell>
        </row>
        <row r="88">
          <cell r="A88">
            <v>2923</v>
          </cell>
          <cell r="B88" t="str">
            <v>Shwetank Singh</v>
          </cell>
          <cell r="C88">
            <v>9983899832</v>
          </cell>
          <cell r="D88" t="str">
            <v>FW-919B, M3M Golf Estate</v>
          </cell>
          <cell r="E88" t="str">
            <v>Badshahpur</v>
          </cell>
          <cell r="F88" t="str">
            <v>Thursday</v>
          </cell>
          <cell r="G88" t="str">
            <v>By 11 AM</v>
          </cell>
          <cell r="H88">
            <v>20000</v>
          </cell>
          <cell r="I88">
            <v>5000</v>
          </cell>
          <cell r="J88" t="str">
            <v>Corporate</v>
          </cell>
          <cell r="K88" t="str">
            <v>21st -- ( 3 Car + 3 Spray Car + + 1 B daisy ) + ( 2 Orchid + 2 B daisy + 3 Spray Car ) + ( 1 BOP + 1 Orchid) + ( 2 Orchid + 3 Car + 2 B Daisy ) + ( 3 Dahelia + 2 Orchid + 2 B Daisy ) + ( 2 Oriental + 3 Dahelia + 1 Heliconia + 1 BOP + 3 B Daisy ) + ( 3 Oriental + 4 Alstroemeria + 5 Spray Car + 4 B Daisy ) + ( 2 BOP + 2 B Daisy + 3 Spray Car ) + ( 2 BOP + 2 Oriental + 3 Dahelia + 3 B Daisy ) + ( 1 Heliconia + 5 Car + 3 B Daisy ) Today hold (10/04) This week Whiet-Green-Orange and Yellow Color (23/04)</v>
          </cell>
          <cell r="N88" t="str">
            <v>3  del of this cycle   -  1-cycles pmnt   Pending - Collect 10000</v>
          </cell>
          <cell r="O88" t="e">
            <v>#N/A</v>
          </cell>
          <cell r="P88" t="e">
            <v>#N/A</v>
          </cell>
          <cell r="Q88" t="e">
            <v>#N/A</v>
          </cell>
          <cell r="R88" t="str">
            <v xml:space="preserve">P Asiatic + W Oriental + G n Y n P Spray Daisy + Pur n P Car + Mix Anthurium 4 + 3 + 15 + 40 + 8     </v>
          </cell>
          <cell r="S88" t="str">
            <v xml:space="preserve">W Asiatic + W Oriental + G n W Spray Daisy + G n W Car + G Orchid + G n W Anthurium + G Eustoma 4 + 3 + 12 + 40 + 6 + 6 + 5     </v>
          </cell>
          <cell r="T88" t="str">
            <v xml:space="preserve">P Asiatic + W Oriental + Shd Pur Car  ( Already Made Pink n Pur  Blinkit) + P n Y Spray Daisy + Pur Eustoma +  Pur OR W Anthurium 4 + 3 + 40 + 10 + 6 + 5     </v>
          </cell>
        </row>
        <row r="89">
          <cell r="B89" t="str">
            <v xml:space="preserve">Aasaya Jaswal </v>
          </cell>
          <cell r="C89">
            <v>8145602423</v>
          </cell>
          <cell r="D89" t="str">
            <v>1202/ Tower 17 , Nirvana Country, The Close South, Sector 50 ,</v>
          </cell>
          <cell r="H89">
            <v>750</v>
          </cell>
          <cell r="J89" t="str">
            <v>Bouquet</v>
          </cell>
          <cell r="T89" t="str">
            <v xml:space="preserve">10 stems of 1 ft bamboo 
In tissue with ribbon to       </v>
          </cell>
        </row>
      </sheetData>
      <sheetData sheetId="18"/>
      <sheetData sheetId="19"/>
      <sheetData sheetId="20"/>
      <sheetData sheetId="21"/>
      <sheetData sheetId="22">
        <row r="2">
          <cell r="A2">
            <v>2761</v>
          </cell>
          <cell r="B2" t="str">
            <v>Gyan</v>
          </cell>
          <cell r="C2">
            <v>9560719191</v>
          </cell>
          <cell r="D2" t="str">
            <v>J7, 2nd Floor, Signature Global City, Sec 37 D</v>
          </cell>
          <cell r="E2" t="str">
            <v>Dwarka Expressway</v>
          </cell>
          <cell r="F2" t="str">
            <v>Thursday</v>
          </cell>
          <cell r="G2" t="str">
            <v>4 PM to 7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Upgraded as per scheme to Bliss for 5 Deliveries (22/08) No delivered today-send tom (02/10) Skip 1 week (26/11) Skip 2 week (28/01) Skip 2 week (10/03) No Sunflower ( 17/06)</v>
          </cell>
          <cell r="L2" t="str">
            <v>Sunflower</v>
          </cell>
          <cell r="N2" t="str">
            <v>2  del of this cycle   -  0-cycles pmnt   Completed - Collect 0</v>
          </cell>
          <cell r="O2" t="str">
            <v>P Eustoma ( 12 inch ) 2 Rajni 7   FF Sachet + Grass</v>
          </cell>
          <cell r="P2" t="str">
            <v>W Asiatic ( 14 Inch ) 2 R n W Car ( 14 Inch ) 7   Grass</v>
          </cell>
          <cell r="Q2" t="str">
            <v>Y Spray Daisy ( 15 Inch ) 3 Mix Alstroemeria ( 12 Inch ) 7   FF Sachet + Grass</v>
          </cell>
          <cell r="R2" t="str">
            <v>Sunflower ( 12 Inch ) 2 P n W Glad ( 14 Inch ) 7   FF Sachet + Grass</v>
          </cell>
          <cell r="S2" t="str">
            <v>P Asiatic ( 14 Inch ) 2 Pur n P Car ( 14 Inch ) 7   Grass</v>
          </cell>
          <cell r="T2" t="str">
            <v>Pur Eustoma ( 12 Inch ) 2 Rajni ( 14 Inch ) 7   FF Sachet + Grass</v>
          </cell>
        </row>
        <row r="3">
          <cell r="A3">
            <v>3285</v>
          </cell>
          <cell r="B3" t="str">
            <v xml:space="preserve">Atifa </v>
          </cell>
          <cell r="C3">
            <v>7006933974</v>
          </cell>
          <cell r="D3" t="str">
            <v>T-3/003, Imperial Gardens, Sec 102</v>
          </cell>
          <cell r="E3" t="str">
            <v>Dwarka Expressway</v>
          </cell>
          <cell r="F3" t="str">
            <v>Thursday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HDTNP (21/05) HDTNP (28/05) HDTNP (04/06) HDTNP (18/06)</v>
          </cell>
          <cell r="N3" t="str">
            <v>4  del of this cycle   -  0-cycles pmnt   CompletedNO COLLECTION-we have extra money - Collect -50</v>
          </cell>
          <cell r="O3" t="str">
            <v>Mix Alstroemeria ( 12 Inch ) 16     Grass</v>
          </cell>
          <cell r="P3" t="e">
            <v>#N/A</v>
          </cell>
          <cell r="Q3" t="e">
            <v>#N/A</v>
          </cell>
          <cell r="R3" t="str">
            <v xml:space="preserve">Collect 775 Carry Change and Receipt Book 50 Pending from last Payment  725 for current cycle 2 deliveries   </v>
          </cell>
          <cell r="S3" t="str">
            <v xml:space="preserve">Collect 775  Carry Change and Receipt Book Pese Na Mile To Call Karna Hai    </v>
          </cell>
          <cell r="T3" t="str">
            <v>Pur n P Car ( 14 Inch ) 16     FF Sachet + Grass</v>
          </cell>
        </row>
        <row r="4">
          <cell r="A4">
            <v>3246</v>
          </cell>
          <cell r="B4" t="str">
            <v>Anu Siwach</v>
          </cell>
          <cell r="C4">
            <v>9871900364</v>
          </cell>
          <cell r="D4" t="str">
            <v>Wing-A, Flat 7191, ATS Triumph, Sec 104</v>
          </cell>
          <cell r="E4" t="str">
            <v>Dwarka Expressway</v>
          </cell>
          <cell r="F4" t="str">
            <v>Thursday</v>
          </cell>
          <cell r="G4" t="str">
            <v>4 Pm to 7 PM</v>
          </cell>
          <cell r="H4">
            <v>1450</v>
          </cell>
          <cell r="I4">
            <v>362.5</v>
          </cell>
          <cell r="J4" t="str">
            <v>Bliss</v>
          </cell>
          <cell r="K4" t="str">
            <v>No Sunflowers (23/05)</v>
          </cell>
          <cell r="L4" t="str">
            <v>Sunflowers</v>
          </cell>
          <cell r="N4" t="str">
            <v>1  del of this cycle   -  1-cycles pmnt   Pending - Collect 1450</v>
          </cell>
          <cell r="O4" t="str">
            <v>Mix Car 9     Grass</v>
          </cell>
          <cell r="P4" t="str">
            <v>P n W Glad ( 14 Inch ) 9     Grass</v>
          </cell>
          <cell r="Q4" t="str">
            <v>P Asiatic ( 14 Inch ) 2     Grass</v>
          </cell>
          <cell r="R4" t="str">
            <v>Pink Spray Daisy  3     Grass</v>
          </cell>
          <cell r="S4" t="str">
            <v>Y Spray Daisy ( 14 Inch ) 3     Grass</v>
          </cell>
          <cell r="T4" t="str">
            <v>Pur n P Car ( 14 Inch ) 16     FF Sachet + Grass</v>
          </cell>
        </row>
        <row r="5">
          <cell r="B5" t="str">
            <v>Aanchal Boora</v>
          </cell>
          <cell r="C5">
            <v>9654700022</v>
          </cell>
          <cell r="D5" t="str">
            <v>Flat - 1171, Ats Triumph, Wing B, Tower 1, 17th Floor, Sec 104</v>
          </cell>
          <cell r="H5">
            <v>1450</v>
          </cell>
          <cell r="I5">
            <v>362.5</v>
          </cell>
          <cell r="J5" t="str">
            <v>Bliss</v>
          </cell>
          <cell r="T5" t="str">
            <v>Pur n P Car ( 14 Inch ) 16     FF Sachet + Grass</v>
          </cell>
        </row>
        <row r="6">
          <cell r="A6">
            <v>2631</v>
          </cell>
          <cell r="B6" t="str">
            <v>Ruchee</v>
          </cell>
          <cell r="C6">
            <v>9811026182</v>
          </cell>
          <cell r="D6" t="str">
            <v>A-2/1603, Puri Emerald Bay, Sector 104</v>
          </cell>
          <cell r="E6" t="str">
            <v>Dwarka Expressway</v>
          </cell>
          <cell r="F6" t="str">
            <v>Thursday</v>
          </cell>
          <cell r="G6" t="str">
            <v>4 Pm to 7 PM</v>
          </cell>
          <cell r="H6">
            <v>999</v>
          </cell>
          <cell r="I6">
            <v>249.75</v>
          </cell>
          <cell r="J6" t="str">
            <v>Delight</v>
          </cell>
          <cell r="K6" t="str">
            <v>No White Colr (29/05) FF Next (06/06) From Ruchika Aneja (21/08) Skip 1 week (24/08) Deliver at T-2 Reception (31/01) No sunflower (17/05)</v>
          </cell>
          <cell r="L6" t="str">
            <v>Sunflower</v>
          </cell>
          <cell r="M6" t="str">
            <v>No White Color (29/05) FF Next (06/06)</v>
          </cell>
          <cell r="N6" t="str">
            <v>4  del of this cycle   -  0-cycles pmnt   Completed - Collect 0</v>
          </cell>
          <cell r="O6" t="str">
            <v>Mix Car 9     Grass</v>
          </cell>
          <cell r="P6" t="str">
            <v>O Asiatic ( 14 Inch ) 2     Grass</v>
          </cell>
          <cell r="Q6" t="str">
            <v>Mix Alstroemeria ( 12 Inch ) 9 No white Color    FF Sachet + Grass</v>
          </cell>
          <cell r="R6" t="str">
            <v>P Glad 9 No White    Gras</v>
          </cell>
          <cell r="S6" t="str">
            <v>Y Spray Daisy ( 14 Inch ) 3     FF Sachet + Grass</v>
          </cell>
          <cell r="T6" t="str">
            <v>B Daisy ( 12 Inch ) 9     Grass</v>
          </cell>
        </row>
        <row r="7">
          <cell r="A7">
            <v>3270</v>
          </cell>
          <cell r="B7" t="str">
            <v>Tanya Sharma</v>
          </cell>
          <cell r="C7">
            <v>7022251818</v>
          </cell>
          <cell r="D7" t="str">
            <v>T-8/202, Chintel Serenity, Sec 109</v>
          </cell>
          <cell r="E7" t="str">
            <v>Dwarka Expressway</v>
          </cell>
          <cell r="F7" t="str">
            <v>Thursday</v>
          </cell>
          <cell r="G7" t="str">
            <v>4 Pm to 7 PM</v>
          </cell>
          <cell r="H7">
            <v>1950</v>
          </cell>
          <cell r="I7">
            <v>487.5</v>
          </cell>
          <cell r="J7" t="str">
            <v>Joy</v>
          </cell>
          <cell r="K7" t="str">
            <v>No Yellow wn Purple // no Rajni (02/02) No ALstroemeria and do not count last del(19/06)</v>
          </cell>
          <cell r="L7" t="str">
            <v>Rajni n Alstroemeria</v>
          </cell>
          <cell r="M7" t="str">
            <v>No Yellow wn Purple // Stock Next (02/03)</v>
          </cell>
          <cell r="N7" t="str">
            <v>3  del of this cycle   -  0-cycles pmnt   Completed - Collect 0</v>
          </cell>
          <cell r="O7" t="str">
            <v>P n W Spray Daisy ( 15 inch ) 4 Pur n P Car ( 14 inch ) 10   FF Sachet + Grass</v>
          </cell>
          <cell r="P7" t="str">
            <v>Pur Eustoma 2 Mix Alstroemeria ( 12 Inch ) 11   FF Sachet + Grass</v>
          </cell>
          <cell r="Q7" t="str">
            <v>W Asiatic ( 14 Inch ) 2 P n W Glad ( 14 Inch ) 11   Grass</v>
          </cell>
          <cell r="R7" t="str">
            <v>G n W Spray Daisy ( 14 Inch ) 4 P n W Car ( 14 Inch ) 11   FF Sachet + Grass</v>
          </cell>
          <cell r="S7" t="str">
            <v>P Eustoma ( 12 Inch ) 2 Mix Alstroemeria ( 12 inch )  11   FF Sachet + Grass</v>
          </cell>
          <cell r="T7" t="str">
            <v>O Asiatic ( 14 Inch ) 2 Rajni ( 14 Inch ) 11   Grass</v>
          </cell>
        </row>
        <row r="8">
          <cell r="A8">
            <v>3247</v>
          </cell>
          <cell r="B8" t="str">
            <v>V P Singh</v>
          </cell>
          <cell r="C8">
            <v>9717986555</v>
          </cell>
          <cell r="D8" t="str">
            <v>WT04/701, Experion Windchantsm Sec 112</v>
          </cell>
          <cell r="E8" t="str">
            <v>Dwarka Expressway</v>
          </cell>
          <cell r="F8" t="str">
            <v>Thursday</v>
          </cell>
          <cell r="G8" t="str">
            <v>4 Pm to 7 PM</v>
          </cell>
          <cell r="H8">
            <v>1450</v>
          </cell>
          <cell r="I8">
            <v>362.5</v>
          </cell>
          <cell r="J8" t="str">
            <v>Bliss</v>
          </cell>
          <cell r="K8" t="str">
            <v>Paytm From Vijay Pratap Singh</v>
          </cell>
          <cell r="N8" t="str">
            <v>1  del of this cycle   -  0-cycles pmnt   Completed - Collect 0</v>
          </cell>
          <cell r="O8" t="str">
            <v>P Asiatic ( 15 inch ) 3     Grass</v>
          </cell>
          <cell r="P8" t="str">
            <v>Mix Alstroemeria ( 12 Inch ) 16     FF Sachet + grass</v>
          </cell>
          <cell r="Q8" t="str">
            <v>Mix Car 16     Grass</v>
          </cell>
          <cell r="R8" t="str">
            <v>P n W Glad ( 14 Inch ) 16     Grass</v>
          </cell>
          <cell r="S8" t="str">
            <v>Sunflower ( 12 Inch ) 4 With Bouquet in Morning Pls With Bouquet in Morning Pls With Bouquet in Morning Pls  FF Sachet + Grass</v>
          </cell>
          <cell r="T8" t="str">
            <v>Pur Eustoma ( 12 Inch ) 3     FF Sachet + Grass</v>
          </cell>
        </row>
        <row r="9">
          <cell r="A9">
            <v>3385</v>
          </cell>
          <cell r="B9" t="str">
            <v>Srishti Verma</v>
          </cell>
          <cell r="C9">
            <v>9604584926</v>
          </cell>
          <cell r="D9" t="str">
            <v>H. No. 126, Flat No. 302, Road D3, Indira Colony, Sec 52</v>
          </cell>
          <cell r="E9" t="str">
            <v>Artemis</v>
          </cell>
          <cell r="F9" t="str">
            <v>Thursday</v>
          </cell>
          <cell r="G9" t="str">
            <v>4 Pm to 7 PM</v>
          </cell>
          <cell r="H9">
            <v>1950</v>
          </cell>
          <cell r="I9">
            <v>487.5</v>
          </cell>
          <cell r="J9" t="str">
            <v>Joy</v>
          </cell>
          <cell r="N9" t="str">
            <v>1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e">
            <v>#N/A</v>
          </cell>
          <cell r="S9" t="e">
            <v>#N/A</v>
          </cell>
          <cell r="T9" t="str">
            <v>Pur n P Car ( 14 Inch ) 22     FF Sachet + Grass</v>
          </cell>
        </row>
        <row r="10">
          <cell r="A10">
            <v>396</v>
          </cell>
          <cell r="B10" t="str">
            <v>Dr. Deepa Gupta</v>
          </cell>
          <cell r="C10">
            <v>8860079525</v>
          </cell>
          <cell r="D10" t="str">
            <v>Mayom Hospital, D block south city 1</v>
          </cell>
          <cell r="E10" t="str">
            <v>South City 1</v>
          </cell>
          <cell r="F10" t="str">
            <v>Thursday</v>
          </cell>
          <cell r="G10" t="str">
            <v>4 PM to 7 PM</v>
          </cell>
          <cell r="H10">
            <v>1450</v>
          </cell>
          <cell r="I10">
            <v>362.5</v>
          </cell>
          <cell r="J10" t="str">
            <v>Corporate</v>
          </cell>
          <cell r="K10" t="str">
            <v>1 del Missed(07/10) Return-send next week(31/12) Send replacement of Gerbera(30/10) Send on Monday this week(20/03) Return- hold package(08/07) Today returned-send next week(02/06) HDTNP (19/02)</v>
          </cell>
          <cell r="N10" t="str">
            <v>4  del of this cycle   -  0-cycles pmnt   In Process - Collect 0</v>
          </cell>
          <cell r="O10" t="str">
            <v>P n W Glad ( 14 inch ) 16     Grass</v>
          </cell>
          <cell r="P10" t="str">
            <v>P n W Car ( 14 inch ) 16     FF Sachet + grass</v>
          </cell>
          <cell r="Q10" t="str">
            <v>Mix Alstroemeria ( 12 Inch ) 16     FF Sachet + Grass</v>
          </cell>
          <cell r="R10" t="str">
            <v>P n W Glad ( 14 Inch ) 16     Grass</v>
          </cell>
          <cell r="S10" t="str">
            <v>Pur n P Car ( 14 inch ) 16     FF Sachet + Grass</v>
          </cell>
          <cell r="T10" t="str">
            <v>Rajni ( 14 Inch ) 16     Grass</v>
          </cell>
        </row>
        <row r="11">
          <cell r="A11">
            <v>922</v>
          </cell>
          <cell r="B11" t="str">
            <v>Dr. Deepa Gupta</v>
          </cell>
          <cell r="C11">
            <v>8860079525</v>
          </cell>
          <cell r="D11" t="str">
            <v>Mayom Hospital, D block south city 1</v>
          </cell>
          <cell r="E11" t="str">
            <v>South City 1</v>
          </cell>
          <cell r="F11" t="str">
            <v>Thursday</v>
          </cell>
          <cell r="G11" t="str">
            <v>4 PM to 7 PM</v>
          </cell>
          <cell r="H11">
            <v>1450</v>
          </cell>
          <cell r="I11">
            <v>362.5</v>
          </cell>
          <cell r="J11" t="str">
            <v>Corporate</v>
          </cell>
          <cell r="K11" t="str">
            <v>1 del Missed(07/10) Return-send next week(31/12) Send replacement of Gerbera(30/10) Send on Monday this week(20/03) Return- hold package(08/07) Today returned-send next week(02/06) HDTNP (19/02)</v>
          </cell>
          <cell r="N11" t="str">
            <v>4  del of this cycle   -  0-cycles pmnt   In Process - Collect 0</v>
          </cell>
          <cell r="O11" t="str">
            <v>Sunflower ( 14 inch ) 4     Grass</v>
          </cell>
          <cell r="P11" t="str">
            <v>W Asiatic ( 14 Inch ) 3     Grass</v>
          </cell>
          <cell r="Q11" t="str">
            <v>P Asiatic ( 14 Inch ) 3     Grass</v>
          </cell>
          <cell r="R11" t="str">
            <v>Y Asiatic ( 14 Inch ) 3     Grass</v>
          </cell>
          <cell r="S11" t="str">
            <v>O Asiatic ( 14 Inch ) 3     Grass</v>
          </cell>
          <cell r="T11" t="str">
            <v>Pur Eustoma ( 12 Inch ) 3     FF Sachet + Grass</v>
          </cell>
        </row>
        <row r="12">
          <cell r="A12">
            <v>237</v>
          </cell>
          <cell r="B12" t="str">
            <v>Mayom Hospital</v>
          </cell>
          <cell r="C12">
            <v>8860079525</v>
          </cell>
          <cell r="D12" t="str">
            <v>Mayom Hospital, D block south city 1</v>
          </cell>
          <cell r="E12" t="str">
            <v>South City 1</v>
          </cell>
          <cell r="F12" t="str">
            <v>Sunday</v>
          </cell>
          <cell r="G12" t="str">
            <v>9 AM - 12 PM</v>
          </cell>
          <cell r="H12">
            <v>3000</v>
          </cell>
          <cell r="I12">
            <v>375</v>
          </cell>
          <cell r="J12" t="str">
            <v>Corporate</v>
          </cell>
          <cell r="K12" t="str">
            <v>Sending on 20th instaed of 21st,bcoz of Holi(18/03) Send on Monday this week(20/03)</v>
          </cell>
          <cell r="N12" t="str">
            <v>4  del of this cycle   -  0-cycles pmnt   In Process - Collect 0</v>
          </cell>
          <cell r="O12" t="str">
            <v xml:space="preserve">Mix Car 16     </v>
          </cell>
          <cell r="P12" t="str">
            <v xml:space="preserve">Asiatic 3     </v>
          </cell>
          <cell r="Q12" t="str">
            <v xml:space="preserve">P n W Glad ( 14 Inch ) 15     </v>
          </cell>
          <cell r="R12" t="str">
            <v>Sunflower ( 12 Inch ) 4     Grass</v>
          </cell>
          <cell r="S12" t="str">
            <v xml:space="preserve">Rajni ( 14 Inch ) 15     </v>
          </cell>
          <cell r="T12" t="str">
            <v>Pur n P Car ( 14 Inch ) 15     Grass</v>
          </cell>
        </row>
        <row r="13">
          <cell r="A13">
            <v>236</v>
          </cell>
          <cell r="B13" t="str">
            <v>Dr. Arti Gupta 1</v>
          </cell>
          <cell r="C13">
            <v>8860079525</v>
          </cell>
          <cell r="D13" t="str">
            <v>Mayom Hospital, D block south city 1</v>
          </cell>
          <cell r="E13" t="str">
            <v>South City 1</v>
          </cell>
          <cell r="F13" t="str">
            <v>Mondau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Corporate</v>
          </cell>
          <cell r="K13" t="str">
            <v>Pls send a replacement of Asiatic tomorrow(23/08)NO GERBERA(22/09) Start special Pack(13/04) Send Del on Monday this week(20/03) NEVER BUT DAISIES(29/10) Hold today (22/01) HDTNP (19/02)</v>
          </cell>
          <cell r="N13" t="str">
            <v>2  del of this cycle   -  0-cycles pmnt   In Process - Collect 0</v>
          </cell>
          <cell r="O13" t="str">
            <v>Mix Car 16     Grass</v>
          </cell>
          <cell r="P13" t="str">
            <v>P n W Glad ( 14 Inch ) 16     Grass</v>
          </cell>
          <cell r="Q13" t="str">
            <v>Mix Alstroemeria ( 12 Inch ) 16     FF Sachet + Grass</v>
          </cell>
          <cell r="R13" t="str">
            <v>Pur n P Car ( 14 inch ) 16     FF Sachet + Grass</v>
          </cell>
          <cell r="S13" t="str">
            <v>P n W Glad ( 14 Inch ) 16     Grass</v>
          </cell>
          <cell r="T13" t="str">
            <v>Rajni ( 14 Inch ) 16     Grass</v>
          </cell>
        </row>
        <row r="14">
          <cell r="A14">
            <v>366</v>
          </cell>
          <cell r="B14" t="str">
            <v>Dr. Arti Gupta 1</v>
          </cell>
          <cell r="C14">
            <v>8860079525</v>
          </cell>
          <cell r="D14" t="str">
            <v>Mayom Hospital, D block south city 1</v>
          </cell>
          <cell r="E14" t="str">
            <v>South City 1</v>
          </cell>
          <cell r="F14" t="str">
            <v>Monday</v>
          </cell>
          <cell r="G14" t="str">
            <v>9 AM - 12 PM</v>
          </cell>
          <cell r="H14">
            <v>1450</v>
          </cell>
          <cell r="I14">
            <v>362.5</v>
          </cell>
          <cell r="J14" t="str">
            <v>Corporate</v>
          </cell>
          <cell r="K14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</v>
          </cell>
          <cell r="N14" t="str">
            <v>2  del of this cycle   -  0-cycles pmnt   In Process - Collect 0</v>
          </cell>
          <cell r="O14" t="str">
            <v>P n Y Spray Daisy ( 15 Inch ) 5     FF Sachet + Grass</v>
          </cell>
          <cell r="P14" t="str">
            <v>W Asiatic ( 14 Inch ) 3     Grass</v>
          </cell>
          <cell r="Q14" t="str">
            <v>P Asiatic ( 14 Inch ) 3     Grass</v>
          </cell>
          <cell r="R14" t="str">
            <v>Y Asiatic ( 14 Inch ) 3     Grass</v>
          </cell>
          <cell r="S14" t="str">
            <v>O Asiatic ( 14 Inch ) 3     Grass</v>
          </cell>
          <cell r="T14" t="str">
            <v>Pur Eustoma ( 12 Inch ) 3     FF Sachet + Grass</v>
          </cell>
        </row>
        <row r="15">
          <cell r="A15">
            <v>1098</v>
          </cell>
          <cell r="B15" t="str">
            <v>Rahul Sehgal</v>
          </cell>
          <cell r="C15">
            <v>9810022182</v>
          </cell>
          <cell r="D15" t="str">
            <v>418-A, Hamilton Court</v>
          </cell>
          <cell r="E15" t="str">
            <v>DLF Phase 4</v>
          </cell>
          <cell r="F15" t="str">
            <v>Thursday</v>
          </cell>
          <cell r="G15" t="str">
            <v>4 Pm to 7 PM</v>
          </cell>
          <cell r="H15">
            <v>1950</v>
          </cell>
          <cell r="I15">
            <v>487.5</v>
          </cell>
          <cell r="J15" t="str">
            <v>Joy</v>
          </cell>
          <cell r="K15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15" t="str">
            <v>ROSE n RAJNI</v>
          </cell>
          <cell r="N15" t="str">
            <v>2  del of this cycle   -  0-cycles pmnt   Completed - Collect 0</v>
          </cell>
          <cell r="O15" t="str">
            <v>P Asiatic ( 15 inch ) 4     Grass</v>
          </cell>
          <cell r="P15" t="str">
            <v>Mix Glad 22     Grass</v>
          </cell>
          <cell r="Q15" t="str">
            <v>Sunflower ( 12 Inch ) 5     FF Sachet + Grass</v>
          </cell>
          <cell r="R15" t="str">
            <v>Pur n P Car ( 14 inch ) 22     FF Sachet + Grass</v>
          </cell>
          <cell r="S15" t="str">
            <v>P n W Spray Daisy ( 14 Inch ) 7     FF Sachet + Grass</v>
          </cell>
          <cell r="T15" t="str">
            <v>O Asiatic ( 14 Inch ) 4     Grass</v>
          </cell>
        </row>
        <row r="16">
          <cell r="A16" t="str">
            <v>G-00015</v>
          </cell>
          <cell r="B16" t="str">
            <v>Harsh  - Unikon</v>
          </cell>
          <cell r="C16">
            <v>9015463811</v>
          </cell>
          <cell r="D16" t="str">
            <v>AR-903B, 3rd Floor, Aralias</v>
          </cell>
          <cell r="E16" t="str">
            <v>Golf Course Road</v>
          </cell>
          <cell r="F16" t="str">
            <v>Thursday</v>
          </cell>
          <cell r="G16" t="str">
            <v>4 Pm to 7 PM</v>
          </cell>
          <cell r="H16">
            <v>2750</v>
          </cell>
          <cell r="I16">
            <v>687.5</v>
          </cell>
          <cell r="J16" t="str">
            <v>Elation</v>
          </cell>
          <cell r="K16" t="str">
            <v>From Deep Bajaj // Message = Your boyfriend:p (05/11) Paytm from Simran Dhawan (04/03) Send 1 delivery tomorrow (17/03) Skip 1 week (10/04) Add change request from Jasjit -- 9560611229</v>
          </cell>
          <cell r="M16" t="str">
            <v>One time Single n One Time Mixed</v>
          </cell>
          <cell r="N16" t="str">
            <v>4  del of this cycle   -  0-cycles pmnt   In Process - Collect 0</v>
          </cell>
          <cell r="O16" t="str">
            <v>Bop 3 Rajni 15   2 Gypsola</v>
          </cell>
          <cell r="P16" t="str">
            <v>O Asiatic ( 14 Inch ) 3 R n W Car ( 14 Inch ) 16   2 Limonium</v>
          </cell>
          <cell r="Q16" t="str">
            <v>Sunflower ( 12 Inch ) 4 Mix Alstroemeria ( 12 Inch ) 16   2 Gypsola + FF Sachet</v>
          </cell>
          <cell r="R16" t="str">
            <v>Pur n P Eustoma ( 12 Inch ) 4 P n W Glad ( 14 Inch ) 16   2 Limonium + FF Sachet</v>
          </cell>
          <cell r="S16" t="str">
            <v>P n W Spray Daisy ( 14 Inch ) 5 Pur n P Car ( 14 Inch ) 16   2 Gypsola + FF Sachet</v>
          </cell>
          <cell r="T16" t="str">
            <v>P Asiatic ( 14 Inch ) 3 B Daisy ( 12 Inch ) 16   2 Limonium</v>
          </cell>
        </row>
        <row r="17">
          <cell r="A17">
            <v>244</v>
          </cell>
          <cell r="B17" t="str">
            <v>Garima jain</v>
          </cell>
          <cell r="C17">
            <v>9958581403</v>
          </cell>
          <cell r="D17" t="str">
            <v xml:space="preserve"> G-901, Central Park 1, Golf Course Road    Sec 42 Gurgaon  122002</v>
          </cell>
          <cell r="E17" t="str">
            <v>Golf Course Road</v>
          </cell>
          <cell r="F17" t="str">
            <v>Thursday</v>
          </cell>
          <cell r="G17" t="str">
            <v>9 AM - 12 PM</v>
          </cell>
          <cell r="H17">
            <v>1450</v>
          </cell>
          <cell r="I17">
            <v>1450</v>
          </cell>
          <cell r="J17" t="str">
            <v>Bliss</v>
          </cell>
          <cell r="K17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17" t="str">
            <v>1  del of this cycle   -  1-cycles pmnt   Pending - Collect 1450</v>
          </cell>
          <cell r="O17" t="str">
            <v>Mix Alstroemeria ( 12 Inch ) 9     Grass</v>
          </cell>
          <cell r="P17" t="str">
            <v>P n W Glad ( 14 Inch ) 9     Grass</v>
          </cell>
          <cell r="Q17" t="str">
            <v>P Asiatic ( 14 Inch ) 2 Pls Insure Collection    Grass</v>
          </cell>
          <cell r="R17" t="str">
            <v>Mix Alstroemeria ( 12 Inch ) 9 Pls Collect Cash     Grass</v>
          </cell>
          <cell r="S17" t="str">
            <v>Pur n P Car ( 14 inch ) 9     Grass</v>
          </cell>
          <cell r="T17" t="str">
            <v>Pur Eustoma ( 12 Inch ) 3     FF Sachet + Grass</v>
          </cell>
        </row>
        <row r="18">
          <cell r="A18">
            <v>326</v>
          </cell>
          <cell r="B18" t="str">
            <v>Radhika Surana-- Before 10</v>
          </cell>
          <cell r="C18">
            <v>9871132800</v>
          </cell>
          <cell r="D18" t="str">
            <v>1204, The Magnolias</v>
          </cell>
          <cell r="E18" t="str">
            <v>Golf Course Road</v>
          </cell>
          <cell r="F18" t="str">
            <v>Thursday</v>
          </cell>
          <cell r="G18" t="str">
            <v>9 AM - 12 PM</v>
          </cell>
          <cell r="H18">
            <v>2750</v>
          </cell>
          <cell r="I18">
            <v>687.5</v>
          </cell>
          <cell r="J18" t="str">
            <v>Elation</v>
          </cell>
          <cell r="K18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18" t="str">
            <v>BOP n ORCHID</v>
          </cell>
          <cell r="N18" t="str">
            <v>4  del of this cycle   -  0-cycles pmnt   Completed - Collect 0</v>
          </cell>
          <cell r="O18" t="str">
            <v>Mix Alstroemeria ( 12 Inch ) 30     2 Gypsola</v>
          </cell>
          <cell r="P18" t="str">
            <v>O Asiatic ( 14 Inch ) 6     2 Limonium</v>
          </cell>
          <cell r="Q18" t="e">
            <v>#N/A</v>
          </cell>
          <cell r="R18" t="e">
            <v>#N/A</v>
          </cell>
          <cell r="S18" t="str">
            <v>Pur n P Car ( 14 inch ) 32     2 Gypsola + FF Sachet</v>
          </cell>
          <cell r="T18" t="str">
            <v>P n W Glad ( 14 Inch ) 32     2 Limonium</v>
          </cell>
        </row>
        <row r="19">
          <cell r="A19">
            <v>2395</v>
          </cell>
          <cell r="B19" t="str">
            <v>Anupma Katyal</v>
          </cell>
          <cell r="C19">
            <v>9999967563</v>
          </cell>
          <cell r="D19" t="str">
            <v>1484, Saraswati Kunj</v>
          </cell>
          <cell r="E19" t="str">
            <v>DLF Phase 5</v>
          </cell>
          <cell r="F19" t="str">
            <v>Thursday</v>
          </cell>
          <cell r="G19" t="str">
            <v>10 AM to 2:30 PM</v>
          </cell>
          <cell r="H19">
            <v>1950</v>
          </cell>
          <cell r="I19">
            <v>487.5</v>
          </cell>
          <cell r="J19" t="str">
            <v>Joy</v>
          </cell>
          <cell r="K19" t="str">
            <v>Return today (22/05) Hold today due to non payment (02/10)</v>
          </cell>
          <cell r="M19" t="str">
            <v>Mixed Flowers</v>
          </cell>
          <cell r="N19" t="str">
            <v>1  del of this cycle   -  1-cycles pmnt   Pending - Collect 1950</v>
          </cell>
          <cell r="O19" t="str">
            <v>Mix Alstroemeria ( 12 Inch ) 22     Grass</v>
          </cell>
          <cell r="P19" t="str">
            <v>O Asiatic ( 14 Inch ) 4     Grass</v>
          </cell>
          <cell r="Q19" t="str">
            <v>R n W Car ( 14 inch ) 22     FF Sachet + Grass</v>
          </cell>
          <cell r="R19" t="str">
            <v>Pur n P Eustoma ( 12 Inch ) 4     FF Sachet + Grass</v>
          </cell>
          <cell r="S19" t="str">
            <v>Sunflower ( 12 Inch ) 5     FF Sachet + Grass</v>
          </cell>
          <cell r="T19" t="str">
            <v>P Asiatic ( 14 Inch ) 4     Grass</v>
          </cell>
        </row>
        <row r="20">
          <cell r="A20">
            <v>3133</v>
          </cell>
          <cell r="B20" t="str">
            <v>Anastasiia Liapicheva</v>
          </cell>
          <cell r="C20" t="str">
            <v>7678659573 // '+79029329098</v>
          </cell>
          <cell r="D20" t="str">
            <v>B1/602, Palm Groove Heights, Ardee City Sec 52</v>
          </cell>
          <cell r="E20" t="str">
            <v>Sushant Estate</v>
          </cell>
          <cell r="F20" t="str">
            <v>Thursday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No Lilies (02/11) No White Greens (02/12) Skip 1 week (07/01) skip 1 week (27/01) No Sunflower (06/03) Skip 1 week (06/06)</v>
          </cell>
          <cell r="L20" t="str">
            <v>Lily n Sunflower n White Greens</v>
          </cell>
          <cell r="M20" t="str">
            <v>No White Greens n Mixed Flowers</v>
          </cell>
          <cell r="N20" t="str">
            <v>3  del of this cycle   -  0-cycles pmnt   Completed - Collect 0</v>
          </cell>
          <cell r="O20" t="str">
            <v>BOP ( 14 inch ) 2 P n W Glad ( 14 inch ) 7   FF Sachet + Grass</v>
          </cell>
          <cell r="P20" t="str">
            <v>P Spray Daisy ( 15 Inch ) 3 R n W Car ( 14 Inch ) 7   FF Sachet + grass</v>
          </cell>
          <cell r="Q20" t="str">
            <v>Pur Eustoma ( 14 Inch ) 2 Mix Alstroemeria ( 12 Inch ) 7   FF Sachet + Grass</v>
          </cell>
          <cell r="R20" t="e">
            <v>#N/A</v>
          </cell>
          <cell r="S20" t="str">
            <v>O Asiatic ( 14 Inch ) 2 P n W Glad ( 14 Inch ) 7   Grass</v>
          </cell>
          <cell r="T20" t="str">
            <v>Y Spray Daisy 3 P n W Car ( 14 Inch ) 7   FF Sachet + Grass</v>
          </cell>
        </row>
        <row r="21">
          <cell r="A21">
            <v>1898</v>
          </cell>
          <cell r="B21" t="str">
            <v>Shipra</v>
          </cell>
          <cell r="C21">
            <v>8447778677</v>
          </cell>
          <cell r="D21" t="str">
            <v xml:space="preserve">C-94 Trinity </v>
          </cell>
          <cell r="E21" t="str">
            <v>DLF Phase 5</v>
          </cell>
          <cell r="F21" t="str">
            <v>Saturday</v>
          </cell>
          <cell r="G21" t="str">
            <v>4 Pm to 7 PM</v>
          </cell>
          <cell r="H21">
            <v>1600</v>
          </cell>
          <cell r="I21">
            <v>200</v>
          </cell>
          <cell r="J21" t="str">
            <v>Bloom</v>
          </cell>
          <cell r="K21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    </cell>
          <cell r="N21" t="str">
            <v>3  del of this cycle   -  0-cycles pmnt   Completed - Collect 0</v>
          </cell>
          <cell r="O21" t="str">
            <v>P n W Glad ( 14 inch ) 7     Grass</v>
          </cell>
          <cell r="P21" t="str">
            <v>Sunflower 2     Grass</v>
          </cell>
          <cell r="Q21" t="str">
            <v>Mix Alstroemeria ( 12 Inch ) 7     FF Sachet + Grass</v>
          </cell>
          <cell r="R21" t="str">
            <v>Rajni ( 14 Inch ) 7     Grass</v>
          </cell>
          <cell r="S21" t="e">
            <v>#N/A</v>
          </cell>
          <cell r="T21" t="str">
            <v>Sunflower ( 12 Inch) 2     FF Sachet + Grass</v>
          </cell>
        </row>
        <row r="22">
          <cell r="A22">
            <v>2024</v>
          </cell>
          <cell r="B22" t="str">
            <v>Priyanka Katyal</v>
          </cell>
          <cell r="C22">
            <v>9958565556</v>
          </cell>
          <cell r="D22" t="str">
            <v>1487, Saraswati Kunj, Sector 53</v>
          </cell>
          <cell r="E22" t="str">
            <v>DLF Phase 5</v>
          </cell>
          <cell r="F22" t="str">
            <v>Thursday</v>
          </cell>
          <cell r="G22" t="str">
            <v>9 AM - 12 PM</v>
          </cell>
          <cell r="H22">
            <v>1950</v>
          </cell>
          <cell r="I22">
            <v>487.5</v>
          </cell>
          <cell r="J22" t="str">
            <v>Joy</v>
          </cell>
          <cell r="K22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22" t="str">
            <v>ORIENTAL n GULDAWARI</v>
          </cell>
          <cell r="M22" t="str">
            <v>Premium Flwer extra Next (09/01)</v>
          </cell>
          <cell r="N22" t="str">
            <v>2  del of this cycle   -  0-cycles pmnt   Completed - Collect 0</v>
          </cell>
          <cell r="O22" t="str">
            <v>P Asiatic ( 15 inch ) 4     Grass</v>
          </cell>
          <cell r="P22" t="str">
            <v>R n W Car ( 14 Inch ) 22     FF Sachet + Grass</v>
          </cell>
          <cell r="Q22" t="str">
            <v>Sunflower ( 12 Inch ) 5     FF Sachet + Grass</v>
          </cell>
          <cell r="R22" t="str">
            <v>P n W Glad ( 14 Inch ) 22     Grass</v>
          </cell>
          <cell r="S22" t="str">
            <v>P n W Spray Daisy ( 14 Inch ) 7     FF Sachet + Grass</v>
          </cell>
          <cell r="T22" t="str">
            <v>O Asiatic ( 14 Inch ) 4     Grass</v>
          </cell>
        </row>
        <row r="23">
          <cell r="A23">
            <v>3273</v>
          </cell>
          <cell r="B23" t="str">
            <v>Sharmishtha Jhulka</v>
          </cell>
          <cell r="C23">
            <v>9810010615</v>
          </cell>
          <cell r="D23" t="str">
            <v>817-B, The Camelias</v>
          </cell>
          <cell r="E23" t="str">
            <v>Golf Course Road</v>
          </cell>
          <cell r="F23" t="str">
            <v>Thursday</v>
          </cell>
          <cell r="G23" t="str">
            <v>9 AM to 2 PM</v>
          </cell>
          <cell r="H23">
            <v>5800</v>
          </cell>
          <cell r="I23">
            <v>1450</v>
          </cell>
          <cell r="J23" t="str">
            <v>Customized</v>
          </cell>
          <cell r="K23" t="str">
            <v>send on 19th, 26th Mar, 23rd April and may 26 // Now start from 18th June (15/05) 10 Asiatic Lilies // 20 Spray Daisies // 10 Sunflowers// 10 Eustoma Pack (20/05)</v>
          </cell>
          <cell r="N23" t="str">
            <v>1  del of this cycle   -  0-cycles pmnt   Completed - Collect 0</v>
          </cell>
          <cell r="O23" t="str">
            <v>P n Y Asiatic ( 15 inch ) 10     2 Gypsola</v>
          </cell>
          <cell r="P23" t="e">
            <v>#N/A</v>
          </cell>
          <cell r="Q23" t="str">
            <v xml:space="preserve">Pur n P Eustoma ( 12 Inch ) 10     </v>
          </cell>
          <cell r="R23" t="e">
            <v>#N/A</v>
          </cell>
          <cell r="S23" t="str">
            <v xml:space="preserve">P n Y Spray Daisy ( 14 Inch ) 20     </v>
          </cell>
          <cell r="T23" t="str">
            <v>O n W Asiatic ( 14 Inch ) 10     3 Areca Palm + 2 Limonium</v>
          </cell>
        </row>
        <row r="24">
          <cell r="A24">
            <v>2644</v>
          </cell>
          <cell r="B24" t="str">
            <v>Sanjeet Kaur</v>
          </cell>
          <cell r="C24">
            <v>7889438209</v>
          </cell>
          <cell r="D24" t="str">
            <v>601, Emerald Green, Sector 52</v>
          </cell>
          <cell r="E24" t="str">
            <v>Artemis</v>
          </cell>
          <cell r="F24" t="str">
            <v>Thursday</v>
          </cell>
          <cell r="G24" t="str">
            <v>9:30 Am to 2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1 Gypsola in each Del (16/05) Paytm From Arshia Kaur (13/06) Paytm From Yogpal Singh (20/12) Do not count todays delivery (30/04)</v>
          </cell>
          <cell r="M24" t="str">
            <v>1 Gyposla in each Del</v>
          </cell>
          <cell r="N24" t="str">
            <v>3  del of this cycle   -  0-cycles pmnt   Completed - Collect 0</v>
          </cell>
          <cell r="O24" t="str">
            <v>Mix Alstroemeria ( 12 Inch ) 9     Grass</v>
          </cell>
          <cell r="P24" t="str">
            <v>O Asiatic ( 14 Inch ) 2     Grass</v>
          </cell>
          <cell r="Q24" t="str">
            <v>R n W Car ( 14 inch ) 9     FF Sachet + Grass</v>
          </cell>
          <cell r="R24" t="str">
            <v>P n W Glad ( 14 Inch ) 9     Gras</v>
          </cell>
          <cell r="S24" t="str">
            <v>Y Spray Daisy ( 14 Inch ) 3     1 Gypsola + FF Sachet</v>
          </cell>
          <cell r="T24" t="str">
            <v>B Daisy ( 12 Inch ) 9     Grass</v>
          </cell>
        </row>
        <row r="25">
          <cell r="A25">
            <v>203</v>
          </cell>
          <cell r="B25" t="str">
            <v>Alok divatia -- After 10 AM</v>
          </cell>
          <cell r="C25">
            <v>9819355743</v>
          </cell>
          <cell r="D25" t="str">
            <v>BLC 263, 26th Floor, Tower C, The Belaire</v>
          </cell>
          <cell r="E25" t="str">
            <v>Golf Course Road</v>
          </cell>
          <cell r="F25" t="str">
            <v>Thursday</v>
          </cell>
          <cell r="G25" t="str">
            <v>9 AM - 12 PM</v>
          </cell>
          <cell r="H25">
            <v>8648</v>
          </cell>
          <cell r="I25">
            <v>2162</v>
          </cell>
          <cell r="J25" t="str">
            <v>Customized</v>
          </cell>
          <cell r="K25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25" t="str">
            <v>4  del of this cycle   -  0-cycles pmnt   Completed - Collect 0</v>
          </cell>
          <cell r="O25" t="str">
            <v>P n W Asiatic ( 15 inch ) 14 Pur n P Car ( 14 inch ) 24   4 Areca palm + 2 Gypsola + 2 Limonium</v>
          </cell>
          <cell r="P25" t="str">
            <v>O n W Asiatic  14 P n W Car ( 14 Inch )  24   4 Areca Palm + 2 Gypsola + 2 Limonium</v>
          </cell>
          <cell r="Q25" t="str">
            <v>P n Y Asiatic ( 14 Inch ) 14 Pur n Y Car ( 14 Inch ) 24   4 Areca palm + 2 Gypsola + 2 Limonium</v>
          </cell>
          <cell r="R25" t="str">
            <v xml:space="preserve">P n W Asiatic ( 14 Inch ) 14 Pur n P Car ( 14 inch ) 24   </v>
          </cell>
          <cell r="S25" t="str">
            <v xml:space="preserve">O n P Asiatic ( 14 Inch ) 14 P n W Car ( 14 Inch ) 24   </v>
          </cell>
          <cell r="T25" t="str">
            <v>O n W Asiatic ( 14 Inch ) 14 R n P Car ( 14 Inch ) 24   4 Areca Palm + 2 Gypsola + 2 Limonim</v>
          </cell>
        </row>
        <row r="26">
          <cell r="A26">
            <v>1998</v>
          </cell>
          <cell r="B26" t="str">
            <v>Shivani Katyal</v>
          </cell>
          <cell r="C26">
            <v>9811053756</v>
          </cell>
          <cell r="D26" t="str">
            <v>H. No. 1486, Sarsawati Kunj</v>
          </cell>
          <cell r="E26" t="str">
            <v>DLF Phase 5</v>
          </cell>
          <cell r="F26" t="str">
            <v>Thursday</v>
          </cell>
          <cell r="G26" t="str">
            <v>9:30 Am to 2 PM</v>
          </cell>
          <cell r="H26">
            <v>1950</v>
          </cell>
          <cell r="I26">
            <v>487.5</v>
          </cell>
          <cell r="J26" t="str">
            <v>Joy</v>
          </cell>
          <cell r="K26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26" t="str">
            <v>GULDAWARI n ANTHURIUM n GLAD</v>
          </cell>
          <cell r="N26" t="str">
            <v>3  del of this cycle   -  0-cycles pmnt   CompletedNO COLLECTION-we have extra money - Collect -50</v>
          </cell>
          <cell r="O26" t="str">
            <v>B Orchid 7     FF Sachet + Grass</v>
          </cell>
          <cell r="P26" t="str">
            <v>O Asiatic ( 14 Inch ) 4     Grass</v>
          </cell>
          <cell r="Q26" t="str">
            <v>Sunflower ( 12 Inch ) 5     FF Sachet + Grass</v>
          </cell>
          <cell r="R26" t="str">
            <v>Pur n P Car ( 14 inch ) 22     FF Sachet + Grass</v>
          </cell>
          <cell r="S26" t="str">
            <v>Mix Alstroemeria ( 12 Inch ) 22     FF Sachet + Grass</v>
          </cell>
          <cell r="T26" t="str">
            <v>P n W Spray Daisy 7     FF Sachet + Grass</v>
          </cell>
        </row>
        <row r="27">
          <cell r="A27" t="str">
            <v>G-00061</v>
          </cell>
          <cell r="B27" t="str">
            <v>Dolly Mohan</v>
          </cell>
          <cell r="C27">
            <v>9210333222</v>
          </cell>
          <cell r="D27" t="str">
            <v>A-001, Shiv Shankar CGHS Appartmenet, Sec 51</v>
          </cell>
          <cell r="E27" t="str">
            <v>Artemis</v>
          </cell>
          <cell r="F27" t="str">
            <v>Thursday</v>
          </cell>
          <cell r="G27" t="str">
            <v>9 AM to 2 PM</v>
          </cell>
          <cell r="H27">
            <v>1450</v>
          </cell>
          <cell r="I27">
            <v>362.5</v>
          </cell>
          <cell r="J27" t="str">
            <v>Bliss</v>
          </cell>
          <cell r="K27" t="str">
            <v>From Deepa Handa</v>
          </cell>
          <cell r="N27" t="str">
            <v>2  del of this cycle   -  0-cycles pmnt   Completed - Collect 0</v>
          </cell>
          <cell r="O27" t="e">
            <v>#N/A</v>
          </cell>
          <cell r="P27" t="e">
            <v>#N/A</v>
          </cell>
          <cell r="Q27" t="e">
            <v>#N/A</v>
          </cell>
          <cell r="R27" t="e">
            <v>#N/A</v>
          </cell>
          <cell r="S27" t="str">
            <v>Pur n P Car ( 14 inch ) 16     FF Sachet + Grass</v>
          </cell>
          <cell r="T27" t="str">
            <v>P Asiatic ( 14 Inch ) 3     Grass</v>
          </cell>
        </row>
        <row r="28">
          <cell r="A28" t="str">
            <v>G-00058</v>
          </cell>
          <cell r="B28" t="str">
            <v>Ayushi -- Sushant Lok 3</v>
          </cell>
          <cell r="C28">
            <v>7276564910</v>
          </cell>
          <cell r="D28" t="str">
            <v>A-186, 4th Floor, Sushant Lok 3, Sec 57</v>
          </cell>
          <cell r="E28" t="str">
            <v>Sector 56</v>
          </cell>
          <cell r="F28" t="str">
            <v>Thursday</v>
          </cell>
          <cell r="G28" t="str">
            <v>9:30 Am to 2 PM</v>
          </cell>
          <cell r="H28">
            <v>1450</v>
          </cell>
          <cell r="I28">
            <v>362.5</v>
          </cell>
          <cell r="J28" t="str">
            <v>Bliss</v>
          </cell>
          <cell r="K28" t="str">
            <v>Message -- Birthday month energy ( Flower Emoji) Wishing you soft days, happy surprises, and memories worth keeping this year. (23/05)</v>
          </cell>
          <cell r="N28" t="str">
            <v>4  del of this cycle   -  0-cycles pmnt   Completed - Collect 0</v>
          </cell>
          <cell r="O28" t="e">
            <v>#N/A</v>
          </cell>
          <cell r="P28" t="str">
            <v>P n W Car ( 14 inch ) 16 Message    FF Sachet + grass</v>
          </cell>
          <cell r="Q28" t="str">
            <v>P n Y Spray Dausy ( 14 Inch ) 5     FF Sachet + Grass</v>
          </cell>
          <cell r="R28" t="str">
            <v>P n W Glad ( 14 Inch ) 16     Grass</v>
          </cell>
          <cell r="S28" t="str">
            <v>P Asiatic ( 14 Inch ) 3     Grass</v>
          </cell>
          <cell r="T28" t="str">
            <v>Pur n P Car ( 14 Inch ) 16     FF Sachet + Grass</v>
          </cell>
        </row>
        <row r="29">
          <cell r="A29">
            <v>2104</v>
          </cell>
          <cell r="B29" t="str">
            <v>Arun Gupta</v>
          </cell>
          <cell r="C29">
            <v>9999072697</v>
          </cell>
          <cell r="D29" t="str">
            <v>C-22m Arc Stationary</v>
          </cell>
          <cell r="E29" t="str">
            <v>Nirvana Country</v>
          </cell>
          <cell r="F29" t="str">
            <v>Thursday</v>
          </cell>
          <cell r="G29" t="str">
            <v>9 AM to 2 PM</v>
          </cell>
          <cell r="H29">
            <v>400</v>
          </cell>
          <cell r="I29">
            <v>100</v>
          </cell>
          <cell r="J29" t="str">
            <v>Customized</v>
          </cell>
          <cell r="K29" t="str">
            <v>4 Flowers at both Shop</v>
          </cell>
          <cell r="N29" t="str">
            <v>4  del of this cycle   -  0-cycles pmnt   In Process - Collect 0</v>
          </cell>
          <cell r="O29" t="str">
            <v>Broken Flowers  5 1 Shop    FF Sachet + Grass</v>
          </cell>
          <cell r="P29" t="str">
            <v>Broken Flowers  5 1 Shop    FF Sachet + Grass</v>
          </cell>
          <cell r="Q29" t="str">
            <v>Broken Flowers  5 1 Shop    Grass</v>
          </cell>
          <cell r="R29" t="str">
            <v>Broken Flowers  5 1 Shop    Grass</v>
          </cell>
          <cell r="S29" t="str">
            <v xml:space="preserve">      </v>
          </cell>
          <cell r="T29" t="str">
            <v xml:space="preserve">Broken Flowers  5 1 Shop    </v>
          </cell>
        </row>
        <row r="30">
          <cell r="A30">
            <v>2037</v>
          </cell>
          <cell r="B30" t="str">
            <v>Sharwan Chopra</v>
          </cell>
          <cell r="C30">
            <v>9971066995</v>
          </cell>
          <cell r="D30" t="str">
            <v>A-223, The Belaire</v>
          </cell>
          <cell r="E30" t="str">
            <v>Golf Course Road</v>
          </cell>
          <cell r="F30" t="str">
            <v>Thursday</v>
          </cell>
          <cell r="G30" t="str">
            <v>10 AM to 2:30 PM</v>
          </cell>
          <cell r="H30">
            <v>1950</v>
          </cell>
          <cell r="I30">
            <v>487.5</v>
          </cell>
          <cell r="J30" t="str">
            <v>Joy</v>
          </cell>
          <cell r="K30" t="str">
            <v>NO Car (15/02) Skip 3 Weeks (12/06) Skip 1 week (28/12) Hold all deliveries till 1st July (12/06) Skip 25th Dec (23/12) Hold due to non payment (29/01) Returned today (04/06) Skip 1 week (16/06)</v>
          </cell>
          <cell r="L30" t="str">
            <v>CAR</v>
          </cell>
          <cell r="N30" t="str">
            <v>4  del of this cycle   -  0-cycles pmnt   Completed - Collect 0</v>
          </cell>
          <cell r="O30" t="str">
            <v>Mix Alstroemeria ( 12 Inch ) 20     Grass</v>
          </cell>
          <cell r="P30" t="str">
            <v>P n W Spray Daisy ( 15 Inch ) 7     FF Sachet + Grass</v>
          </cell>
          <cell r="Q30" t="str">
            <v>Y Asiatic ( 14 Inch ) 4     Grass</v>
          </cell>
          <cell r="R30" t="str">
            <v>P n W Glad ( 14 Inch ) 22     Grass</v>
          </cell>
          <cell r="S30" t="e">
            <v>#N/A</v>
          </cell>
          <cell r="T30" t="str">
            <v>Pur n P Eustoma ( 12 Inch ) 4     FF Sachet + Grass</v>
          </cell>
        </row>
        <row r="31">
          <cell r="A31">
            <v>401</v>
          </cell>
          <cell r="B31" t="str">
            <v>Nameesha Verma -- Before 12PM</v>
          </cell>
          <cell r="C31">
            <v>9899240454</v>
          </cell>
          <cell r="D31" t="str">
            <v>D-4/102, Parsvanath Exotica</v>
          </cell>
          <cell r="E31" t="str">
            <v>DLF Phase 5</v>
          </cell>
          <cell r="F31" t="str">
            <v>Thursday</v>
          </cell>
          <cell r="G31" t="str">
            <v>Before 12 PM</v>
          </cell>
          <cell r="H31">
            <v>1600</v>
          </cell>
          <cell r="I31">
            <v>200</v>
          </cell>
          <cell r="J31" t="str">
            <v>Bloom</v>
          </cell>
          <cell r="K31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31" t="str">
            <v>3 Car extra next (20/03)</v>
          </cell>
          <cell r="N31" t="str">
            <v>4  del of this cycle   -  0-cycles pmnt   Completed - Collect 0</v>
          </cell>
          <cell r="O31" t="str">
            <v>Y Spray Daosy ( 15 inch ) 2     FF Sachet + grass</v>
          </cell>
          <cell r="P31" t="str">
            <v>Rajni ( 14 Inch ) 7     Grass</v>
          </cell>
          <cell r="Q31" t="str">
            <v>Mix Alstroemeria ( 12 Inch ) 7     FF Sachet + Grass</v>
          </cell>
          <cell r="R31" t="e">
            <v>#N/A</v>
          </cell>
          <cell r="S31" t="str">
            <v>P Spray Daisy ( 14 Inch ) 2     FF Sachet + Grass</v>
          </cell>
          <cell r="T31" t="str">
            <v>Sunflower ( 12 Inch) 2     Grass</v>
          </cell>
        </row>
        <row r="32">
          <cell r="A32">
            <v>2359</v>
          </cell>
          <cell r="B32" t="str">
            <v>Roshni Achpal</v>
          </cell>
          <cell r="C32">
            <v>9711170252</v>
          </cell>
          <cell r="D32" t="str">
            <v>A-102, Belaire</v>
          </cell>
          <cell r="E32" t="str">
            <v>Golf Course Road</v>
          </cell>
          <cell r="F32" t="str">
            <v>Thursday</v>
          </cell>
          <cell r="G32" t="str">
            <v>9 AM - 12 PM</v>
          </cell>
          <cell r="H32">
            <v>999</v>
          </cell>
          <cell r="I32">
            <v>249.75</v>
          </cell>
          <cell r="J32" t="str">
            <v>Delight</v>
          </cell>
          <cell r="K32" t="str">
            <v>Gift From Ankita Mehta  // Shift to Delight(04/12) Gpay from Alok Asrani (04/12) Skip 2 week (19/12) No car (01/05) Skip 2 weeks (19/08) No rajni (08/09) Skip 2 week (18/12) No Button Daisy 912/02) Skip 1 week (14/03) Do not count last del (13/05) Skip 1 week (11/06)</v>
          </cell>
          <cell r="L32" t="str">
            <v>Car n Rajni n Buttn Daisies</v>
          </cell>
          <cell r="N32" t="str">
            <v>2  del of this cycle   -  0-cycles pmnt   Completed - Collect 0</v>
          </cell>
          <cell r="O32" t="str">
            <v>P Asiatic ( 15 inch ) 2     Grass</v>
          </cell>
          <cell r="P32" t="str">
            <v>Y Spray Daisy ( 15 Inch ) 3     FF Sachet + Grass</v>
          </cell>
          <cell r="Q32" t="str">
            <v>P n W Glad ( 14 Inch ) 9     Grass</v>
          </cell>
          <cell r="R32" t="str">
            <v>Sunflower ( 12 Inch ) 2     Grass</v>
          </cell>
          <cell r="S32" t="e">
            <v>#N/A</v>
          </cell>
          <cell r="T32" t="str">
            <v>Pur n P Car ( 14 Inch ) 9     FF Sachet + Grass</v>
          </cell>
        </row>
        <row r="33">
          <cell r="A33">
            <v>14</v>
          </cell>
          <cell r="B33" t="str">
            <v>Ms. Neelam Bhalla </v>
          </cell>
          <cell r="C33">
            <v>9810546046</v>
          </cell>
          <cell r="D33" t="str">
            <v>H4, 4th Floor, Olive Residency, Mayfield Garden, Sec 57</v>
          </cell>
          <cell r="E33" t="str">
            <v>Artemis</v>
          </cell>
          <cell r="F33" t="str">
            <v>Thursday</v>
          </cell>
          <cell r="G33" t="str">
            <v>9 AM - 12 PM</v>
          </cell>
          <cell r="H33">
            <v>1950</v>
          </cell>
          <cell r="I33">
            <v>487.5</v>
          </cell>
          <cell r="J33" t="str">
            <v>Joy</v>
          </cell>
          <cell r="K33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33" t="str">
            <v>GLAD n BOP n GERBERA</v>
          </cell>
          <cell r="N33" t="str">
            <v>2  del of this cycle   -  0-cycles pmnt   Completed - Collect 0</v>
          </cell>
          <cell r="O33" t="str">
            <v>B Orchid 7     FF Sachet + Grass</v>
          </cell>
          <cell r="P33" t="str">
            <v>O Asiatic ( 14 Inch ) 4     Grass</v>
          </cell>
          <cell r="Q33" t="str">
            <v>P n W Car ( 14 Inch ) 22     FF Sachet + Grass</v>
          </cell>
          <cell r="R33" t="str">
            <v>Pur n P Eustoma ( 12 Inch ) 4     FF Sachet + Grass</v>
          </cell>
          <cell r="S33" t="e">
            <v>#N/A</v>
          </cell>
          <cell r="T33" t="str">
            <v>Pur n P Eustoma ( 12 Inch ) 4     FF Sachet + Grass</v>
          </cell>
        </row>
        <row r="34">
          <cell r="A34">
            <v>71</v>
          </cell>
          <cell r="B34" t="str">
            <v>Meenakshi Verma</v>
          </cell>
          <cell r="C34">
            <v>9810044544</v>
          </cell>
          <cell r="D34" t="str">
            <v>D-24, The Belaire Dlf golf course Road Phase 5</v>
          </cell>
          <cell r="E34" t="str">
            <v>Golf Course Road</v>
          </cell>
          <cell r="F34" t="str">
            <v>Thursday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34" t="str">
            <v>DAHELIA n GLAD n ROSE n ORCHID n Sunflower (30/04)</v>
          </cell>
          <cell r="N34" t="str">
            <v>2  del of this cycle   -  0-cycles pmnt   Completed - Collect 0</v>
          </cell>
          <cell r="O34" t="str">
            <v>P Asiatic ( 15 inch ) 4     Grass</v>
          </cell>
          <cell r="P34" t="str">
            <v>R n W Car ( 14 Inch ) 22     FF Sachet + Grass</v>
          </cell>
          <cell r="Q34" t="str">
            <v>P n Y Spray Dausy ( 14 Inch ) 7     FF Sachet + Grass</v>
          </cell>
          <cell r="R34" t="str">
            <v>Mix Alstroemeria ( 12 Inch ) 22     FF Sachet + Grass</v>
          </cell>
          <cell r="S34" t="str">
            <v>O Asiatic ( 14 Inch ) 4     2 Gypsola</v>
          </cell>
          <cell r="T34" t="str">
            <v>P n W Glad ( 14 Inch ) 22     Grass</v>
          </cell>
        </row>
        <row r="35">
          <cell r="A35">
            <v>894</v>
          </cell>
          <cell r="B35" t="str">
            <v>Dr. Roma Kumar</v>
          </cell>
          <cell r="C35" t="str">
            <v>98110 87708</v>
          </cell>
          <cell r="D35" t="str">
            <v>RT-181, Royalton Tower
Inside Princeton Estate
DLF City Phase-V
Gurgaon-122009
Haryana</v>
          </cell>
          <cell r="E35" t="str">
            <v>DLF Phase 5</v>
          </cell>
          <cell r="F35" t="str">
            <v>Thursday</v>
          </cell>
          <cell r="G35" t="str">
            <v>9 AM - 12 PM</v>
          </cell>
          <cell r="H35">
            <v>3000</v>
          </cell>
          <cell r="I35">
            <v>375</v>
          </cell>
          <cell r="J35" t="str">
            <v>Charm</v>
          </cell>
          <cell r="K3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35" t="str">
            <v>ORCHID</v>
          </cell>
          <cell r="N35" t="str">
            <v>2  del of this cycle   -  0-cycles pmnt   Completed - Collect 0</v>
          </cell>
          <cell r="O35" t="str">
            <v>Rajni ( 14 inch ) 15     Grass</v>
          </cell>
          <cell r="P35" t="str">
            <v>P n Y Spray Daisy ( 15 Inch ) 4     FF Sachet + Grass</v>
          </cell>
          <cell r="Q35" t="str">
            <v>W Oriental ( 15 Inch ) 2     Grass</v>
          </cell>
          <cell r="R35" t="str">
            <v>P n W Glad ( 14 Inch ) 15     Grass</v>
          </cell>
          <cell r="S35" t="str">
            <v>P Asiatic ( 14 Inch ) 3     Grass</v>
          </cell>
          <cell r="T35" t="str">
            <v>Rajni ( 14 Inch ) 15     Grass</v>
          </cell>
        </row>
        <row r="36">
          <cell r="A36">
            <v>888</v>
          </cell>
          <cell r="B36" t="str">
            <v>Ankita Mehta</v>
          </cell>
          <cell r="C36">
            <v>9868169896</v>
          </cell>
          <cell r="D36" t="str">
            <v>1B-71, Wellington Estate</v>
          </cell>
          <cell r="E36" t="str">
            <v>DLF Phase 5</v>
          </cell>
          <cell r="F36" t="str">
            <v>Thursday</v>
          </cell>
          <cell r="G36" t="str">
            <v>9 AM - 12 PM</v>
          </cell>
          <cell r="H36">
            <v>1450</v>
          </cell>
          <cell r="I36">
            <v>362.5</v>
          </cell>
          <cell r="J36" t="str">
            <v>Bliss</v>
          </cell>
          <cell r="K36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L36" t="str">
            <v xml:space="preserve">SPRAY DAISY n GULDAWARI </v>
          </cell>
          <cell r="M36" t="str">
            <v>Change to Deligh next (30/01)</v>
          </cell>
          <cell r="N36" t="str">
            <v>2  del of this cycle   -  1-cycles pmnt   Pending - Collect 1450</v>
          </cell>
          <cell r="O36" t="str">
            <v>P n W Glad ( 14 inch ) 2     Grass</v>
          </cell>
          <cell r="P36" t="str">
            <v>O Asiatic ( 14 Inch ) 2     Grass</v>
          </cell>
          <cell r="Q36" t="str">
            <v>R n W Car ( 14 inch ) 9     FF Sachet + Grass</v>
          </cell>
          <cell r="R36" t="str">
            <v>Sunflower ( 12 Inch ) 2     Grass</v>
          </cell>
          <cell r="S36" t="str">
            <v>Mix Alstroemeria ( 12 Inch ) 16     FF Sachet + Grass</v>
          </cell>
          <cell r="T36" t="str">
            <v>P n W Glad ( 14 Inch ) 16  Collect Payment Collect Payment Collect Payment Grass</v>
          </cell>
        </row>
        <row r="37">
          <cell r="A37">
            <v>2684</v>
          </cell>
          <cell r="B37" t="str">
            <v>Meenakshi Bhatia</v>
          </cell>
          <cell r="C37">
            <v>9958428097</v>
          </cell>
          <cell r="D37" t="str">
            <v>T-E/244, The Crest</v>
          </cell>
          <cell r="E37" t="str">
            <v>Golf Course Road</v>
          </cell>
          <cell r="F37" t="str">
            <v>Thursday</v>
          </cell>
          <cell r="G37" t="str">
            <v>9 AM - 12 PM</v>
          </cell>
          <cell r="H37">
            <v>2750</v>
          </cell>
          <cell r="I37">
            <v>687.5</v>
          </cell>
          <cell r="J37" t="str">
            <v>Elation</v>
          </cell>
          <cell r="K37" t="str">
            <v>Hold she will confirm (17/05) Send on Sunday this week (23/05) Next Del on Sunday (29/05) 1 Spray daisy next (22/06) Send anthurium n BOP too (19/07) Skip 1 week (02/08) Skip 1 week and confirm before sending (24/08) Change day to Thursday (25/10) Today Hold (06/11) Send del on sunday and then from 18th (12/12) Skip 1 week (07/04)</v>
          </cell>
          <cell r="M37" t="str">
            <v>Send BOP and Anthuriums too (10/07) Chcek before sending (24/08)</v>
          </cell>
          <cell r="N37" t="str">
            <v>3  del of this cycle   -  0-cycles pmnt   Completed - Collect 0</v>
          </cell>
          <cell r="O37" t="str">
            <v>P Asiatic ( 15 inch ) 3 R n W Car ( 14 inch ) 16   2 Gypsola</v>
          </cell>
          <cell r="P37" t="str">
            <v>P n W Spray Daisy ( 15 Inch ) 10 P n W Glad ( 14 Inch ) 16   2 Limonium + FF Sachet</v>
          </cell>
          <cell r="Q37" t="str">
            <v>Sunflower ( 12 Inch ) 4 Mix Alstroemeria ( 12 Inch ) 16   2 Gypsola + FF Sachet</v>
          </cell>
          <cell r="R37" t="str">
            <v>Pur n P Eustoma ( 12 Inch ) 4 Pur n P Car ( 14 inch ) 16   2 Limonium + FF Sachet</v>
          </cell>
          <cell r="S37" t="str">
            <v xml:space="preserve">O Asiatic ( 14 Inch ) 3 P n W Glad ( 14 Inch ) 16   2 Gypsola </v>
          </cell>
          <cell r="T37" t="str">
            <v>P n Y Spray Daisy ( 14 Inch ) 4 B Daisy ( 12 Inch ) 16   2 Limonium + FF Sachet</v>
          </cell>
        </row>
        <row r="38">
          <cell r="A38">
            <v>1181</v>
          </cell>
          <cell r="B38" t="str">
            <v>Parul Sharma --Elation</v>
          </cell>
          <cell r="C38">
            <v>8800895944</v>
          </cell>
          <cell r="D38" t="str">
            <v>Villa-27, The Legend</v>
          </cell>
          <cell r="E38" t="str">
            <v>Artemis</v>
          </cell>
          <cell r="F38" t="str">
            <v>Thursday</v>
          </cell>
          <cell r="G38" t="str">
            <v>9 AM to 2 PM</v>
          </cell>
          <cell r="H38">
            <v>1950</v>
          </cell>
          <cell r="I38">
            <v>487.5</v>
          </cell>
          <cell r="J38" t="str">
            <v>Joy</v>
          </cell>
          <cell r="K38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38" t="str">
            <v>Before 11:30 AM</v>
          </cell>
          <cell r="N38" t="str">
            <v>3  del of this cycle   -  0-cycles pmnt   Completed - Collect 0</v>
          </cell>
          <cell r="O38" t="str">
            <v>Mix Alstroemeria ( 12 Inch ) 20     Grass</v>
          </cell>
          <cell r="P38" t="str">
            <v>W Asiatic ( 14 Inch ) 4     Grass</v>
          </cell>
          <cell r="Q38" t="str">
            <v>P n W Glad ( 14 Inch ) 22     Grass</v>
          </cell>
          <cell r="R38" t="str">
            <v>Pur n P Eustoma ( 12 Inch ) 4     FF Sachet + Grass</v>
          </cell>
          <cell r="S38" t="str">
            <v>P n Y Spray Daisy ( 14 Inch ) 7     FF Sachet + Grass</v>
          </cell>
          <cell r="T38" t="str">
            <v>P n W Car ( 14 inch ) 22     FF Sachet + Grass</v>
          </cell>
        </row>
        <row r="39">
          <cell r="A39">
            <v>3235</v>
          </cell>
          <cell r="B39" t="str">
            <v>Nishant -- Wellington</v>
          </cell>
          <cell r="C39">
            <v>9833057481</v>
          </cell>
          <cell r="D39" t="str">
            <v>Flat-1B/101, Wellington Estate</v>
          </cell>
          <cell r="E39" t="str">
            <v>DLF Phase 5</v>
          </cell>
          <cell r="F39" t="str">
            <v>Thursday</v>
          </cell>
          <cell r="G39" t="str">
            <v>9 AM - 12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Nishant Pandita // HDTNP (05/03) No Glad or Rajni (06/06)</v>
          </cell>
          <cell r="L39" t="str">
            <v>Glad n Rajni</v>
          </cell>
          <cell r="N39" t="str">
            <v>3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str">
            <v>Pur n P Car ( 14 inch ) 16     FF Sachet + Grass</v>
          </cell>
          <cell r="S39" t="str">
            <v>P Asiatic ( 14 Inch ) 3     Grass</v>
          </cell>
          <cell r="T39" t="str">
            <v>Pur Eustoma ( 12 Inch ) 3     FF Sachet + Grass</v>
          </cell>
        </row>
        <row r="40">
          <cell r="A40">
            <v>3097</v>
          </cell>
          <cell r="B40" t="str">
            <v>Jamie Miller</v>
          </cell>
          <cell r="C40">
            <v>7428737502</v>
          </cell>
          <cell r="D40" t="str">
            <v>D-072, The DLF Crest</v>
          </cell>
          <cell r="E40" t="str">
            <v>Golf Course Road</v>
          </cell>
          <cell r="F40" t="str">
            <v>Thursday</v>
          </cell>
          <cell r="G40" t="str">
            <v>9:30 Am to 2 PM</v>
          </cell>
          <cell r="H40">
            <v>2750</v>
          </cell>
          <cell r="I40">
            <v>687.5</v>
          </cell>
          <cell r="J40" t="str">
            <v>Elation</v>
          </cell>
          <cell r="K40" t="str">
            <v>From James Brittan // Skip 2 week (20/12) Today Returned (22/01) Skip 3 weeks (26/01) Skip 1 week (17/03) Skip 2 week (31/05)</v>
          </cell>
          <cell r="N40" t="str">
            <v>2  del of this cycle   -  0-cycles pmnt   Completed - Collect 0</v>
          </cell>
          <cell r="O40" t="str">
            <v>W Asiatic ( 15 Inch ) 3 Mix Alstroemeria ( 12 Inch ) 16   2 Gypsola</v>
          </cell>
          <cell r="P40" t="str">
            <v>Pur n p Eustoma 4 P n W Glad ( 14 Inch ) 16   2 Limonium + FF Sachet</v>
          </cell>
          <cell r="Q40" t="e">
            <v>#N/A</v>
          </cell>
          <cell r="R40" t="e">
            <v>#N/A</v>
          </cell>
          <cell r="S40" t="str">
            <v xml:space="preserve">P Asiatic ( 14 Inch ) 3 Pur n P Car ( 14 Inch ) 16   2 Gypsola </v>
          </cell>
          <cell r="T40" t="str">
            <v>Sunflower ( 12 Inch) 4 B Daisy ( 12 Inch ) 16   2 Limonium + FF Sachet</v>
          </cell>
        </row>
        <row r="41">
          <cell r="A41">
            <v>2509</v>
          </cell>
          <cell r="B41" t="str">
            <v>Shrija Majumder</v>
          </cell>
          <cell r="C41">
            <v>8910369663</v>
          </cell>
          <cell r="D41" t="str">
            <v>G-803, BPTP Freedom Park Life</v>
          </cell>
          <cell r="E41" t="str">
            <v>Artemis</v>
          </cell>
          <cell r="F41" t="str">
            <v>Thursday</v>
          </cell>
          <cell r="G41" t="str">
            <v>9:30 Am to 2 PM</v>
          </cell>
          <cell r="H41">
            <v>1450</v>
          </cell>
          <cell r="I41">
            <v>1450</v>
          </cell>
          <cell r="J41" t="str">
            <v>Bliss</v>
          </cell>
          <cell r="K41" t="str">
            <v>Only Seasonals // skip tom (26/04) Skip 1 week (25/06) Hold today (14/08) Send tom after 7 PM (20/08) Skip 1 week (27/08) Skip 1 week (05/03) send replacement tom (28/03)</v>
          </cell>
          <cell r="M41" t="str">
            <v>Seasonlas</v>
          </cell>
          <cell r="N41" t="str">
            <v>1  del of this cycle   -  1-cycles pmnt   Pending - Collect 1450</v>
          </cell>
          <cell r="O41" t="str">
            <v>P n W Car ( 14 inch ) 9     FF Sachet + Grass</v>
          </cell>
          <cell r="P41" t="str">
            <v>P n W Glad ( 14 Inch ) 9     Grass</v>
          </cell>
          <cell r="Q41" t="str">
            <v>Rajni ( 14 Inch ) 9     Grass</v>
          </cell>
          <cell r="R41" t="str">
            <v>Mix Car ( 14 Inch ) 9     Grass</v>
          </cell>
          <cell r="S41" t="str">
            <v>Mix Alstroemeria ( 12 Inch ) 9     FF Sachet + Grass</v>
          </cell>
          <cell r="T41" t="str">
            <v>P n W Glad ( 14 Inch ) 16     Grass</v>
          </cell>
        </row>
        <row r="42">
          <cell r="A42">
            <v>2774</v>
          </cell>
          <cell r="B42" t="str">
            <v>Vandana Thakran</v>
          </cell>
          <cell r="C42">
            <v>9899589964</v>
          </cell>
          <cell r="D42" t="str">
            <v>H. No. 35, Cedar Crest</v>
          </cell>
          <cell r="E42" t="str">
            <v>Nirvana Country</v>
          </cell>
          <cell r="F42" t="str">
            <v>Sunday</v>
          </cell>
          <cell r="G42" t="str">
            <v>9 AM - 12 PM</v>
          </cell>
          <cell r="H42">
            <v>1600</v>
          </cell>
          <cell r="I42">
            <v>200</v>
          </cell>
          <cell r="J42" t="str">
            <v>Bloom</v>
          </cell>
          <cell r="N42" t="str">
            <v>4  del of this cycle   -  0-cycles pmnt   Completed - Collect 0</v>
          </cell>
          <cell r="O42" t="str">
            <v>B Daisy ( 12 inch ) 7     Grass</v>
          </cell>
          <cell r="P42" t="str">
            <v>P n W Car ( 14 inch ) 7     FF Sachet + Grass</v>
          </cell>
          <cell r="Q42" t="str">
            <v>P Spray Daisy ( 14 Inch ) 2     FF Sachet + Grass</v>
          </cell>
          <cell r="R42" t="str">
            <v>Sunflower ( 12 Inch ) 2     FF Sachet + Grass</v>
          </cell>
          <cell r="S42" t="str">
            <v>Pur n P Car ( 14 inch ) 7     FF Sachet + Grass</v>
          </cell>
          <cell r="T42" t="str">
            <v>P n W Glad ( 14 Inch ) 7     Grass</v>
          </cell>
        </row>
        <row r="43">
          <cell r="A43">
            <v>2246</v>
          </cell>
          <cell r="B43" t="str">
            <v>Amita Gupta</v>
          </cell>
          <cell r="C43">
            <v>9811985450</v>
          </cell>
          <cell r="D43" t="str">
            <v>146, Cedar Crest</v>
          </cell>
          <cell r="E43" t="str">
            <v>Nirvana Country</v>
          </cell>
          <cell r="F43" t="str">
            <v>Thursday</v>
          </cell>
          <cell r="G43" t="str">
            <v>9 AM - 12 PM</v>
          </cell>
          <cell r="H43">
            <v>1600</v>
          </cell>
          <cell r="I43">
            <v>200</v>
          </cell>
          <cell r="J43" t="str">
            <v>Bloom</v>
          </cell>
          <cell r="K43" t="str">
            <v>Return today (03/10) Change to bliss (23/10) No Orchid (24/10) Send a vase tom (20/08) Upgrade to bliss (17/12)</v>
          </cell>
          <cell r="L43" t="str">
            <v>Orchid</v>
          </cell>
          <cell r="M43" t="str">
            <v>1 Vase Tom (20/08)</v>
          </cell>
          <cell r="N43" t="str">
            <v>4  del of this cycle   -  0-cycles pmnt   Completed - Collect 0</v>
          </cell>
          <cell r="O43" t="str">
            <v>R n W Car ( 14 inch ) 7     FF Sachet + grass</v>
          </cell>
          <cell r="P43" t="str">
            <v>Sunflower ( 14 Inch ) 2     FF Sachet + Grass</v>
          </cell>
          <cell r="Q43" t="str">
            <v>Mix Alstroemeria ( 12 Inch ) 7     FF Sachet + Grass</v>
          </cell>
          <cell r="R43" t="str">
            <v>Pur n P Car ( 14 inch ) 7     FF Sachet + Grass</v>
          </cell>
          <cell r="S43" t="str">
            <v>Sunflower ( 12 Inch ) 2     FF Sachet + Grass</v>
          </cell>
          <cell r="T43" t="str">
            <v>P n W Glad ( 14 Inch ) 7     Grass</v>
          </cell>
        </row>
        <row r="44">
          <cell r="A44">
            <v>884</v>
          </cell>
          <cell r="B44" t="str">
            <v>Bhavna Taneja</v>
          </cell>
          <cell r="C44">
            <v>9811192021</v>
          </cell>
          <cell r="D44" t="str">
            <v>F-214, DLF The Crest,Sec-54</v>
          </cell>
          <cell r="E44" t="str">
            <v>Golf Course Road</v>
          </cell>
          <cell r="F44" t="str">
            <v>Thursday</v>
          </cell>
          <cell r="G44" t="str">
            <v>9:30 AM to 2 PM</v>
          </cell>
          <cell r="H44">
            <v>1450</v>
          </cell>
          <cell r="I44">
            <v>362.5</v>
          </cell>
          <cell r="J44" t="str">
            <v>Bliss</v>
          </cell>
          <cell r="K44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44" t="str">
            <v>GULDAWARI n BOP n GERBERA</v>
          </cell>
          <cell r="M44" t="str">
            <v>Mixed Now</v>
          </cell>
          <cell r="N44" t="str">
            <v>1  del of this cycle   -  1-cycles pmnt   Pending - Collect 1450</v>
          </cell>
          <cell r="O44" t="str">
            <v>R n W Car ( 14 inch ) 16     FF Sachet + Grass</v>
          </cell>
          <cell r="P44" t="str">
            <v>O Asiatic ( 14 Inch ) 3     Grass</v>
          </cell>
          <cell r="Q44" t="str">
            <v>P n W Spray Daisy ( 14 Inch ) 5     FF Sachet + Grass</v>
          </cell>
          <cell r="R44" t="str">
            <v>P n W Glad ( 14 Inch ) 16     Grass</v>
          </cell>
          <cell r="S44" t="e">
            <v>#N/A</v>
          </cell>
          <cell r="T44" t="str">
            <v>Pur n P Car ( 14 Inch ) 16     FF Sachet + Grass</v>
          </cell>
        </row>
        <row r="45">
          <cell r="A45">
            <v>58</v>
          </cell>
          <cell r="B45" t="str">
            <v>Ms. Anupma Chandna</v>
          </cell>
          <cell r="C45">
            <v>8130077970</v>
          </cell>
          <cell r="D45" t="str">
            <v>32, aspen greens, nirvana</v>
          </cell>
          <cell r="E45" t="str">
            <v>Nirvana Country</v>
          </cell>
          <cell r="F45" t="str">
            <v>Thursday</v>
          </cell>
          <cell r="G45" t="str">
            <v>9 AM - 12 PM</v>
          </cell>
          <cell r="H45">
            <v>1950</v>
          </cell>
          <cell r="I45">
            <v>487.5</v>
          </cell>
          <cell r="J45" t="str">
            <v>Joy</v>
          </cell>
          <cell r="K45" t="str">
            <v>No Rose // Hold n start from 04th Dec (03/11) No Greens</v>
          </cell>
          <cell r="L45" t="str">
            <v>Rose</v>
          </cell>
          <cell r="M45" t="str">
            <v>No Greens</v>
          </cell>
          <cell r="N45" t="str">
            <v>3  del of this cycle   -  0-cycles pmnt   Completed - Collect 0</v>
          </cell>
          <cell r="O45" t="str">
            <v>Sunflower ( 14 inch ) 3 P n W Glad ( 14 inch ) 10   Grass</v>
          </cell>
          <cell r="P45" t="str">
            <v>P n W Spray Daisy ( 15 Inch ) 4 R n W Car ( 14 Inch ) 11   FF Sachet + Grass</v>
          </cell>
          <cell r="Q45" t="str">
            <v>W Asiatic ( 14 Inch ) 2 Mix Alstroemeria ( 12 Inch ) 11   Grass</v>
          </cell>
          <cell r="R45" t="str">
            <v>Pur Eustoma ( 12 Inch ) 3 P n W Glad ( 14 Inch ) 11   FF Sachet + Grass</v>
          </cell>
          <cell r="S45" t="str">
            <v>Sunflower ( 12 Inch ) 3 Pur n P Car ( 14 Inch ) 11   FF Sachet + Grass</v>
          </cell>
          <cell r="T45" t="str">
            <v>P Asiatic ( 14 Inch ) 2 B Daisy ( 12 Inch ) 11   Grass</v>
          </cell>
        </row>
        <row r="46">
          <cell r="A46">
            <v>1455</v>
          </cell>
          <cell r="B46" t="str">
            <v>Gagan Ahluwalia</v>
          </cell>
          <cell r="C46">
            <v>9811105056</v>
          </cell>
          <cell r="D46" t="str">
            <v>C-82, The Summit</v>
          </cell>
          <cell r="E46" t="str">
            <v>Golf Course Road</v>
          </cell>
          <cell r="F46" t="str">
            <v>Thursday</v>
          </cell>
          <cell r="G46" t="str">
            <v>9 AM - 12 PM</v>
          </cell>
          <cell r="H46">
            <v>2300</v>
          </cell>
          <cell r="I46">
            <v>287.5</v>
          </cell>
          <cell r="J46" t="str">
            <v>Felicity</v>
          </cell>
          <cell r="K46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46" t="str">
            <v>3  del of this cycle   -  0-cycles pmnt   Completed - Collect 0</v>
          </cell>
          <cell r="O46" t="e">
            <v>#N/A</v>
          </cell>
          <cell r="P46" t="e">
            <v>#N/A</v>
          </cell>
          <cell r="Q46" t="str">
            <v>P n W Glad ( 14 Inch ) 11     Grass</v>
          </cell>
          <cell r="R46" t="str">
            <v>Rajni ( 14 Inch ) 11     Grass</v>
          </cell>
          <cell r="S46" t="str">
            <v>Pur n P Car ( 14 inch ) 11     FF Sachet + Grass</v>
          </cell>
          <cell r="T46" t="str">
            <v>P Spray Daisy ( 14 Inch ) 3     FF Sachet + Grass</v>
          </cell>
        </row>
        <row r="47">
          <cell r="A47">
            <v>1140</v>
          </cell>
          <cell r="B47" t="str">
            <v>Nidhi Singh</v>
          </cell>
          <cell r="C47" t="str">
            <v>8383036664//9899389873</v>
          </cell>
          <cell r="D47" t="str">
            <v>D-8/3, Ground Floor DLF Exclusive Floors</v>
          </cell>
          <cell r="E47" t="str">
            <v>DLF Phase 5</v>
          </cell>
          <cell r="F47" t="str">
            <v>Thursday</v>
          </cell>
          <cell r="G47" t="str">
            <v>9 AM - 12 PM</v>
          </cell>
          <cell r="H47">
            <v>2300</v>
          </cell>
          <cell r="I47">
            <v>287.5</v>
          </cell>
          <cell r="J47" t="str">
            <v>Felicity</v>
          </cell>
          <cell r="K47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47" t="str">
            <v>ROSE</v>
          </cell>
          <cell r="N47" t="str">
            <v>4  del of this cycle   -  0-cycles pmnt   Completed - Collect 0</v>
          </cell>
          <cell r="O47" t="str">
            <v>P Asiatic ( 15 inch ) 2     Grass</v>
          </cell>
          <cell r="P47" t="str">
            <v>P n W Glad ( 14 Inch ) 11     Grass</v>
          </cell>
          <cell r="Q47" t="str">
            <v>P Spray Daisy ( 14 Inch ) 3     FF Sachet + Grass</v>
          </cell>
          <cell r="R47" t="str">
            <v>Pur Eustoma ( 12 Inch ) 3     FF Sachet + Grass</v>
          </cell>
          <cell r="S47" t="str">
            <v>Rajni ( 14 Inch ) 11     Grass</v>
          </cell>
          <cell r="T47" t="str">
            <v>P n W Glad ( 14 Inch ) 11     Grass</v>
          </cell>
        </row>
        <row r="48">
          <cell r="A48">
            <v>3205</v>
          </cell>
          <cell r="B48" t="str">
            <v>Supriya -- The Icon</v>
          </cell>
          <cell r="C48">
            <v>9650802228</v>
          </cell>
          <cell r="D48" t="str">
            <v>B-31, The Icon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Paytm from Nutan Joshi (19/04)</v>
          </cell>
          <cell r="N48" t="str">
            <v>3  del of this cycle   -  0-cycles pmnt   Completed - Collect 0</v>
          </cell>
          <cell r="O48" t="str">
            <v>Y Asiatic ( 15 Inch ) 2 P n W Glad ( 14 inch ) 7   Grass</v>
          </cell>
          <cell r="P48" t="str">
            <v>P Spray Daisy ( 15 Inch ) 3 P n W Car ( 14 Inch )  7   FF Sachet + grass</v>
          </cell>
          <cell r="Q48" t="str">
            <v>P Eustoma (14 Inch ) 2 Mix Alstroemeria ( 12 Inch ) 7   FF Sachet + Grass</v>
          </cell>
          <cell r="R48" t="str">
            <v>Sunflower ( 12 Inch ) 2 P n W Glad ( 14 Inch ) 7   FF Sachet + Grass</v>
          </cell>
          <cell r="S48" t="str">
            <v>P Asiatic ( 14 Inch ) 2 Pur n P Car ( 14 Inch ) 7   Grass</v>
          </cell>
          <cell r="T48" t="str">
            <v>Y Spray Daisy ( 14 Inch ) 3 Rajni ( 14 Inch ) 7   FF Sachet + Grass</v>
          </cell>
        </row>
        <row r="49">
          <cell r="A49">
            <v>19</v>
          </cell>
          <cell r="B49" t="str">
            <v>Mrs. Geeta Chopra</v>
          </cell>
          <cell r="C49">
            <v>9811373448</v>
          </cell>
          <cell r="D49" t="str">
            <v>E-64,Ground Floor,Suncity,Sec-54</v>
          </cell>
          <cell r="E49" t="str">
            <v>Golf Course Road</v>
          </cell>
          <cell r="F49" t="str">
            <v>Thursday</v>
          </cell>
          <cell r="G49" t="str">
            <v>9 AM - 12 PM</v>
          </cell>
          <cell r="H49">
            <v>1450</v>
          </cell>
          <cell r="I49">
            <v>362.5</v>
          </cell>
          <cell r="J49" t="str">
            <v>Bliss</v>
          </cell>
          <cell r="K49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49" t="str">
            <v>2  del of this cycle   -  1-cycles pmnt   Pending - Collect 1450</v>
          </cell>
          <cell r="O49" t="str">
            <v>P n Y Spray Daisy ( 15 Inch ) 5     FF Sachet + Grass</v>
          </cell>
          <cell r="P49" t="str">
            <v>R n W Car ( 14 Inch ) 16     FF Sachet + grass</v>
          </cell>
          <cell r="Q49" t="str">
            <v>P n W Glad ( 14 Inch ) 16     Grass</v>
          </cell>
          <cell r="R49" t="str">
            <v>Mix Alstroemeria ( 12 Inch ) 16     FF Sachet + Grass</v>
          </cell>
          <cell r="S49" t="str">
            <v>O Asiatic ( 14 Inch ) 3     Grass</v>
          </cell>
          <cell r="T49" t="str">
            <v>B Daisy ( 12 Inch ) 16  Collect Payment Collect Payment Collect Payment Grass</v>
          </cell>
        </row>
        <row r="50">
          <cell r="A50">
            <v>3063</v>
          </cell>
          <cell r="B50" t="str">
            <v>Shinjini Mehrotra</v>
          </cell>
          <cell r="C50">
            <v>9810198315</v>
          </cell>
          <cell r="D50" t="str">
            <v>F-109, 2nd Floor, Suncity</v>
          </cell>
          <cell r="E50" t="str">
            <v>Golf Course Road</v>
          </cell>
          <cell r="F50" t="str">
            <v>Thursday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Hold 4 Weeks (04/12) Skip 1 week (14/02) Skip 2 week (28/02) Skip 1 week  (01/04) Hold till 29th Apr (06/04)</v>
          </cell>
          <cell r="N50" t="str">
            <v>3  del of this cycle   -  0-cycles pmnt   CompletedNO COLLECTION-we have extra money - Collect -50</v>
          </cell>
          <cell r="O50" t="str">
            <v>Mix Alstroemeria ( 12 Inch ) 16     Grass</v>
          </cell>
          <cell r="P50" t="str">
            <v>O Asiatic ( 14 Inch ) 3     Grass</v>
          </cell>
          <cell r="Q50" t="str">
            <v>R n W Car ( 14 inch ) 16     FF Sachet + Grass</v>
          </cell>
          <cell r="R50" t="str">
            <v>Pur Eustoma ( 12 Inch ) 3     FF Sachet + Grass</v>
          </cell>
          <cell r="S50" t="str">
            <v>Sunflower ( 12 Inch ) 4     FF Sachet + Grass</v>
          </cell>
          <cell r="T50" t="str">
            <v>P n W Glad ( 14 Inch ) 16     Grass</v>
          </cell>
        </row>
        <row r="51">
          <cell r="A51">
            <v>2779</v>
          </cell>
          <cell r="B51" t="str">
            <v>Riddhi Desai</v>
          </cell>
          <cell r="C51">
            <v>8130497969</v>
          </cell>
          <cell r="D51" t="str">
            <v>D-71, The Icon</v>
          </cell>
          <cell r="E51" t="str">
            <v>Golf Course Road</v>
          </cell>
          <cell r="F51" t="str">
            <v>Sunday</v>
          </cell>
          <cell r="G51" t="str">
            <v>9 AM to 2 PM</v>
          </cell>
          <cell r="H51">
            <v>1600</v>
          </cell>
          <cell r="I51">
            <v>200</v>
          </cell>
          <cell r="J51" t="str">
            <v>Bloom</v>
          </cell>
          <cell r="K51" t="str">
            <v>Send this week on Saturday (14/08) Skip 1 week (21/12) Hold till 2nd June (20/05)</v>
          </cell>
          <cell r="N51" t="str">
            <v>2  del of this cycle   -  0-cycles pmnt   Completed - Collect 0</v>
          </cell>
          <cell r="O51" t="e">
            <v>#N/A</v>
          </cell>
          <cell r="P51" t="e">
            <v>#N/A</v>
          </cell>
          <cell r="Q51" t="str">
            <v>P n W Car ( 14 Inch ) 7     FF Sachet + Grass</v>
          </cell>
          <cell r="R51" t="str">
            <v>Y Spray Daisy ( 14 Inch ) 2     Grass</v>
          </cell>
          <cell r="S51" t="str">
            <v>Sunflower ( 12 Inch ) 2     FF Sachet + Grass</v>
          </cell>
          <cell r="T51" t="str">
            <v>Rajni ( 14 Inch ) 7     Grass</v>
          </cell>
        </row>
        <row r="52">
          <cell r="A52">
            <v>921</v>
          </cell>
          <cell r="B52" t="str">
            <v>Anumeha</v>
          </cell>
          <cell r="C52" t="str">
            <v>9899901949// 9953511987</v>
          </cell>
          <cell r="D52" t="str">
            <v>T-04/1701, South Close</v>
          </cell>
          <cell r="E52" t="str">
            <v>Nirvana Country</v>
          </cell>
          <cell r="F52" t="str">
            <v>Thursday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52" t="str">
            <v>No rajni till Oct (31/08)</v>
          </cell>
          <cell r="N52" t="str">
            <v>3  del of this cycle   -  0-cycles pmnt   Completed - Collect 0</v>
          </cell>
          <cell r="O52" t="str">
            <v>P Asiatic ( 15 inch ) 3     Grass</v>
          </cell>
          <cell r="P52" t="str">
            <v>Mix Alstroemeria ( 12 Inch ) 16     FF Sachet + grass</v>
          </cell>
          <cell r="Q52" t="str">
            <v>P n W Glad ( 14 Inch ) 16     Grass</v>
          </cell>
          <cell r="R52" t="str">
            <v>P n W Spray Daisy ( 14 Inch ) 5     FF Sachet + Grass</v>
          </cell>
          <cell r="S52" t="str">
            <v>Sunflower ( 12 Inch ) 4     FF Sachet + Grass</v>
          </cell>
          <cell r="T52" t="str">
            <v>Pur n P Car ( 14 Inch ) 16     FF Sachet + Grass</v>
          </cell>
        </row>
        <row r="53">
          <cell r="A53">
            <v>3144</v>
          </cell>
          <cell r="B53" t="str">
            <v>Samar Singh</v>
          </cell>
          <cell r="C53">
            <v>9582363043</v>
          </cell>
          <cell r="D53" t="str">
            <v>C-13, DLF Icon</v>
          </cell>
          <cell r="E53" t="str">
            <v>DLF Phase 5</v>
          </cell>
          <cell r="F53" t="str">
            <v>Thursday</v>
          </cell>
          <cell r="G53" t="str">
            <v>9 AM to 2 PM</v>
          </cell>
          <cell r="H53">
            <v>1450</v>
          </cell>
          <cell r="I53">
            <v>362.5</v>
          </cell>
          <cell r="J53" t="str">
            <v>Bliss</v>
          </cell>
          <cell r="K53" t="str">
            <v>Mixed Flowers // Day Changed to Sunday (20/12) Day Changed to Thursday (10/01) Skip 2 week (11/02)</v>
          </cell>
          <cell r="M53" t="str">
            <v>Mixed Flowers</v>
          </cell>
          <cell r="N53" t="str">
            <v>4  del of this cycle   -  0-cycles pmnt   Completed - Collect 0</v>
          </cell>
          <cell r="O53" t="str">
            <v>Sunflower ( 14 inch ) 2 R n W Car ( 14 inch ) 7   Grass</v>
          </cell>
          <cell r="P53" t="str">
            <v>P Spray Daisy ( 15 Inch ) 3 Mix Alstroemeria ( 12 Inch ) 7   FF Sachet + grass</v>
          </cell>
          <cell r="Q53" t="str">
            <v>Y Asiatic ( 14 Inch ) 2 P n W Glad ( 14 Inch ) 7   Grass</v>
          </cell>
          <cell r="R53" t="e">
            <v>#N/A</v>
          </cell>
          <cell r="S53" t="e">
            <v>#N/A</v>
          </cell>
          <cell r="T53" t="str">
            <v>Sunflower ( 12 Inch) 2 P n W Car ( 14 Inch ) 7   FF Sachet + Grass</v>
          </cell>
        </row>
        <row r="54">
          <cell r="A54">
            <v>2205</v>
          </cell>
          <cell r="B54" t="str">
            <v>Shubhra Gupta</v>
          </cell>
          <cell r="C54">
            <v>9811981626</v>
          </cell>
          <cell r="D54" t="str">
            <v>ES-245, Espace</v>
          </cell>
          <cell r="E54" t="str">
            <v>Nirvana Country</v>
          </cell>
          <cell r="F54" t="str">
            <v>Thursday</v>
          </cell>
          <cell r="G54" t="str">
            <v>9 AM - 12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Paytm From 9811656524 // No Orchids // Skip 1 week (01/10) Same flowers from last  2weeks, pls Check (06/11) Paytm from Gaurav Gupta (0703)</v>
          </cell>
          <cell r="L54" t="str">
            <v>ORCHID</v>
          </cell>
          <cell r="M54" t="str">
            <v>Same Flowers from 2 week, Pls Check (06/11)</v>
          </cell>
          <cell r="N54" t="str">
            <v>4  del of this cycle   -  0-cycles pmnt   Completed - Collect 0</v>
          </cell>
          <cell r="O54" t="str">
            <v>Mix Alstroemeria ( 12 Inch ) 16     Grass</v>
          </cell>
          <cell r="P54" t="str">
            <v>O Asiatic ( 14 Inch ) 3     Grass</v>
          </cell>
          <cell r="Q54" t="str">
            <v>P n W Glad ( 14 Inch ) 16     Grass</v>
          </cell>
          <cell r="R54" t="str">
            <v>Pur n P Car ( 14 inch ) 16     FF Sachet + Grass</v>
          </cell>
          <cell r="S54" t="str">
            <v>P n W Spray Daisy ( 14 Inch ) 5     FF Sachet + Grass</v>
          </cell>
          <cell r="T54" t="str">
            <v>B Daisy ( 12 Inch ) 16     Grass</v>
          </cell>
        </row>
        <row r="55">
          <cell r="A55">
            <v>2307</v>
          </cell>
          <cell r="B55" t="str">
            <v>Alpna Jain</v>
          </cell>
          <cell r="C55">
            <v>9599336609</v>
          </cell>
          <cell r="D55" t="str">
            <v>C-64, The Icon</v>
          </cell>
          <cell r="E55" t="str">
            <v>DLF Phase 5</v>
          </cell>
          <cell r="F55" t="str">
            <v>Thursday</v>
          </cell>
          <cell r="G55" t="str">
            <v>10 AM to 2:30 PM</v>
          </cell>
          <cell r="H55">
            <v>3000</v>
          </cell>
          <cell r="I55">
            <v>375</v>
          </cell>
          <cell r="J55" t="str">
            <v>Charm</v>
          </cell>
          <cell r="K55" t="str">
            <v>Thursday n Sunday // Hold today (08/02) Keep flowers outside of Door (17/05)</v>
          </cell>
          <cell r="M55" t="str">
            <v>Keep flowers outside of door always</v>
          </cell>
          <cell r="N55" t="str">
            <v>1  del of this cycle   -  1-cycles pmnt   Pending - Collect 3000</v>
          </cell>
          <cell r="O55" t="str">
            <v>Y Asiatic ( 15 Inch ) 3     Grass</v>
          </cell>
          <cell r="P55" t="str">
            <v>O Asiatic ( 14 Inch ) 3 Pls Leave Outside Door Pls Leave Outside Door Pls Leave Outside Door  Grass</v>
          </cell>
          <cell r="Q55" t="str">
            <v>Mix Alstroemeria ( 12 Inch ) 15 ( 12 Inch ) Leave outside of door don’t ring bell and no call   FF Sachet + Grass</v>
          </cell>
          <cell r="R55" t="str">
            <v>Sunflower ( 12 Inch ) 4 Leave Outside of door-- Don’t Call and Don’t Ring Bell    FF Sachet + Grass</v>
          </cell>
          <cell r="S55" t="str">
            <v>Pur n P Eustoma ( 12 Inch ) 4 Leave Outside of door -- Don’t call n don’t ring bell    FF Sachet + Grass</v>
          </cell>
          <cell r="T55" t="str">
            <v>Pur n P Car ( 14 Inch ) 15 Keep Flowers at door-- Don’t call or don’t ring Bell    FF Sachet + Grass</v>
          </cell>
        </row>
        <row r="56">
          <cell r="A56">
            <v>3241</v>
          </cell>
          <cell r="B56" t="str">
            <v>Sunanda</v>
          </cell>
          <cell r="C56">
            <v>8800994226</v>
          </cell>
          <cell r="D56" t="str">
            <v>C-084, The Icon</v>
          </cell>
          <cell r="E56" t="str">
            <v>DLF Phase 5</v>
          </cell>
          <cell r="F56" t="str">
            <v>Thursday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One Kind // Skip 1 week (13/01) HDTNP (26/02) HDTNP (04/03) HDTNP (12/03)</v>
          </cell>
          <cell r="M56" t="str">
            <v>One Kind</v>
          </cell>
          <cell r="N56" t="str">
            <v>1  del of this cycle   -  1-cycles pmnt   Pending - Collect 1450</v>
          </cell>
          <cell r="O56" t="str">
            <v>Y Asiatic ( 15 Inch ) 3     Grass</v>
          </cell>
          <cell r="P56" t="str">
            <v>Mix Alstroemeria ( 12 Inch ) 16     FF Sachet + grass</v>
          </cell>
          <cell r="Q56" t="str">
            <v>P n W Glad ( 14 Inch ) 16     Grass</v>
          </cell>
          <cell r="R56" t="str">
            <v>Pur Eustoma ( 12 Inch ) 3     FF Sachet + Grass</v>
          </cell>
          <cell r="S56" t="str">
            <v>Pur n P Car ( 14 inch ) 16     FF Sachet + Grass</v>
          </cell>
          <cell r="T56" t="str">
            <v>O Asiatic ( 14 Inch ) 3     Grass</v>
          </cell>
        </row>
        <row r="57">
          <cell r="A57">
            <v>3128</v>
          </cell>
          <cell r="B57" t="str">
            <v>Shikha Malhotra</v>
          </cell>
          <cell r="C57">
            <v>9873498869</v>
          </cell>
          <cell r="D57" t="str">
            <v>M-254, Park Place</v>
          </cell>
          <cell r="E57" t="str">
            <v>Golf Course Road</v>
          </cell>
          <cell r="F57" t="str">
            <v>Thursday</v>
          </cell>
          <cell r="G57" t="str">
            <v>4 PM to 7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Skip 2 week after 13th (07/11) Today Hold (04/12) Paytm From Vivek Malhotra //</v>
          </cell>
          <cell r="N57" t="str">
            <v>2  del of this cycle   -  1-cycles pmnt   Pending - Collect 1450</v>
          </cell>
          <cell r="O57" t="e">
            <v>#N/A</v>
          </cell>
          <cell r="P57" t="e">
            <v>#N/A</v>
          </cell>
          <cell r="Q57" t="e">
            <v>#N/A</v>
          </cell>
          <cell r="R57" t="e">
            <v>#N/A</v>
          </cell>
          <cell r="S57" t="str">
            <v>Pur n P Car ( 14 inch ) 16     FF Sachet + Grass</v>
          </cell>
          <cell r="T57" t="str">
            <v>P Asiatic ( 14 Inch ) 3  Collect Payment Collect Payment Collect Payment Grass</v>
          </cell>
        </row>
        <row r="58">
          <cell r="A58">
            <v>870</v>
          </cell>
          <cell r="B58" t="str">
            <v>Himabindu Kanchan</v>
          </cell>
          <cell r="C58">
            <v>9892501292</v>
          </cell>
          <cell r="D58" t="str">
            <v xml:space="preserve">D -13, Pinnacle Dlf Phase - 5 </v>
          </cell>
          <cell r="E58" t="str">
            <v>DLF Phase 5</v>
          </cell>
          <cell r="F58" t="str">
            <v>Thursday</v>
          </cell>
          <cell r="G58" t="str">
            <v>9 AM - 12 PM</v>
          </cell>
          <cell r="H58">
            <v>1600</v>
          </cell>
          <cell r="I58">
            <v>200</v>
          </cell>
          <cell r="J58" t="str">
            <v>Bloom</v>
          </cell>
          <cell r="K58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58" t="str">
            <v>1  del of this cycle   -  1-cycles pmnt   Pending - Collect 1600</v>
          </cell>
          <cell r="O58" t="str">
            <v>P n W Car ( 14 inch ) 7     FF Sachet + grass</v>
          </cell>
          <cell r="P58" t="str">
            <v>Sunflower ( 14 Inch ) 2     Grass</v>
          </cell>
          <cell r="Q58" t="str">
            <v>P n W Glad ( 14 Inch ) 7     Grass</v>
          </cell>
          <cell r="R58" t="str">
            <v>Pur n P Car ( 14 inch ) 7     FF Sachet + Grass</v>
          </cell>
          <cell r="S58" t="str">
            <v>Sunflower ( 12 Inch ) 2     FF Sachet + Grass</v>
          </cell>
          <cell r="T58" t="str">
            <v>Rajni ( 14 Inch ) 7     Grass</v>
          </cell>
        </row>
        <row r="59">
          <cell r="A59">
            <v>2666</v>
          </cell>
          <cell r="B59" t="str">
            <v>Gunjan Malhotra</v>
          </cell>
          <cell r="C59">
            <v>9971518253</v>
          </cell>
          <cell r="D59" t="str">
            <v>H. No. 298C, 1st Floor, Block G, Sushant Lok-2</v>
          </cell>
          <cell r="E59" t="str">
            <v>Artemis</v>
          </cell>
          <cell r="F59" t="str">
            <v>Thursday</v>
          </cell>
          <cell r="G59" t="str">
            <v>4 PM to 7 PM</v>
          </cell>
          <cell r="H59">
            <v>1450</v>
          </cell>
          <cell r="I59">
            <v>362.5</v>
          </cell>
          <cell r="J59" t="str">
            <v>Bliss</v>
          </cell>
          <cell r="K59" t="str">
            <v>Paytm From Gunjan Malhotra // Hold n start from 04th Sep (02/08) Change day to Thursday (31/08) Do not count last Del (20/12) Skip 1 week (02/02) Skip 1 week (25/03)</v>
          </cell>
          <cell r="N59" t="str">
            <v>2  del of this cycle   -  0-cycles pmnt   Completed - Collect 0</v>
          </cell>
          <cell r="O59" t="str">
            <v>P Spray daisy ( 15 Inch ) 3     FF Sachet + Grass</v>
          </cell>
          <cell r="P59" t="str">
            <v>O Asiatic ( 14 Inch ) 2     Grass</v>
          </cell>
          <cell r="Q59" t="str">
            <v>P n W Glad ( 14 Inch ) 9     Grass</v>
          </cell>
          <cell r="R59" t="str">
            <v>Pur n P Car ( 14 inch ) 9     Grass</v>
          </cell>
          <cell r="S59" t="str">
            <v>Mix Alstroemeria ( 12 Inch ) 16     FF Sachet + Grass</v>
          </cell>
          <cell r="T59" t="str">
            <v>Pur Eustoma ( 12 Inch ) 3     FF Sachet + Grass</v>
          </cell>
        </row>
        <row r="60">
          <cell r="A60">
            <v>3212</v>
          </cell>
          <cell r="B60" t="str">
            <v>Sheeba Rana</v>
          </cell>
          <cell r="C60">
            <v>9958849523</v>
          </cell>
          <cell r="D60" t="str">
            <v>T-14/1202, The Close North</v>
          </cell>
          <cell r="E60" t="str">
            <v>Nirvana Country</v>
          </cell>
          <cell r="F60" t="str">
            <v>Thursday</v>
          </cell>
          <cell r="G60" t="str">
            <v>4 Pm to 7 PM</v>
          </cell>
          <cell r="H60">
            <v>1450</v>
          </cell>
          <cell r="I60">
            <v>1450</v>
          </cell>
          <cell r="J60" t="str">
            <v>Bliss</v>
          </cell>
          <cell r="K60" t="str">
            <v>Skip 1 week (31/12)</v>
          </cell>
          <cell r="N60" t="str">
            <v>1  del of this cycle   -  1-cycles pmnt   Pending - Collect 1450</v>
          </cell>
          <cell r="O60" t="str">
            <v>P Spray daisy ( 15 Inch ) 3     FF Sachet + Grass</v>
          </cell>
          <cell r="P60" t="str">
            <v>Sunflower 2     Grass</v>
          </cell>
          <cell r="Q60" t="str">
            <v>R n W Car ( 14 inch ) 9     FF Sachet + Grass</v>
          </cell>
          <cell r="R60" t="str">
            <v>P n W Glad ( 14 Inch ) 9     Gras</v>
          </cell>
          <cell r="S60" t="str">
            <v>P Asiatic ( 14 Inch ) 2     Grass</v>
          </cell>
          <cell r="T60" t="str">
            <v>Pur n P Car ( 14 Inch ) 16     FF Sachet + Grass</v>
          </cell>
        </row>
        <row r="61">
          <cell r="A61">
            <v>2716</v>
          </cell>
          <cell r="B61" t="str">
            <v>Simmi Chopra</v>
          </cell>
          <cell r="C61">
            <v>9891744488</v>
          </cell>
          <cell r="D61" t="str">
            <v>B/145, Suncity, Golf Course Road</v>
          </cell>
          <cell r="E61" t="str">
            <v>Golf Course Road</v>
          </cell>
          <cell r="F61" t="str">
            <v>Thursday</v>
          </cell>
          <cell r="G61" t="str">
            <v>9 AM - 12 PM</v>
          </cell>
          <cell r="H61">
            <v>2750</v>
          </cell>
          <cell r="I61">
            <v>687.5</v>
          </cell>
          <cell r="J61" t="str">
            <v>Elation</v>
          </cell>
          <cell r="K61" t="str">
            <v>Upgrade to Elation (27/08) Send 10 B daisy next extra (04/10) Today Hold (04/12) Send one Del Tom (30/12)</v>
          </cell>
          <cell r="M61" t="str">
            <v>Send on del tom and no del on 1st Jan (30/12)</v>
          </cell>
          <cell r="N61" t="str">
            <v>1  del of this cycle   -  1-cycles pmnt   Pending - Collect 2800</v>
          </cell>
          <cell r="O61" t="str">
            <v>Y Asiatic ( 15 Inch ) 3 Mix Alstroemeria ( 12 Inch ) 16   2 Gypsola</v>
          </cell>
          <cell r="P61" t="str">
            <v>Pur n p Eustoma 4 P n W Glad ( 14 Inch ) 16   2 Limonium + FF Sachet</v>
          </cell>
          <cell r="Q61" t="str">
            <v>P n Y Spray Dausy ( 14 Inch ) 5 P n W Car  ( 14 Inch ) 16   2 Gypsola + FF Sachet</v>
          </cell>
          <cell r="R61" t="str">
            <v>Sunflower ( 12 Inch ) 4 Mix Alstroemeria ( 12 Inch ) 16   2 Limonium + FF Sachet</v>
          </cell>
          <cell r="S61" t="str">
            <v xml:space="preserve">P Asiatic ( 14 Inch ) 3 P n W Glad ( 14 Inch ) 16   2 Gypsola </v>
          </cell>
          <cell r="T61" t="str">
            <v>Pur n P Eustoma ( 12 Inch ) 4 Pur n P Car ( 14 Inch ) 16   2 Limonium + FF Sachet</v>
          </cell>
        </row>
        <row r="62">
          <cell r="A62">
            <v>571</v>
          </cell>
          <cell r="B62" t="str">
            <v>Mrs. Singh</v>
          </cell>
          <cell r="C62">
            <v>9873099320</v>
          </cell>
          <cell r="D62" t="str">
            <v>D 42, pinnacle, Dlf ph 5, Golf course road</v>
          </cell>
          <cell r="E62" t="str">
            <v>DLF Phase 5</v>
          </cell>
          <cell r="F62" t="str">
            <v>Thursday</v>
          </cell>
          <cell r="G62" t="str">
            <v>9 AM - 12 PM</v>
          </cell>
          <cell r="H62">
            <v>1600</v>
          </cell>
          <cell r="I62">
            <v>200</v>
          </cell>
          <cell r="J62" t="str">
            <v>Bloom</v>
          </cell>
          <cell r="K62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62" t="str">
            <v>2  del of this cycle   -  1-cycles pmnt   Pending - Collect 1600</v>
          </cell>
          <cell r="O62" t="str">
            <v>P n W Glad ( 14 inch ) 7     Grass</v>
          </cell>
          <cell r="P62" t="str">
            <v>Sunflower ( 14 Inch ) 2     FF Sachet + Grass</v>
          </cell>
          <cell r="Q62" t="str">
            <v>Mix Alstroemeria ( 12 Inch ) 7     FF Sachet + Grass</v>
          </cell>
          <cell r="R62" t="str">
            <v>Pur n P Car ( 14 inch ) 7     FF Sachet + Grass</v>
          </cell>
          <cell r="S62" t="str">
            <v>Sunflower ( 12 Inch ) 2     FF Sachet + Grass</v>
          </cell>
          <cell r="T62" t="str">
            <v>P n W Glad ( 14 Inch ) 7     Grass</v>
          </cell>
        </row>
        <row r="63">
          <cell r="A63">
            <v>309</v>
          </cell>
          <cell r="B63" t="str">
            <v>Ms Swati Bhise--before 10</v>
          </cell>
          <cell r="C63">
            <v>9811806611</v>
          </cell>
          <cell r="D63" t="str">
            <v xml:space="preserve">TG-5/4B Orchid Garden Sun city Sec - 54 </v>
          </cell>
          <cell r="E63" t="str">
            <v>Golf Course Road</v>
          </cell>
          <cell r="F63" t="str">
            <v>Thursday</v>
          </cell>
          <cell r="G63" t="str">
            <v>9 AM - 12 PM</v>
          </cell>
          <cell r="H63">
            <v>2750</v>
          </cell>
          <cell r="I63">
            <v>687.5</v>
          </cell>
          <cell r="J63" t="str">
            <v>Elation</v>
          </cell>
          <cell r="K63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63" t="str">
            <v>Upgrade to Elation next (14/08)</v>
          </cell>
          <cell r="N63" t="str">
            <v>2  del of this cycle   -  1-cycles pmnt   Pending - Collect 2750</v>
          </cell>
          <cell r="O63" t="e">
            <v>#N/A</v>
          </cell>
          <cell r="P63" t="str">
            <v>R n W Car ( 14 Inch ) 32     2 Limonium + FF Sachet</v>
          </cell>
          <cell r="Q63" t="e">
            <v>#N/A</v>
          </cell>
          <cell r="R63" t="str">
            <v>P Asiatic ( 14 Inch )  6     2 Gypsola</v>
          </cell>
          <cell r="S63" t="str">
            <v>P n W Glad ( 14 Inch ) 32     2 Limonium</v>
          </cell>
          <cell r="T63" t="str">
            <v>Pur n P Eustoma ( 12 Inch ) 6  Collect Payment Collect Payment Collect Payment 2 Limonium + FF Sachet</v>
          </cell>
        </row>
        <row r="64">
          <cell r="A64">
            <v>2868</v>
          </cell>
          <cell r="B64" t="str">
            <v>Group Captain Prabal Bir Singh</v>
          </cell>
          <cell r="C64">
            <v>7827468667</v>
          </cell>
          <cell r="D64" t="str">
            <v>603, Shivshakti CGHS, Plot-94, Near Ati Chowk</v>
          </cell>
          <cell r="E64" t="str">
            <v>DLF Phase 5</v>
          </cell>
          <cell r="F64" t="str">
            <v>Thursday</v>
          </cell>
          <cell r="G64" t="str">
            <v>9 AM to 2 PM</v>
          </cell>
          <cell r="H64">
            <v>999</v>
          </cell>
          <cell r="I64">
            <v>249.75</v>
          </cell>
          <cell r="J64" t="str">
            <v>Delight</v>
          </cell>
          <cell r="N64" t="str">
            <v>3  del of this cycle   -  0-cycles pmnt   Completed - Collect 0</v>
          </cell>
          <cell r="O64" t="str">
            <v>Mix Alstroemeria ( 12 Inch ) 9     Grass</v>
          </cell>
          <cell r="P64" t="str">
            <v>O Asiatic ( 14 Inch ) 2     Grass</v>
          </cell>
          <cell r="Q64" t="str">
            <v>R n W Car ( 14 inch ) 9     FF Sachet + Grass</v>
          </cell>
          <cell r="R64" t="str">
            <v>P n W Glad ( 14 Inch ) 9     Gras</v>
          </cell>
          <cell r="S64" t="str">
            <v>Sunflower ( 12 Inch ) 2     FF Sachet + Grass</v>
          </cell>
          <cell r="T64" t="str">
            <v>Rajni ( 14 Inch ) 9     Grass</v>
          </cell>
        </row>
        <row r="65">
          <cell r="A65">
            <v>1656</v>
          </cell>
          <cell r="B65" t="str">
            <v>Eva-Pinnacle</v>
          </cell>
          <cell r="C65">
            <v>9560609907</v>
          </cell>
          <cell r="D65" t="str">
            <v>C-93, The Pinnacle</v>
          </cell>
          <cell r="E65" t="str">
            <v>DLF Phase 5</v>
          </cell>
          <cell r="F65" t="str">
            <v>Thursday</v>
          </cell>
          <cell r="G65" t="str">
            <v>9:30 Am to 2 PM</v>
          </cell>
          <cell r="H65">
            <v>999</v>
          </cell>
          <cell r="I65">
            <v>249.75</v>
          </cell>
          <cell r="J65" t="str">
            <v>Delight</v>
          </cell>
          <cell r="K65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65" t="str">
            <v>3  del of this cycle   -  0-cycles pmnt   Completed - Collect 0</v>
          </cell>
          <cell r="O65" t="str">
            <v>Mix Alstroemeria ( 12 Inch ) 9     Grass</v>
          </cell>
          <cell r="P65" t="str">
            <v>P n W Glad ( 14 Inch ) 9     Grass</v>
          </cell>
          <cell r="Q65" t="str">
            <v>Y Spray Daisy ( 15 Inch ) 3     FF Sachet + Grass</v>
          </cell>
          <cell r="R65" t="str">
            <v>Pur n P Car ( 14 inch ) 9     Grass</v>
          </cell>
          <cell r="S65" t="str">
            <v>Sunflower ( 12 Inch ) 2     FF Sachet + Grass</v>
          </cell>
          <cell r="T65" t="str">
            <v>Rajni ( 14 Inch ) 9     Grass</v>
          </cell>
        </row>
        <row r="66">
          <cell r="A66">
            <v>849</v>
          </cell>
          <cell r="B66" t="str">
            <v>Shalini Sharma</v>
          </cell>
          <cell r="C66">
            <v>7838500808</v>
          </cell>
          <cell r="D66" t="str">
            <v>208, Espace</v>
          </cell>
          <cell r="E66" t="str">
            <v>Nirvana Country</v>
          </cell>
          <cell r="F66" t="str">
            <v>Thursday</v>
          </cell>
          <cell r="G66" t="str">
            <v>9:30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66" t="str">
            <v>GULDAWARI n ORCHID</v>
          </cell>
          <cell r="M66" t="str">
            <v>Lilies Next (20/05)</v>
          </cell>
          <cell r="N66" t="str">
            <v>2  del of this cycle   -  1-cycles pmnt   Pending - Collect 1450</v>
          </cell>
          <cell r="O66" t="str">
            <v>Mix Car 16     Grass</v>
          </cell>
          <cell r="P66" t="str">
            <v>Mix Alstroemeria ( 12 Inch ) 16     FF Sachet + grass</v>
          </cell>
          <cell r="Q66" t="str">
            <v>P n W Glad ( 14 Inch ) 16     Grass</v>
          </cell>
          <cell r="R66" t="str">
            <v>P Asiatic ( 14 Inch )  3     Grass</v>
          </cell>
          <cell r="S66" t="str">
            <v>P n Y Spray Daisy ( 14 Inch ) 5     FF Sachet + Grass</v>
          </cell>
          <cell r="T66" t="str">
            <v>Pur n P Car ( 14 Inch ) 16  Collect Payment Collect Payment Collect Payment FF Sachet + Grass</v>
          </cell>
        </row>
        <row r="67">
          <cell r="A67">
            <v>2250</v>
          </cell>
          <cell r="B67" t="str">
            <v>Saloni Gupta</v>
          </cell>
          <cell r="C67">
            <v>9810796682</v>
          </cell>
          <cell r="D67" t="str">
            <v>338, 3rd Floor, Espace</v>
          </cell>
          <cell r="E67" t="str">
            <v>Nirvana Country</v>
          </cell>
          <cell r="F67" t="str">
            <v>Sunday</v>
          </cell>
          <cell r="G67" t="str">
            <v>9 AM - 12 PM</v>
          </cell>
          <cell r="H67">
            <v>3088</v>
          </cell>
          <cell r="I67">
            <v>386</v>
          </cell>
          <cell r="J67" t="str">
            <v>Cutsomized-Biweekly</v>
          </cell>
          <cell r="K67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67" t="str">
            <v>1  del of this cycle   -  1-cycles pmnt   Pending - Collect 4633</v>
          </cell>
          <cell r="O67" t="e">
            <v>#N/A</v>
          </cell>
          <cell r="P67" t="e">
            <v>#N/A</v>
          </cell>
          <cell r="Q67" t="e">
            <v>#N/A</v>
          </cell>
          <cell r="R67" t="e">
            <v>#N/A</v>
          </cell>
          <cell r="S67" t="e">
            <v>#N/A</v>
          </cell>
          <cell r="T67" t="str">
            <v>W Asiatic ( 14 Inch ) 3     Grass</v>
          </cell>
        </row>
        <row r="68">
          <cell r="A68">
            <v>2569</v>
          </cell>
          <cell r="B68" t="str">
            <v>Mrs. Verma</v>
          </cell>
          <cell r="C68">
            <v>9971135993</v>
          </cell>
          <cell r="D68" t="str">
            <v>A1/192, 1st Floor, Sec 55, Sushant Lok-2, Near Orchid International School</v>
          </cell>
          <cell r="E68" t="str">
            <v>Sector 56</v>
          </cell>
          <cell r="F68" t="str">
            <v>Thursday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68" t="str">
            <v>Sunflower</v>
          </cell>
          <cell r="N68" t="str">
            <v>4  del of this cycle   -  0-cycles pmnt   CompletedNO COLLECTION-we have extra money - Collect -50</v>
          </cell>
          <cell r="O68" t="str">
            <v>Sunflower ( 14 inch ) 2 R n W Car ( 14 inch ) 7   Grass</v>
          </cell>
          <cell r="P68" t="str">
            <v>P Spray Daisy ( 15 Inch ) 3 P n W Glad ( 14 Inch ) 7   FF Sachet + grass</v>
          </cell>
          <cell r="Q68" t="str">
            <v>W Asiatic ( 14 Inch ) 2 Mix Alstroemeria ( 12 Inch ) 7   Grass</v>
          </cell>
          <cell r="R68" t="str">
            <v>Pur Eustoma ( 12 Inch ) 2 Pur n P Car ( 14 inch ) 7   FF Sachet + Grass</v>
          </cell>
          <cell r="S68" t="str">
            <v>Sunflower ( 12 Inch ) 2 P n W Glad ( 14 Inch ) 7   FF Sachet + Grass</v>
          </cell>
          <cell r="T68" t="str">
            <v>O Asiatic ( 14 Inch ) 2 B Daisy ( 12 Inch ) 7   Grass</v>
          </cell>
        </row>
        <row r="69">
          <cell r="A69">
            <v>1438</v>
          </cell>
          <cell r="B69" t="str">
            <v>Aishwarya G Aiyar</v>
          </cell>
          <cell r="C69">
            <v>9884857311</v>
          </cell>
          <cell r="D69" t="str">
            <v>A-173, The Pinnacle</v>
          </cell>
          <cell r="E69" t="str">
            <v>DLF Phase 5</v>
          </cell>
          <cell r="F69" t="str">
            <v>Thursday</v>
          </cell>
          <cell r="G69" t="str">
            <v>9 AM - 12 PM</v>
          </cell>
          <cell r="H69">
            <v>1600</v>
          </cell>
          <cell r="I69">
            <v>200</v>
          </cell>
          <cell r="J69" t="str">
            <v>Bloom</v>
          </cell>
          <cell r="K69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69" t="str">
            <v>4  del of this cycle   -  0-cycles pmnt   Completed - Collect 0</v>
          </cell>
          <cell r="O69" t="str">
            <v>P n W Glad ( 14 inch ) 7     Grass</v>
          </cell>
          <cell r="P69" t="str">
            <v>R n W Car ( 14 Inch ) 7     FF Sachet + Grass</v>
          </cell>
          <cell r="Q69" t="str">
            <v>Mix Alstroemeria ( 12 Inch ) 7     FF Sachet + Grass</v>
          </cell>
          <cell r="R69" t="str">
            <v>P n W Glad ( 14 Inch ) 7     Grass</v>
          </cell>
          <cell r="S69" t="e">
            <v>#N/A</v>
          </cell>
          <cell r="T69" t="str">
            <v>P n W Car ( 14 inch ) 7     FF Sachet + Grass</v>
          </cell>
        </row>
        <row r="70">
          <cell r="A70">
            <v>826</v>
          </cell>
          <cell r="B70" t="str">
            <v>Anuradha M Agarwal</v>
          </cell>
          <cell r="C70">
            <v>9811201606</v>
          </cell>
          <cell r="D70" t="str">
            <v>A-82, Westend Heights</v>
          </cell>
          <cell r="E70" t="str">
            <v>DLF Phase 5</v>
          </cell>
          <cell r="F70" t="str">
            <v>Thursday</v>
          </cell>
          <cell r="G70" t="str">
            <v>9 AM to 2 PM</v>
          </cell>
          <cell r="H70">
            <v>999</v>
          </cell>
          <cell r="I70">
            <v>249.75</v>
          </cell>
          <cell r="J70" t="str">
            <v>Delight</v>
          </cell>
          <cell r="K70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70" t="str">
            <v>2  del of this cycle   -  0-cycles pmnt   Completed - Collect 0</v>
          </cell>
          <cell r="O70" t="str">
            <v>Mix Alstroemeria ( 12 Inch ) 9     Grass</v>
          </cell>
          <cell r="P70" t="str">
            <v>R n W Car ( 14 Inch ) 9     FF Sachet + Grass</v>
          </cell>
          <cell r="Q70" t="str">
            <v>P Spray Daisy ( 14 Inch ) 3     FF Sachet + Grass</v>
          </cell>
          <cell r="R70" t="str">
            <v>P n W Glad ( 14 Inch ) 9     Gras</v>
          </cell>
          <cell r="S70" t="str">
            <v>O Asiatic ( 14 Inch ) 3     Grass</v>
          </cell>
          <cell r="T70" t="str">
            <v>B Daisy ( 12 Inch ) 9     Grass</v>
          </cell>
        </row>
        <row r="71">
          <cell r="A71" t="str">
            <v>B56271</v>
          </cell>
          <cell r="B71">
            <v>9711225623</v>
          </cell>
          <cell r="C71">
            <v>9711225623</v>
          </cell>
          <cell r="D71" t="str">
            <v>T-11/901, The Close South</v>
          </cell>
          <cell r="E71" t="str">
            <v>Nirvana Country</v>
          </cell>
          <cell r="F71" t="str">
            <v>Thursday</v>
          </cell>
          <cell r="G71" t="str">
            <v>By 10 AM</v>
          </cell>
          <cell r="H71">
            <v>900</v>
          </cell>
          <cell r="I71">
            <v>900</v>
          </cell>
          <cell r="J71" t="str">
            <v>Bouquet</v>
          </cell>
          <cell r="K71" t="str">
            <v>8 P n W Spray Daisy in Single Wrap</v>
          </cell>
          <cell r="N71" t="str">
            <v>1  del of this cycle   -  1-cycles pmnt   Pending - Collect 900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 xml:space="preserve">P n W Spray Daisy 8 Single Wrap    </v>
          </cell>
        </row>
        <row r="72">
          <cell r="A72">
            <v>442</v>
          </cell>
          <cell r="B72" t="str">
            <v>Ruchi Mathure--Before 10:30 AM</v>
          </cell>
          <cell r="C72">
            <v>9871265555</v>
          </cell>
          <cell r="D72" t="str">
            <v>D-013, Westend height, DLF-5</v>
          </cell>
          <cell r="E72" t="str">
            <v>DLF Phase 5</v>
          </cell>
          <cell r="F72" t="str">
            <v>Thursday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72" t="str">
            <v>Sunflower</v>
          </cell>
          <cell r="M72" t="str">
            <v>No White even in mixed // Skip 23rd and sned on 26th (20/04)</v>
          </cell>
          <cell r="N72" t="str">
            <v>4  del of this cycle   -  0-cycles pmnt   Completed - Collect 0</v>
          </cell>
          <cell r="O72" t="e">
            <v>#N/A</v>
          </cell>
          <cell r="P72" t="str">
            <v>Mix Alstroemeria ( 12 Inch ) 16     FF Sachet + grass</v>
          </cell>
          <cell r="Q72" t="str">
            <v>W Asiatic ( 14 Inch ) 3     Grass</v>
          </cell>
          <cell r="R72" t="str">
            <v>P Glad ( 14 Inch ) 16 No White     Grass</v>
          </cell>
          <cell r="S72" t="str">
            <v>P n Y Spray Daisy ( 14 Inch ) 5 No White Flower  No White Flower   FF Sachet + Grass</v>
          </cell>
          <cell r="T72" t="str">
            <v>Pur n P Car ( 14 Inch ) 16     FF Sachet + Grass</v>
          </cell>
        </row>
        <row r="73">
          <cell r="A73">
            <v>2076</v>
          </cell>
          <cell r="B73" t="str">
            <v>Divya Jain Midas</v>
          </cell>
          <cell r="C73">
            <v>9910172233</v>
          </cell>
          <cell r="D73" t="str">
            <v>Midas Touch, 1st Floor, A Block, Nirvana Courtyard</v>
          </cell>
          <cell r="E73" t="str">
            <v>Nirvana Country</v>
          </cell>
          <cell r="F73" t="str">
            <v>Thursday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73" t="str">
            <v>1  del of this cycle   -  1-cycles pmnt   Pending - Collect 1450</v>
          </cell>
          <cell r="O73" t="str">
            <v>P Asiatic ( 15 inch ) 3     Grass</v>
          </cell>
          <cell r="P73" t="str">
            <v>R n W Car ( 14 Inch ) 16     FF Sachet + grass</v>
          </cell>
          <cell r="Q73" t="str">
            <v>P n W Glad ( 14 Inch ) 16     Grass</v>
          </cell>
          <cell r="R73" t="str">
            <v>P n Y Spray Daisy ( 14 Inch ) 5     FF Sachet + Grass</v>
          </cell>
          <cell r="S73" t="str">
            <v>Sunflower ( 12 Inch ) 4     FF Sachet + Grass</v>
          </cell>
          <cell r="T73" t="str">
            <v>Pur Eustoma ( 12 Inch ) 3     FF Sachet + Grass</v>
          </cell>
        </row>
        <row r="74">
          <cell r="A74">
            <v>2865</v>
          </cell>
          <cell r="B74" t="str">
            <v>Shilpi Karan Bhalla</v>
          </cell>
          <cell r="C74">
            <v>9312239638</v>
          </cell>
          <cell r="D74" t="str">
            <v>A1/192, 4th Floor, Sec 55</v>
          </cell>
          <cell r="E74" t="str">
            <v>Sector 56</v>
          </cell>
          <cell r="F74" t="str">
            <v>Thursday</v>
          </cell>
          <cell r="G74" t="str">
            <v>9:30 Am to 2 PM</v>
          </cell>
          <cell r="H74">
            <v>999</v>
          </cell>
          <cell r="I74">
            <v>249.75</v>
          </cell>
          <cell r="J74" t="str">
            <v>Delight</v>
          </cell>
          <cell r="K74" t="str">
            <v>Hold Due to non payment (17/12) Name and num,ber changed (26/12) Hold due to non payment (04/02) HDTNP (19/02) HDTNP (11/06)</v>
          </cell>
          <cell r="N74" t="str">
            <v>3  del of this cycle   -  0-cycles pmnt   CompletedNO COLLECTION-we have extra money - Collect -10</v>
          </cell>
          <cell r="O74" t="str">
            <v>R n W Car ( 14 inch ) 9     FF Sachet + Grass</v>
          </cell>
          <cell r="P74" t="str">
            <v>O Asiatic ( 14 Inch ) 2     Grass</v>
          </cell>
          <cell r="Q74" t="str">
            <v>P n W Glad ( 14 Inch ) 9     Grass</v>
          </cell>
          <cell r="R74" t="e">
            <v>#N/A</v>
          </cell>
          <cell r="S74" t="str">
            <v>Mix Alstroemeria ( 12 Inch ) 9     FF Sachet + Grass</v>
          </cell>
          <cell r="T74" t="str">
            <v>Y Spray Daisy ( 14 Inch ) 3     FF Sachet + Grass</v>
          </cell>
        </row>
        <row r="75">
          <cell r="A75" t="str">
            <v>B56270</v>
          </cell>
          <cell r="B75" t="str">
            <v>Pooja Ma'am -- Jasbir Singh</v>
          </cell>
          <cell r="C75" t="str">
            <v>9997092561 // 999453496</v>
          </cell>
          <cell r="D75" t="str">
            <v>Amber, 4th Floor, Universal Trade Centre</v>
          </cell>
          <cell r="E75" t="str">
            <v>Sohna Road 1</v>
          </cell>
          <cell r="F75" t="str">
            <v>Thursday</v>
          </cell>
          <cell r="G75" t="str">
            <v>By 8:30 AM</v>
          </cell>
          <cell r="H75">
            <v>6400</v>
          </cell>
          <cell r="I75">
            <v>6400</v>
          </cell>
          <cell r="J75" t="str">
            <v>Bouquet</v>
          </cell>
          <cell r="K75" t="str">
            <v>8 Bouquet with 3 Sunflower and 4 B daisy</v>
          </cell>
          <cell r="N75" t="str">
            <v>1  del of this cycle   -  0-cycles pmnt   In Process - Collect 0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e">
            <v>#N/A</v>
          </cell>
          <cell r="T75" t="str">
            <v xml:space="preserve">( Sunflower + B Daisy ) -- 8 Bouquets ( 24 + 32) Front Tissue Wtap 8 Bouquet with 3 Sunflower and 4 B daisy   </v>
          </cell>
        </row>
        <row r="76">
          <cell r="A76">
            <v>2118</v>
          </cell>
          <cell r="B76" t="str">
            <v>Shantanu</v>
          </cell>
          <cell r="C76">
            <v>8800631116</v>
          </cell>
          <cell r="D76" t="str">
            <v>172, 1st Floor, Espace</v>
          </cell>
          <cell r="E76" t="str">
            <v>Nirvana Country</v>
          </cell>
          <cell r="F76" t="str">
            <v>Saturday</v>
          </cell>
          <cell r="G76" t="str">
            <v>9 AM - 12 PM</v>
          </cell>
          <cell r="H76">
            <v>6880</v>
          </cell>
          <cell r="I76">
            <v>1720</v>
          </cell>
          <cell r="J76" t="str">
            <v>Customized</v>
          </cell>
          <cell r="K76" t="str">
            <v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v>
          </cell>
          <cell r="N76" t="str">
            <v>1  del of this cycle   -  1-cycles pmnt   Pending - Collect 6880</v>
          </cell>
          <cell r="O76" t="e">
            <v>#N/A</v>
          </cell>
          <cell r="P76" t="e">
            <v>#N/A</v>
          </cell>
          <cell r="Q76" t="e">
            <v>#N/A</v>
          </cell>
          <cell r="R76" t="str">
            <v>P Asiatic + W Oriental + Sunflower  + Glad  + Pur n P Car + P n Y Spray Daisy + Mix Alstroemeria 2 + 1 + 1 + 10 + 10 + 6 + 5     4 Areca Palm + 2 Gypsola + 2 Limonium</v>
          </cell>
          <cell r="S76" t="e">
            <v>#N/A</v>
          </cell>
          <cell r="T76" t="str">
            <v>O Asiatic + P Oriental + Glad + P n W Car + G n Y Spray Daisy + Mix Alstroemeria 2 + 1 + 10 + 10 + 6 + 5     4 Areca Palm + 2 Gypsola + 2 Limonium</v>
          </cell>
        </row>
        <row r="77">
          <cell r="A77">
            <v>2406</v>
          </cell>
          <cell r="B77" t="str">
            <v>Vermeen Kapoor</v>
          </cell>
          <cell r="C77">
            <v>9873458198</v>
          </cell>
          <cell r="D77" t="str">
            <v>B-59, South City 2</v>
          </cell>
          <cell r="E77" t="str">
            <v>Nirvana Country</v>
          </cell>
          <cell r="F77" t="str">
            <v>Thursday</v>
          </cell>
          <cell r="G77" t="str">
            <v>9:30 Am to 2 PM</v>
          </cell>
          <cell r="H77">
            <v>1450</v>
          </cell>
          <cell r="I77">
            <v>362.5</v>
          </cell>
          <cell r="J77" t="str">
            <v>Bliss</v>
          </cell>
          <cell r="K77" t="str">
            <v>Referred by Swati Khandelwal?/ Mixed Flowers // Send replace,ent tom (19/02) Day Changed to Thursday (08/04) today returned-send tom (24/07)</v>
          </cell>
          <cell r="M77" t="str">
            <v>Mixed Flowers</v>
          </cell>
          <cell r="N77" t="str">
            <v>1  del of this cycle   -  0-cycles pmnt   Completed - Collect 0</v>
          </cell>
          <cell r="O77" t="str">
            <v>Sunflower ( 14 inch ) 2 R n W Car ( 14 inch ) 7   Grass</v>
          </cell>
          <cell r="P77" t="str">
            <v>P Spray Daisy ( 15 Inch ) 3 P n W Glad ( 14 Inch ) 7   FF Sachet + grass</v>
          </cell>
          <cell r="Q77" t="str">
            <v>W Asiatic ( 14 Inch ) 2 Mix Alstroemeria ( 12 Inch ) 7   Grass</v>
          </cell>
          <cell r="R77" t="str">
            <v>Pur Eustoma ( 12 Inch ) 2 Pur n P Car ( 14 inch ) 7   FF Sachet + Grass</v>
          </cell>
          <cell r="S77" t="str">
            <v>Sunflower ( 12 Inch ) 2 P n W Glad ( 14 Inch ) 7   FF Sachet + Grass</v>
          </cell>
          <cell r="T77" t="str">
            <v>P Asiatic ( 14 Inch ) 2 B Daisy ( 12 Inch ) 7   Grass</v>
          </cell>
        </row>
        <row r="78">
          <cell r="A78">
            <v>3122</v>
          </cell>
          <cell r="B78" t="str">
            <v>Abha Ghosh</v>
          </cell>
          <cell r="C78">
            <v>9650001674</v>
          </cell>
          <cell r="D78" t="str">
            <v>6A, Galicia, Raisina Residency, Sec 59</v>
          </cell>
          <cell r="E78" t="str">
            <v>Ghata</v>
          </cell>
          <cell r="F78" t="str">
            <v>Thursday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Returned yesterday (07/11)</v>
          </cell>
          <cell r="N78" t="str">
            <v>2  del of this cycle   -  0-cycles pmnt   Completed - Collect 0</v>
          </cell>
          <cell r="O78" t="str">
            <v>P n Y Spray Daisy ( 15 Inch ) 5     FF Sachet + Grass</v>
          </cell>
          <cell r="P78" t="str">
            <v>O Asiatic ( 14 Inch ) 3     Grass</v>
          </cell>
          <cell r="Q78" t="str">
            <v>P n W Glad ( 14 Inch ) 16     Grass</v>
          </cell>
          <cell r="R78" t="str">
            <v>Pur n P Car ( 14 inch ) 16     FF Sachet + Grass</v>
          </cell>
          <cell r="S78" t="str">
            <v>Sunflower ( 12 Inch ) 4     FF Sachet + Grass</v>
          </cell>
          <cell r="T78" t="str">
            <v>B Daisy ( 12 Inch ) 16     Grass</v>
          </cell>
        </row>
        <row r="79">
          <cell r="A79">
            <v>949</v>
          </cell>
          <cell r="B79" t="str">
            <v>Meenu Amrith-- Evening Only</v>
          </cell>
          <cell r="C79">
            <v>9891350735</v>
          </cell>
          <cell r="D79" t="str">
            <v>H. No. 579, Ground Floor,Near Dell-- Sec-43</v>
          </cell>
          <cell r="E79" t="str">
            <v>DLF Phase 5</v>
          </cell>
          <cell r="F79" t="str">
            <v>Thursday</v>
          </cell>
          <cell r="G79" t="str">
            <v>10 AM to 2:30 PM</v>
          </cell>
          <cell r="H79">
            <v>1450</v>
          </cell>
          <cell r="I79">
            <v>362.5</v>
          </cell>
          <cell r="J79" t="str">
            <v>Bliss</v>
          </cell>
          <cell r="K79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9" t="str">
            <v>2  del of this cycle   -  0-cycles pmnt   Completed - Collect 0</v>
          </cell>
          <cell r="O79" t="str">
            <v>Mix Alstroemeria ( 12 Inch ) 16     Grass</v>
          </cell>
          <cell r="P79" t="str">
            <v>P n W Glad ( 14 Inch ) 16     Grass</v>
          </cell>
          <cell r="Q79" t="str">
            <v>P n Y Spray Dausy ( 14 Inch ) 5     FF Sachet + Grass</v>
          </cell>
          <cell r="R79" t="str">
            <v>P Asiatic ( 14 Inch )  3     Grass</v>
          </cell>
          <cell r="S79" t="str">
            <v>Pur n P Car ( 14 inch ) 16     FF Sachet + Grass</v>
          </cell>
          <cell r="T79" t="str">
            <v>Pur Eustoma ( 12 Inch ) 3     FF Sachet + Grass</v>
          </cell>
        </row>
        <row r="80">
          <cell r="A80">
            <v>2481</v>
          </cell>
          <cell r="B80" t="str">
            <v>Puneet Mahajan</v>
          </cell>
          <cell r="C80">
            <v>9810110847</v>
          </cell>
          <cell r="D80" t="str">
            <v>D-19, 4th Floor, Siuth City -2, Opp Arcadia Mall</v>
          </cell>
          <cell r="E80" t="str">
            <v>Nirvana Country</v>
          </cell>
          <cell r="F80" t="str">
            <v>Sunday</v>
          </cell>
          <cell r="G80" t="str">
            <v>9 AM - 12 PM</v>
          </cell>
          <cell r="H80">
            <v>2300</v>
          </cell>
          <cell r="I80">
            <v>287.5</v>
          </cell>
          <cell r="J80" t="str">
            <v>Felicity</v>
          </cell>
          <cell r="K80" t="str">
            <v>Send Sponge// Day Changed to Sunday (16/04) Paytm From Sri Sai makers (20/04) Change to felicity (17/05)</v>
          </cell>
          <cell r="N80" t="str">
            <v>2  del of this cycle   -  0-cycles pmnt   Completed - Collect 0</v>
          </cell>
          <cell r="O80" t="str">
            <v>Rajni ( 14 inch ) 11     Grass</v>
          </cell>
          <cell r="P80" t="str">
            <v>O Asiatic ( 14 Inch ) 2     Grass</v>
          </cell>
          <cell r="Q80" t="str">
            <v>Mix Alstroemeria ( 12 Inch ) 11     FF Sachet + Grass</v>
          </cell>
          <cell r="R80" t="str">
            <v>Pur n P Car ( 14 inch ) 11     FF Sachet + Grass</v>
          </cell>
          <cell r="S80" t="str">
            <v>P Spray Daisy ( 14 Inch ) 3     FF Sachet + Grass</v>
          </cell>
          <cell r="T80" t="str">
            <v>P Asiatic ( 14 Inch ) 2     Grass</v>
          </cell>
        </row>
        <row r="81">
          <cell r="A81">
            <v>20</v>
          </cell>
          <cell r="B81" t="str">
            <v>Mrs. Vandana Dutt Before 10</v>
          </cell>
          <cell r="C81">
            <v>9810771057</v>
          </cell>
          <cell r="D81" t="str">
            <v>15/002,South Close, Nirvana country</v>
          </cell>
          <cell r="H81">
            <v>1450</v>
          </cell>
          <cell r="I81">
            <v>362.5</v>
          </cell>
          <cell r="J81" t="str">
            <v>Bliss</v>
          </cell>
          <cell r="T81" t="str">
            <v>Mix Car 16     FF Sachet + Grass</v>
          </cell>
        </row>
        <row r="82">
          <cell r="A82">
            <v>1319</v>
          </cell>
          <cell r="B82" t="str">
            <v>Mrs. Vandana Dutt Before 10</v>
          </cell>
          <cell r="C82">
            <v>9810771057</v>
          </cell>
          <cell r="D82" t="str">
            <v>15/002,South Close, Nirvana country</v>
          </cell>
          <cell r="H82">
            <v>1950</v>
          </cell>
          <cell r="I82">
            <v>487.5</v>
          </cell>
          <cell r="J82" t="str">
            <v>Joy</v>
          </cell>
          <cell r="T82" t="str">
            <v>P Asiatic 4     Grass</v>
          </cell>
        </row>
        <row r="83">
          <cell r="B83" t="str">
            <v>R'anne Anju Khurana</v>
          </cell>
          <cell r="C83" t="str">
            <v>98106 15904</v>
          </cell>
          <cell r="D83" t="str">
            <v>904 Sector 15 Part-II, Gurugram 122001</v>
          </cell>
          <cell r="G83" t="str">
            <v>Before 12 PM</v>
          </cell>
          <cell r="H83">
            <v>600</v>
          </cell>
          <cell r="J83" t="str">
            <v>Bouquet</v>
          </cell>
          <cell r="K83" t="str">
            <v>Sir, 
Tomorrow  (25-June) is Birthday of R'anne Anju Khurana
Address: 904 Sector 15 Part-II, Gurugram 122001
Ph: 98106 15904</v>
          </cell>
          <cell r="T83" t="str">
            <v xml:space="preserve">Mix Car 15 Tissue Wrap message   </v>
          </cell>
        </row>
        <row r="84">
          <cell r="A84">
            <v>1978</v>
          </cell>
          <cell r="B84" t="str">
            <v>Anu-- After 6 PM</v>
          </cell>
          <cell r="C84" t="str">
            <v>98103 39602</v>
          </cell>
          <cell r="D84" t="str">
            <v xml:space="preserve">Tower 6, 901 Fresco </v>
          </cell>
          <cell r="E84" t="str">
            <v>Nirvana Country</v>
          </cell>
          <cell r="F84" t="str">
            <v>Thursday</v>
          </cell>
          <cell r="G84" t="str">
            <v>4 Pm to 7 PM</v>
          </cell>
          <cell r="H84">
            <v>4850</v>
          </cell>
          <cell r="I84">
            <v>606.25</v>
          </cell>
          <cell r="J84" t="str">
            <v>Poise</v>
          </cell>
          <cell r="K84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84" t="str">
            <v>ROSE n RAJNI n HELICONIA n BOP</v>
          </cell>
          <cell r="M84" t="str">
            <v>after 6 pm on 19th (16/04)</v>
          </cell>
          <cell r="N84" t="str">
            <v>2  del of this cycle   -  0-cycles pmnt   Completed - Collect 0</v>
          </cell>
          <cell r="O84" t="str">
            <v>P Asiatic ( 15 inch ) 2 Spray Daisy 4 P n W Car ( 14 inch ) 12 Grass</v>
          </cell>
          <cell r="P84" t="str">
            <v>W Asiatic ( 14 Inch ) 2 Mix Alstroemeria ( 12 Inch ) 6 P n W Car ( 14 inch ) 10 Grass</v>
          </cell>
          <cell r="Q84" t="str">
            <v>P Asiatic ( 14 Inch ) 2 P n W Spray Dausy ( 14 Inch ) 4 P n W Glad ( 14 Inch ) 12 Grass</v>
          </cell>
          <cell r="R84" t="str">
            <v>Y Asiatic ( 14 Inch ) 2 Mix Eustoma ( 12 Inch ) 4 P n W Car ( 14 Inch ) 12 Grass</v>
          </cell>
          <cell r="S84" t="str">
            <v>P Asiatic ( 14 Inch ) 2 Mix Alstroemeria ( 12 inch )  8 P n W Glad ( 14 Inch ) 8 Grass</v>
          </cell>
          <cell r="T84" t="str">
            <v>W Asiatic ( 14 Inch ) 2 P n Y Spray Daisy ( 14 Inch ) 4 Rajni ( 14 Inch ) 12 Grass</v>
          </cell>
        </row>
        <row r="85">
          <cell r="A85">
            <v>2997</v>
          </cell>
          <cell r="B85" t="str">
            <v>Anjana Johar</v>
          </cell>
          <cell r="C85">
            <v>9650897576</v>
          </cell>
          <cell r="D85" t="str">
            <v>T-8/201, Fresco</v>
          </cell>
          <cell r="E85" t="str">
            <v>Nirvana Country</v>
          </cell>
          <cell r="F85" t="str">
            <v>Sunday</v>
          </cell>
          <cell r="G85" t="str">
            <v>4 Pm to 7 PM</v>
          </cell>
          <cell r="H85">
            <v>1450</v>
          </cell>
          <cell r="I85">
            <v>362.5</v>
          </cell>
          <cell r="J85" t="str">
            <v>Bliss</v>
          </cell>
          <cell r="K85" t="str">
            <v>Skip 2 week (03/11) Skip 1 week (14/11) Hold today n send tom (30/11) Hold n start after 9th Jan (08/12) Send Replacement tom (23/03) Send 1 vase also (23/03) No White Flowers (01/05) No Spray Daisy (05/05) Skip 1 week (08/05) Skip 2 week and start from 25th (13/06)</v>
          </cell>
          <cell r="L85" t="str">
            <v>Spray Daisy</v>
          </cell>
          <cell r="M85" t="str">
            <v>No White Flowers</v>
          </cell>
          <cell r="N85" t="str">
            <v>1  del of this cycle   -  1-cycles pmnt   Pending - Collect 1450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>Pur n P Car ( 14 Inch ) 16 No White Agar Na Mile To tower Gaurd ko dena hai flower   FF Sachet + Grass</v>
          </cell>
        </row>
        <row r="86">
          <cell r="B86" t="str">
            <v>12C Belgravia Apartments, Tower-10, Central Park Resorts, Sec-48,</v>
          </cell>
          <cell r="D86" t="str">
            <v>12C Belgravia Apartments, Tower-10, Central Park Resorts, Sec-48,</v>
          </cell>
          <cell r="H86">
            <v>6400</v>
          </cell>
          <cell r="J86" t="str">
            <v>Bouquet</v>
          </cell>
          <cell r="K86" t="str">
            <v>Send today from Manish Central Park 2 
To
12C Belgravia Apartments, Tower-10, Central Park Resorts, Sec-48, Gurgaon
Message 
Happy Anniversary Kuchu ❤️ wishing us life long happiness &amp; togetherness ❤️</v>
          </cell>
          <cell r="T86" t="str">
            <v xml:space="preserve">hydrangea +Daisy  Box Message   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07-26"/>
      <sheetName val="02-07-26"/>
      <sheetName val="03-07-26"/>
      <sheetName val="04-07-26"/>
      <sheetName val="05-07-26"/>
      <sheetName val="06-07-26"/>
      <sheetName val="07-07-26"/>
      <sheetName val="08-07-26"/>
      <sheetName val="09-07-26"/>
      <sheetName val="10-07-26"/>
      <sheetName val="11-07-26"/>
      <sheetName val="12-07-26"/>
      <sheetName val="13-07-26"/>
      <sheetName val="14-07-26"/>
      <sheetName val="15-07-26"/>
      <sheetName val="16-07-26"/>
      <sheetName val="17-07-26"/>
      <sheetName val="18-07-26"/>
      <sheetName val="19-07-26"/>
      <sheetName val="20-07-26"/>
      <sheetName val="21-07-26"/>
      <sheetName val="22-07-26"/>
    </sheetNames>
    <sheetDataSet>
      <sheetData sheetId="0"/>
      <sheetData sheetId="1">
        <row r="2">
          <cell r="A2" t="str">
            <v>B56318</v>
          </cell>
          <cell r="B2" t="str">
            <v>Pooja</v>
          </cell>
          <cell r="C2">
            <v>560549333</v>
          </cell>
          <cell r="D2" t="str">
            <v>B-105, Sujjan Vihar</v>
          </cell>
          <cell r="E2" t="str">
            <v>DLF Phase 5</v>
          </cell>
          <cell r="F2" t="str">
            <v>Thursday</v>
          </cell>
          <cell r="G2" t="str">
            <v>5:30 to 7:30 PM</v>
          </cell>
          <cell r="H2">
            <v>1210</v>
          </cell>
          <cell r="I2">
            <v>1210</v>
          </cell>
          <cell r="J2" t="str">
            <v>Bouquet</v>
          </cell>
          <cell r="K2" t="str">
            <v>Yel Gerbera and B Daisy Arrangement on Vase</v>
          </cell>
          <cell r="N2" t="str">
            <v>1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e">
            <v>#N/A</v>
          </cell>
          <cell r="S2" t="e">
            <v>#N/A</v>
          </cell>
          <cell r="T2" t="str">
            <v xml:space="preserve">Y Gerbera + B Daisy + W Spray Daisy 8 + 8 + 1 Square Vase Arrangement    </v>
          </cell>
        </row>
        <row r="3">
          <cell r="A3" t="str">
            <v>B56330</v>
          </cell>
          <cell r="B3" t="str">
            <v xml:space="preserve">Renuka Thareja </v>
          </cell>
          <cell r="C3" t="str">
            <v>95400 89000</v>
          </cell>
          <cell r="D3" t="str">
            <v>A2/403, Palm Grove Heights</v>
          </cell>
          <cell r="E3" t="str">
            <v>Golf Course Road</v>
          </cell>
          <cell r="F3" t="str">
            <v>Thursday</v>
          </cell>
          <cell r="G3" t="str">
            <v>By 10 AM</v>
          </cell>
          <cell r="H3">
            <v>2800</v>
          </cell>
          <cell r="I3">
            <v>2800</v>
          </cell>
          <cell r="J3" t="str">
            <v>Bouquet</v>
          </cell>
          <cell r="K3" t="str">
            <v>8 Yel Tulip</v>
          </cell>
          <cell r="N3" t="str">
            <v>1  del of this cycle   -  1-cycles pmnt   Pending - Collect 2800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 xml:space="preserve">Yel Tulip 8 Walkin Tissue Wrap with Gypsola    </v>
          </cell>
        </row>
        <row r="4">
          <cell r="A4" t="str">
            <v>B56331</v>
          </cell>
          <cell r="B4" t="str">
            <v>Radhika</v>
          </cell>
          <cell r="C4">
            <v>9811061397</v>
          </cell>
          <cell r="D4" t="str">
            <v>18/308, Heritage City</v>
          </cell>
          <cell r="E4" t="str">
            <v>M G Road</v>
          </cell>
          <cell r="F4" t="str">
            <v>Thursday</v>
          </cell>
          <cell r="G4" t="str">
            <v>By 11 AM</v>
          </cell>
          <cell r="H4">
            <v>1500</v>
          </cell>
          <cell r="I4">
            <v>1500</v>
          </cell>
          <cell r="J4" t="str">
            <v>Bouquet</v>
          </cell>
          <cell r="K4" t="str">
            <v>From Daman -- 9810538485 // 3 Sunflower + 3 B daisy + 2 P Oriental + 1 Oriental</v>
          </cell>
          <cell r="N4" t="str">
            <v>1  del of this cycle   -  0-cycles pmnt   Completed - Collect 0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 t="e">
            <v>#N/A</v>
          </cell>
          <cell r="T4" t="str">
            <v xml:space="preserve">Sunflower + B Daisy + P Oriental + W Oriental 3 + 4 + 2 + 1 Walkin Tissue Wrap    </v>
          </cell>
        </row>
        <row r="5">
          <cell r="A5" t="str">
            <v>B56332</v>
          </cell>
          <cell r="B5" t="str">
            <v>Jamie Miller</v>
          </cell>
          <cell r="C5">
            <v>7428737502</v>
          </cell>
          <cell r="D5" t="str">
            <v>D-072, The DLF Crest</v>
          </cell>
          <cell r="E5" t="str">
            <v>Golf Course Road</v>
          </cell>
          <cell r="F5" t="str">
            <v>Thursday</v>
          </cell>
          <cell r="G5" t="str">
            <v>9:30 Am to 2 PM</v>
          </cell>
          <cell r="H5">
            <v>1300</v>
          </cell>
          <cell r="I5">
            <v>1300</v>
          </cell>
          <cell r="J5" t="str">
            <v>Bouquet</v>
          </cell>
          <cell r="K5" t="str">
            <v>20 Red Rose in Full Tissue Wrap</v>
          </cell>
          <cell r="N5" t="str">
            <v>1  del of this cycle   -  0-cycles pmnt   Completed - Collect 0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 xml:space="preserve">Red Rose  20 Full Tissue Wrap    </v>
          </cell>
        </row>
        <row r="6">
          <cell r="A6" t="str">
            <v>B56333</v>
          </cell>
          <cell r="B6" t="str">
            <v>Jamie Miller</v>
          </cell>
          <cell r="C6">
            <v>7428737502</v>
          </cell>
          <cell r="D6" t="str">
            <v>D-072, The DLF Crest</v>
          </cell>
          <cell r="E6" t="str">
            <v>Golf Course Road</v>
          </cell>
          <cell r="F6" t="str">
            <v>Thursday</v>
          </cell>
          <cell r="G6" t="str">
            <v>9:30 Am to 2 PM</v>
          </cell>
          <cell r="H6">
            <v>1300</v>
          </cell>
          <cell r="I6">
            <v>1300</v>
          </cell>
          <cell r="J6" t="str">
            <v>Bouquet</v>
          </cell>
          <cell r="K6" t="str">
            <v>15 Shd P Rose in Full Tissue Wrap</v>
          </cell>
          <cell r="N6" t="str">
            <v>1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e">
            <v>#N/A</v>
          </cell>
          <cell r="T6" t="str">
            <v xml:space="preserve">Shd P Rose -- Lotus Open 15 Full Tissue Wrap    </v>
          </cell>
        </row>
        <row r="7">
          <cell r="A7" t="str">
            <v>CP00001</v>
          </cell>
          <cell r="B7" t="str">
            <v>Nidhi Sharma Malhotra -- BPTP -- Centra 1</v>
          </cell>
          <cell r="C7">
            <v>9999016333</v>
          </cell>
          <cell r="D7" t="str">
            <v>BPTP, Sec 61</v>
          </cell>
          <cell r="E7" t="str">
            <v>Ghata</v>
          </cell>
          <cell r="F7" t="str">
            <v>Thursday</v>
          </cell>
          <cell r="G7" t="str">
            <v>By 5 PM</v>
          </cell>
          <cell r="H7">
            <v>24600</v>
          </cell>
          <cell r="I7">
            <v>24600</v>
          </cell>
          <cell r="J7" t="str">
            <v>Corporate</v>
          </cell>
          <cell r="T7" t="str">
            <v xml:space="preserve">G n W Car + G n W Spray Daisy + W Asiatic + W Oriental + Baloon Flower  240 + 40 + 10 + 10 B Hydrangea + Lotus Pod + G n W Anthurium + G Eustoma 5 + 10 + 15 + 20    </v>
          </cell>
        </row>
        <row r="8">
          <cell r="A8" t="str">
            <v>CP00004</v>
          </cell>
          <cell r="B8" t="str">
            <v>Arun Chaowdhary -- BPTP -- Pride</v>
          </cell>
          <cell r="C8">
            <v>8885500095</v>
          </cell>
          <cell r="D8" t="str">
            <v>BPTP Pride, Faridabad</v>
          </cell>
          <cell r="E8" t="str">
            <v>Faridabad</v>
          </cell>
          <cell r="F8" t="str">
            <v>Thursday</v>
          </cell>
          <cell r="G8" t="str">
            <v>By 9:30 AM</v>
          </cell>
          <cell r="H8">
            <v>32000</v>
          </cell>
          <cell r="I8">
            <v>32000</v>
          </cell>
          <cell r="J8" t="str">
            <v>Corporate</v>
          </cell>
          <cell r="T8" t="str">
            <v>Presereved B Hydraange + G Hydrangea + Pink Phalaenopsis Orchid +  Baloon Flower + W eustoma + Lotus Pod + W Rose +  Peach Rose + W Tulip + G Anthurium 4 + 15 + 3 + 30+ 40 + 20 + 40 + 20 + 10 + 5 Ping Pong + arocaria Grass + Hanging Green Amaranthus + baby Dollar 3 Bunch + 3 Bunch + 2 Bunch + 3 Bunch W Oriental + G n W Car + G Button Daisy + g n W Orchid  10 + 60 + 30 + 10 + 15 3 Arrangement</v>
          </cell>
        </row>
        <row r="9">
          <cell r="A9" t="str">
            <v>G-00061</v>
          </cell>
          <cell r="B9" t="str">
            <v>Dolly Mohan</v>
          </cell>
          <cell r="C9">
            <v>9210333222</v>
          </cell>
          <cell r="D9" t="str">
            <v>A-001, Shiv Shankar CGHS Appartmenet, Sec 51</v>
          </cell>
          <cell r="E9" t="str">
            <v>Artemis</v>
          </cell>
          <cell r="F9" t="str">
            <v>Thursday</v>
          </cell>
          <cell r="G9" t="str">
            <v>9 AM to 2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From Deepa Handa</v>
          </cell>
          <cell r="N9" t="str">
            <v>3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str">
            <v>Pur n P Car ( 14 inch ) 16     FF Sachet + Grass</v>
          </cell>
          <cell r="S9" t="str">
            <v>P Asiatic ( 14 Inch ) 3     Grass</v>
          </cell>
          <cell r="T9" t="str">
            <v>Rajni ( 14 Inch ) 16     Grass</v>
          </cell>
        </row>
        <row r="10">
          <cell r="A10">
            <v>2761</v>
          </cell>
          <cell r="B10" t="str">
            <v>Gyan</v>
          </cell>
          <cell r="C10">
            <v>9560719191</v>
          </cell>
          <cell r="D10" t="str">
            <v>J7, 2nd Floor, Signature Global City, Sec 37 D</v>
          </cell>
          <cell r="E10" t="str">
            <v>Dwarka Expressway</v>
          </cell>
          <cell r="F10" t="str">
            <v>Thursday</v>
          </cell>
          <cell r="G10" t="str">
            <v>4 PM to 7 PM</v>
          </cell>
          <cell r="H10">
            <v>1450</v>
          </cell>
          <cell r="I10">
            <v>362.5</v>
          </cell>
          <cell r="J10" t="str">
            <v>Bliss</v>
          </cell>
          <cell r="K10" t="str">
            <v>Upgraded as per scheme to Bliss for 5 Deliveries (22/08) No delivered today-send tom (02/10) Skip 1 week (26/11) Skip 2 week (28/01) Skip 2 week (10/03) No Sunflower ( 17/06)</v>
          </cell>
          <cell r="L10" t="str">
            <v>Sunflower</v>
          </cell>
          <cell r="N10" t="str">
            <v>3  del of this cycle   -  0-cycles pmnt   Completed - Collect 0</v>
          </cell>
          <cell r="O10" t="str">
            <v>W Asiatic ( 14 Inch ) 2 R n W Car ( 14 Inch ) 7   Grass</v>
          </cell>
          <cell r="P10" t="str">
            <v>Y Spray Daisy ( 15 Inch ) 3 Mix Alstroemeria ( 12 Inch ) 7   FF Sachet + Grass</v>
          </cell>
          <cell r="Q10" t="str">
            <v>Sunflower ( 12 Inch ) 2 P n W Glad ( 14 Inch ) 7   FF Sachet + Grass</v>
          </cell>
          <cell r="R10" t="str">
            <v>P Asiatic ( 14 Inch ) 2 Pur n P Car ( 14 Inch ) 7   Grass</v>
          </cell>
          <cell r="S10" t="str">
            <v>Pur Eustoma ( 12 Inch ) 2 Rajni ( 14 Inch ) 7   FF Sachet + Grass</v>
          </cell>
          <cell r="T10" t="str">
            <v>Spray Daisy 3 B Daisy ( 12 Inch ) 7   FF Sachet + Grass</v>
          </cell>
        </row>
        <row r="11">
          <cell r="A11">
            <v>2024</v>
          </cell>
          <cell r="B11" t="str">
            <v>Priyanka Katyal</v>
          </cell>
          <cell r="C11">
            <v>9958565556</v>
          </cell>
          <cell r="D11" t="str">
            <v>1487, Saraswati Kunj, Sector 53</v>
          </cell>
          <cell r="E11" t="str">
            <v>DLF Phase 5</v>
          </cell>
          <cell r="F11" t="str">
            <v>Thursday</v>
          </cell>
          <cell r="G11" t="str">
            <v>9 AM - 12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11" t="str">
            <v>ORIENTAL n GULDAWARI</v>
          </cell>
          <cell r="M11" t="str">
            <v>Premium Flwer extra Next (09/01)</v>
          </cell>
          <cell r="N11" t="str">
            <v>3  del of this cycle   -  0-cycles pmnt   Completed - Collect 0</v>
          </cell>
          <cell r="O11" t="str">
            <v>R n W Car ( 14 Inch ) 22     FF Sachet + Grass</v>
          </cell>
          <cell r="P11" t="str">
            <v>Sunflower ( 12 Inch ) 5     FF Sachet + Grass</v>
          </cell>
          <cell r="Q11" t="str">
            <v>P n W Glad ( 14 Inch ) 22     Grass</v>
          </cell>
          <cell r="R11" t="str">
            <v>P n W Spray Daisy ( 14 Inch ) 7     FF Sachet + Grass</v>
          </cell>
          <cell r="S11" t="str">
            <v>O Asiatic ( 14 Inch ) 4     Grass</v>
          </cell>
          <cell r="T11" t="str">
            <v>P n W Car ( 14 Inch ) 22     FF Sachet + Grass</v>
          </cell>
        </row>
        <row r="12">
          <cell r="A12">
            <v>244</v>
          </cell>
          <cell r="B12" t="str">
            <v>Garima jain</v>
          </cell>
          <cell r="C12">
            <v>9958581403</v>
          </cell>
          <cell r="D12" t="str">
            <v xml:space="preserve"> G-901, Central Park 1, Golf Course Road    Sec 42 Gurgaon  122002</v>
          </cell>
          <cell r="E12" t="str">
            <v>Golf Course Road</v>
          </cell>
          <cell r="F12" t="str">
            <v>Thursday</v>
          </cell>
          <cell r="G12" t="str">
            <v>9 AM - 12 PM</v>
          </cell>
          <cell r="H12">
            <v>1450</v>
          </cell>
          <cell r="I12">
            <v>1450</v>
          </cell>
          <cell r="J12" t="str">
            <v>Bliss</v>
          </cell>
          <cell r="K12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12" t="str">
            <v>2  del of this cycle   -  0-cycles pmnt   Completed - Collect 0</v>
          </cell>
          <cell r="O12" t="str">
            <v>P n W Glad ( 14 Inch ) 9     Grass</v>
          </cell>
          <cell r="P12" t="str">
            <v>P Asiatic ( 14 Inch ) 2 Pls Insure Collection    Grass</v>
          </cell>
          <cell r="Q12" t="str">
            <v>Mix Alstroemeria ( 12 Inch ) 9 Pls Collect Cash     Grass</v>
          </cell>
          <cell r="R12" t="str">
            <v>Pur n P Car ( 14 inch ) 9     Grass</v>
          </cell>
          <cell r="S12" t="str">
            <v>Pur Eustoma ( 12 Inch ) 3     FF Sachet + Grass</v>
          </cell>
          <cell r="T12" t="str">
            <v>Rajni ( 14 Inch ) 16     Grass</v>
          </cell>
        </row>
        <row r="13">
          <cell r="A13" t="str">
            <v>G-00036</v>
          </cell>
          <cell r="B13" t="str">
            <v>Aanchal Boora</v>
          </cell>
          <cell r="C13">
            <v>9654700022</v>
          </cell>
          <cell r="D13" t="str">
            <v>Flat - 1171, Ats Triumph, Wing B, Tower 1, 17th Floor, Sec 104</v>
          </cell>
          <cell r="E13" t="str">
            <v>Dwarka Expressway</v>
          </cell>
          <cell r="F13" t="str">
            <v>Thursday</v>
          </cell>
          <cell r="G13" t="str">
            <v>4 Pm to 7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From Avni Ahuja // Skip tom (10/12) Paytm From Nitin Kunka // No Orchids (27/01) Skip 1 week (27/02) No Sunflowers (02/05)</v>
          </cell>
          <cell r="L13" t="str">
            <v xml:space="preserve">Orchid n Sunflowers </v>
          </cell>
          <cell r="M13" t="str">
            <v>One Kind</v>
          </cell>
          <cell r="N13" t="str">
            <v>2  del of this cycle   -  1-cycles pmnt   Pending - Collect 1450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str">
            <v>P Asiatic ( 14 Inch ) 3    Collect Payment Grass</v>
          </cell>
        </row>
        <row r="14">
          <cell r="A14">
            <v>3396</v>
          </cell>
          <cell r="B14" t="str">
            <v>Shivani Gogia</v>
          </cell>
          <cell r="C14">
            <v>7838568324</v>
          </cell>
          <cell r="D14" t="str">
            <v>A-105, 1st Floor, Siushant Lok 3, Sec 57</v>
          </cell>
          <cell r="E14" t="str">
            <v>Sector 56</v>
          </cell>
          <cell r="F14" t="str">
            <v>Thursday</v>
          </cell>
          <cell r="G14" t="str">
            <v>9:30 Am to 2 PM</v>
          </cell>
          <cell r="H14">
            <v>1450</v>
          </cell>
          <cell r="I14">
            <v>362.5</v>
          </cell>
          <cell r="J14" t="str">
            <v>Customized</v>
          </cell>
          <cell r="K14" t="str">
            <v>14 rajni</v>
          </cell>
          <cell r="N14" t="str">
            <v>1  del of this cycle   -  0-cycles pmnt   Completed - Collect 0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 t="e">
            <v>#N/A</v>
          </cell>
          <cell r="T14" t="str">
            <v>Rajni ( 14 Inch ) 14     Grass</v>
          </cell>
        </row>
        <row r="15">
          <cell r="A15">
            <v>1998</v>
          </cell>
          <cell r="B15" t="str">
            <v>Shivani Katyal</v>
          </cell>
          <cell r="C15">
            <v>9811053756</v>
          </cell>
          <cell r="D15" t="str">
            <v>H. No. 1486, Sarsawati Kunj</v>
          </cell>
          <cell r="E15" t="str">
            <v>DLF Phase 5</v>
          </cell>
          <cell r="F15" t="str">
            <v>Thursday</v>
          </cell>
          <cell r="G15" t="str">
            <v>9:30 Am to 2 PM</v>
          </cell>
          <cell r="H15">
            <v>1950</v>
          </cell>
          <cell r="I15">
            <v>487.5</v>
          </cell>
          <cell r="J15" t="str">
            <v>Joy</v>
          </cell>
          <cell r="K15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15" t="str">
            <v>GULDAWARI n ANTHURIUM n GLAD</v>
          </cell>
          <cell r="N15" t="str">
            <v>4  del of this cycle   -  0-cycles pmnt   CompletedNO COLLECTION-we have extra money - Collect -50</v>
          </cell>
          <cell r="O15" t="str">
            <v>O Asiatic ( 14 Inch ) 4     Grass</v>
          </cell>
          <cell r="P15" t="str">
            <v>Sunflower ( 12 Inch ) 5     FF Sachet + Grass</v>
          </cell>
          <cell r="Q15" t="str">
            <v>Pur n P Car ( 14 inch ) 22     FF Sachet + Grass</v>
          </cell>
          <cell r="R15" t="str">
            <v>Mix Alstroemeria ( 12 Inch ) 22     FF Sachet + Grass</v>
          </cell>
          <cell r="S15" t="str">
            <v>P n W Spray Daisy 7     FF Sachet + Grass</v>
          </cell>
          <cell r="T15" t="str">
            <v>P Asiatic ( 14 Inch ) 4     Grass</v>
          </cell>
        </row>
        <row r="16">
          <cell r="A16">
            <v>14</v>
          </cell>
          <cell r="B16" t="str">
            <v>Ms. Neelam Bhalla </v>
          </cell>
          <cell r="C16">
            <v>9810546046</v>
          </cell>
          <cell r="D16" t="str">
            <v>H4, 4th Floor, Olive Residency, Mayfield Garden, Sec 57</v>
          </cell>
          <cell r="E16" t="str">
            <v>Artemis</v>
          </cell>
          <cell r="F16" t="str">
            <v>Thursday</v>
          </cell>
          <cell r="G16" t="str">
            <v>9 AM - 12 PM</v>
          </cell>
          <cell r="H16">
            <v>1950</v>
          </cell>
          <cell r="I16">
            <v>487.5</v>
          </cell>
          <cell r="J16" t="str">
            <v>Joy</v>
          </cell>
          <cell r="K16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16" t="str">
            <v>GLAD n BOP n GERBERA</v>
          </cell>
          <cell r="N16" t="str">
            <v>3  del of this cycle   -  0-cycles pmnt   Completed - Collect 0</v>
          </cell>
          <cell r="O16" t="str">
            <v>O Asiatic ( 14 Inch ) 4     Grass</v>
          </cell>
          <cell r="P16" t="str">
            <v>P n W Car ( 14 Inch ) 22     FF Sachet + Grass</v>
          </cell>
          <cell r="Q16" t="str">
            <v>Pur n P Eustoma ( 12 Inch ) 4     FF Sachet + Grass</v>
          </cell>
          <cell r="R16" t="e">
            <v>#N/A</v>
          </cell>
          <cell r="S16" t="str">
            <v>Pur n P Eustoma ( 12 Inch ) 4     FF Sachet + Grass</v>
          </cell>
          <cell r="T16" t="str">
            <v>Sunflower ( 12 Inch ) 5     FF Sachet + Grass</v>
          </cell>
        </row>
        <row r="17">
          <cell r="A17">
            <v>2631</v>
          </cell>
          <cell r="B17" t="str">
            <v>Ruchee</v>
          </cell>
          <cell r="C17">
            <v>9811026182</v>
          </cell>
          <cell r="D17" t="str">
            <v>A-2/1603, Puri Emerald Bay, Sector 104</v>
          </cell>
          <cell r="E17" t="str">
            <v>Dwarka Expressway</v>
          </cell>
          <cell r="F17" t="str">
            <v>Thursday</v>
          </cell>
          <cell r="G17" t="str">
            <v>4 Pm to 7 PM</v>
          </cell>
          <cell r="H17">
            <v>999</v>
          </cell>
          <cell r="I17">
            <v>249.75</v>
          </cell>
          <cell r="J17" t="str">
            <v>Delight</v>
          </cell>
          <cell r="K17" t="str">
            <v>No White Colr (29/05) FF Next (06/06) From Ruchika Aneja (21/08) Skip 1 week (24/08) Deliver at T-2 Reception (31/01) No sunflower (17/05)</v>
          </cell>
          <cell r="L17" t="str">
            <v>Sunflower</v>
          </cell>
          <cell r="M17" t="str">
            <v>No White Color (29/05) FF Next (06/06)</v>
          </cell>
          <cell r="N17" t="str">
            <v>1  del of this cycle   -  1-cycles pmnt   Pending - Collect 999</v>
          </cell>
          <cell r="O17" t="str">
            <v>O Asiatic ( 14 Inch ) 2     Grass</v>
          </cell>
          <cell r="P17" t="str">
            <v>Mix Alstroemeria ( 12 Inch ) 9 No white Color    FF Sachet + Grass</v>
          </cell>
          <cell r="Q17" t="str">
            <v>P Glad 9 No White    Gras</v>
          </cell>
          <cell r="R17" t="str">
            <v>Y Spray Daisy ( 14 Inch ) 3     FF Sachet + Grass</v>
          </cell>
          <cell r="S17" t="str">
            <v>B Daisy ( 12 Inch ) 9     Grass</v>
          </cell>
          <cell r="T17" t="str">
            <v>Pur n P Car ( 14 Inch ) 9     FF Sachet + Grass</v>
          </cell>
        </row>
        <row r="18">
          <cell r="A18">
            <v>2200</v>
          </cell>
          <cell r="B18" t="str">
            <v>Naina Gandhi</v>
          </cell>
          <cell r="C18">
            <v>9811188863</v>
          </cell>
          <cell r="D18" t="str">
            <v>K2/105, Central Park -1</v>
          </cell>
          <cell r="E18" t="str">
            <v>Golf Course Road</v>
          </cell>
          <cell r="F18" t="str">
            <v>Thursday</v>
          </cell>
          <cell r="G18" t="str">
            <v>9 AM - 12 PM</v>
          </cell>
          <cell r="H18">
            <v>2300</v>
          </cell>
          <cell r="I18">
            <v>287.5</v>
          </cell>
          <cell r="J18" t="str">
            <v>Felicity</v>
          </cell>
          <cell r="K18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v>
          </cell>
          <cell r="L18" t="str">
            <v>SPRAY DAISY</v>
          </cell>
          <cell r="M18" t="str">
            <v>Check for Bi weekly package</v>
          </cell>
          <cell r="N18" t="str">
            <v>1  del of this cycle   -  1-cycles pmnt   Pending - Collect 2300</v>
          </cell>
          <cell r="O18" t="e">
            <v>#N/A</v>
          </cell>
          <cell r="P18" t="e">
            <v>#N/A</v>
          </cell>
          <cell r="Q18" t="e">
            <v>#N/A</v>
          </cell>
          <cell r="R18" t="str">
            <v>P n W Glad ( 14 Inch ) 11     Grass</v>
          </cell>
          <cell r="S18" t="e">
            <v>#N/A</v>
          </cell>
          <cell r="T18" t="str">
            <v>Pur n P Car ( 14 Inch ) 11     FF Sachet + Grass</v>
          </cell>
        </row>
        <row r="19">
          <cell r="A19">
            <v>2665</v>
          </cell>
          <cell r="B19" t="str">
            <v>Shaivya Rai</v>
          </cell>
          <cell r="C19">
            <v>9532096763</v>
          </cell>
          <cell r="D19" t="str">
            <v>4221, ATS Kocoon, Sec 109</v>
          </cell>
          <cell r="E19" t="str">
            <v>Dwarka Expressway</v>
          </cell>
          <cell r="F19" t="str">
            <v>Thursday</v>
          </cell>
          <cell r="G19" t="str">
            <v>4 Pm to 7 PM</v>
          </cell>
          <cell r="H19">
            <v>999</v>
          </cell>
          <cell r="I19">
            <v>249.75</v>
          </cell>
          <cell r="J19" t="str">
            <v>Collection Only</v>
          </cell>
          <cell r="K19" t="str">
            <v>Received on 25th Aug (25/07) HDTNP (11/06) HDTNP (18/06) HDTNP (25/06)</v>
          </cell>
          <cell r="N19" t="str">
            <v>2  del of this cycle   -  1-cycles pmnt   Pending - Collect 999</v>
          </cell>
          <cell r="O19" t="str">
            <v>Asiatic 2     Grass</v>
          </cell>
          <cell r="P19" t="str">
            <v>P n W Glad ( 14 Inch ) 9     Grass</v>
          </cell>
          <cell r="Q19" t="e">
            <v>#N/A</v>
          </cell>
          <cell r="R19" t="e">
            <v>#N/A</v>
          </cell>
          <cell r="S19" t="e">
            <v>#N/A</v>
          </cell>
          <cell r="T19" t="str">
            <v xml:space="preserve">Collect 250 n Close      </v>
          </cell>
        </row>
        <row r="20">
          <cell r="A20">
            <v>326</v>
          </cell>
          <cell r="B20" t="str">
            <v>Radhika Surana-- Before 10</v>
          </cell>
          <cell r="C20">
            <v>9871132800</v>
          </cell>
          <cell r="D20" t="str">
            <v>1204, The Magnolias</v>
          </cell>
          <cell r="E20" t="str">
            <v>Golf Course Road</v>
          </cell>
          <cell r="F20" t="str">
            <v>Thursday</v>
          </cell>
          <cell r="G20" t="str">
            <v>9 AM - 12 PM</v>
          </cell>
          <cell r="H20">
            <v>2750</v>
          </cell>
          <cell r="I20">
            <v>687.5</v>
          </cell>
          <cell r="J20" t="str">
            <v>Elation</v>
          </cell>
          <cell r="K20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20" t="str">
            <v>BOP n ORCHID</v>
          </cell>
          <cell r="N20" t="str">
            <v>1  del of this cycle   -  1-cycles pmnt   Pending - Collect 2750</v>
          </cell>
          <cell r="O20" t="str">
            <v>O Asiatic ( 14 Inch ) 6     2 Limonium</v>
          </cell>
          <cell r="P20" t="e">
            <v>#N/A</v>
          </cell>
          <cell r="Q20" t="e">
            <v>#N/A</v>
          </cell>
          <cell r="R20" t="str">
            <v>Pur n P Car ( 14 inch ) 32     2 Gypsola + FF Sachet</v>
          </cell>
          <cell r="S20" t="str">
            <v>P n W Glad ( 14 Inch ) 32     2 Limonium</v>
          </cell>
          <cell r="T20" t="str">
            <v>Pur n P Car ( 14 Inch ) 32     2 Gypsola</v>
          </cell>
        </row>
        <row r="21">
          <cell r="A21">
            <v>401</v>
          </cell>
          <cell r="B21" t="str">
            <v>Nameesha Verma -- Before 12PM</v>
          </cell>
          <cell r="C21">
            <v>9899240454</v>
          </cell>
          <cell r="D21" t="str">
            <v>D-4/102, Parsvanath Exotica</v>
          </cell>
          <cell r="E21" t="str">
            <v>DLF Phase 5</v>
          </cell>
          <cell r="F21" t="str">
            <v>Thursday</v>
          </cell>
          <cell r="G21" t="str">
            <v>Before 12 PM</v>
          </cell>
          <cell r="H21">
            <v>1600</v>
          </cell>
          <cell r="I21">
            <v>200</v>
          </cell>
          <cell r="J21" t="str">
            <v>Bloom</v>
          </cell>
          <cell r="K21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21" t="str">
            <v>3 Car extra next (20/03)</v>
          </cell>
          <cell r="N21" t="str">
            <v>2  del of this cycle   -  1-cycles pmnt   Pending - Collect 1600</v>
          </cell>
          <cell r="O21" t="str">
            <v>Rajni ( 14 Inch ) 7     Grass</v>
          </cell>
          <cell r="P21" t="str">
            <v>Mix Alstroemeria ( 12 Inch ) 7     FF Sachet + Grass</v>
          </cell>
          <cell r="Q21" t="e">
            <v>#N/A</v>
          </cell>
          <cell r="R21" t="str">
            <v>P Spray Daisy ( 14 Inch ) 2     FF Sachet + Grass</v>
          </cell>
          <cell r="S21" t="str">
            <v>Sunflower ( 12 Inch) 2     Grass</v>
          </cell>
          <cell r="T21" t="str">
            <v>P n W Car ( 14 Inch ) 7    Collect Payment FF Sachet + Grass</v>
          </cell>
        </row>
        <row r="22">
          <cell r="A22">
            <v>3273</v>
          </cell>
          <cell r="B22" t="str">
            <v>Sharmishtha Jhulka</v>
          </cell>
          <cell r="C22">
            <v>9810010615</v>
          </cell>
          <cell r="D22" t="str">
            <v>817-B, The Camelias</v>
          </cell>
          <cell r="E22" t="str">
            <v>Golf Course Road</v>
          </cell>
          <cell r="F22" t="str">
            <v>Thursday</v>
          </cell>
          <cell r="G22" t="str">
            <v>9 AM to 2 PM</v>
          </cell>
          <cell r="H22">
            <v>5800</v>
          </cell>
          <cell r="I22">
            <v>1450</v>
          </cell>
          <cell r="J22" t="str">
            <v>Customized</v>
          </cell>
          <cell r="K22" t="str">
            <v>send on 19th, 26th Mar, 23rd April and may 26 // Now start from 18th June (15/05) 10 Asiatic Lilies // 20 Spray Daisies // 10 Sunflowers// 10 Eustoma Pack (20/05)</v>
          </cell>
          <cell r="N22" t="str">
            <v>2  del of this cycle   -  0-cycles pmnt   Completed - Collect 0</v>
          </cell>
          <cell r="O22" t="e">
            <v>#N/A</v>
          </cell>
          <cell r="P22" t="str">
            <v xml:space="preserve">Pur n P Eustoma ( 12 Inch ) 10     </v>
          </cell>
          <cell r="Q22" t="e">
            <v>#N/A</v>
          </cell>
          <cell r="R22" t="str">
            <v xml:space="preserve">P n Y Spray Daisy ( 14 Inch ) 20     </v>
          </cell>
          <cell r="S22" t="str">
            <v>O n W Asiatic ( 14 Inch ) 10     3 Areca Palm + 2 Limonium</v>
          </cell>
          <cell r="T22" t="str">
            <v>Sunflower ( 12 Inch ) 10     2 Gypsola</v>
          </cell>
        </row>
        <row r="23">
          <cell r="A23">
            <v>2037</v>
          </cell>
          <cell r="B23" t="str">
            <v>Sharwan Chopra</v>
          </cell>
          <cell r="C23">
            <v>9971066995</v>
          </cell>
          <cell r="D23" t="str">
            <v>A-223, The Belaire</v>
          </cell>
          <cell r="E23" t="str">
            <v>Golf Course Road</v>
          </cell>
          <cell r="F23" t="str">
            <v>Thursday</v>
          </cell>
          <cell r="G23" t="str">
            <v>10 AM to 2:30 PM</v>
          </cell>
          <cell r="H23">
            <v>1950</v>
          </cell>
          <cell r="I23">
            <v>487.5</v>
          </cell>
          <cell r="J23" t="str">
            <v>Joy</v>
          </cell>
          <cell r="K23" t="str">
            <v>NO Car (15/02) Skip 3 Weeks (12/06) Skip 1 week (28/12) Hold all deliveries till 1st July (12/06) Skip 25th Dec (23/12) Hold due to non payment (29/01) Returned today (04/06) Skip 1 week (16/06)</v>
          </cell>
          <cell r="L23" t="str">
            <v>CAR</v>
          </cell>
          <cell r="N23" t="str">
            <v>1  del of this cycle   -  1-cycles pmnt   Pending - Collect 1950</v>
          </cell>
          <cell r="O23" t="str">
            <v>P n W Spray Daisy ( 15 Inch ) 7     FF Sachet + Grass</v>
          </cell>
          <cell r="P23" t="str">
            <v>Y Asiatic ( 14 Inch ) 4     Grass</v>
          </cell>
          <cell r="Q23" t="str">
            <v>P n W Glad ( 14 Inch ) 22     Grass</v>
          </cell>
          <cell r="R23" t="e">
            <v>#N/A</v>
          </cell>
          <cell r="S23" t="str">
            <v>Pur n P Eustoma ( 12 Inch ) 4     FF Sachet + Grass</v>
          </cell>
          <cell r="T23" t="str">
            <v>Rajni ( 14 Inch ) 22     Grass</v>
          </cell>
        </row>
        <row r="24">
          <cell r="A24">
            <v>1181</v>
          </cell>
          <cell r="B24" t="str">
            <v>Parul Sharma --Elation</v>
          </cell>
          <cell r="C24">
            <v>8800895944</v>
          </cell>
          <cell r="D24" t="str">
            <v>Villa-27, The Legend</v>
          </cell>
          <cell r="E24" t="str">
            <v>Artemis</v>
          </cell>
          <cell r="F24" t="str">
            <v>Thursday</v>
          </cell>
          <cell r="G24" t="str">
            <v>9 AM to 2 PM</v>
          </cell>
          <cell r="H24">
            <v>1950</v>
          </cell>
          <cell r="I24">
            <v>487.5</v>
          </cell>
          <cell r="J24" t="str">
            <v>Joy</v>
          </cell>
          <cell r="K24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24" t="str">
            <v>Before 11:30 AM</v>
          </cell>
          <cell r="N24" t="str">
            <v>4  del of this cycle   -  0-cycles pmnt   Completed - Collect 0</v>
          </cell>
          <cell r="O24" t="str">
            <v>W Asiatic ( 14 Inch ) 4     Grass</v>
          </cell>
          <cell r="P24" t="str">
            <v>P n W Glad ( 14 Inch ) 22     Grass</v>
          </cell>
          <cell r="Q24" t="str">
            <v>Pur n P Eustoma ( 12 Inch ) 4     FF Sachet + Grass</v>
          </cell>
          <cell r="R24" t="str">
            <v>P n Y Spray Daisy ( 14 Inch ) 7     FF Sachet + Grass</v>
          </cell>
          <cell r="S24" t="str">
            <v>P n W Car ( 14 inch ) 22     FF Sachet + Grass</v>
          </cell>
          <cell r="T24" t="str">
            <v>Sunflower ( 12 Inch ) 5     FF Sachet + Grass</v>
          </cell>
        </row>
        <row r="25">
          <cell r="A25">
            <v>894</v>
          </cell>
          <cell r="B25" t="str">
            <v>Dr. Roma Kumar</v>
          </cell>
          <cell r="C25" t="str">
            <v>98110 87708</v>
          </cell>
          <cell r="D25" t="str">
            <v>RT-181, Royalton Tower
Inside Princeton Estate
DLF City Phase-V
Gurgaon-122009
Haryana</v>
          </cell>
          <cell r="E25" t="str">
            <v>DLF Phase 5</v>
          </cell>
          <cell r="F25" t="str">
            <v>Thursday</v>
          </cell>
          <cell r="G25" t="str">
            <v>9 AM - 12 PM</v>
          </cell>
          <cell r="H25">
            <v>3000</v>
          </cell>
          <cell r="I25">
            <v>375</v>
          </cell>
          <cell r="J25" t="str">
            <v>Charm</v>
          </cell>
          <cell r="K25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</v>
          </cell>
          <cell r="L25" t="str">
            <v>ORCHID</v>
          </cell>
          <cell r="N25" t="str">
            <v>5  del of this cycle   -  0-cycles pmnt   Completed - Collect 0</v>
          </cell>
          <cell r="O25" t="str">
            <v>P n Y Spray Daisy ( 15 Inch ) 4     FF Sachet + Grass</v>
          </cell>
          <cell r="P25" t="str">
            <v>W Oriental ( 15 Inch ) 2     Grass</v>
          </cell>
          <cell r="Q25" t="str">
            <v>P n W Glad ( 14 Inch ) 15     Grass</v>
          </cell>
          <cell r="R25" t="str">
            <v>P Asiatic ( 14 Inch ) 3     Grass</v>
          </cell>
          <cell r="S25" t="str">
            <v>Rajni ( 14 Inch ) 15     Grass</v>
          </cell>
          <cell r="T25" t="str">
            <v>B Daisy ( 12 Inch ) 15     Grass</v>
          </cell>
        </row>
        <row r="26">
          <cell r="A26">
            <v>888</v>
          </cell>
          <cell r="B26" t="str">
            <v>Ankita Mehta</v>
          </cell>
          <cell r="C26">
            <v>9868169896</v>
          </cell>
          <cell r="D26" t="str">
            <v>1B-71, Wellington Estate</v>
          </cell>
          <cell r="E26" t="str">
            <v>DLF Phase 5</v>
          </cell>
          <cell r="F26" t="str">
            <v>Thursday</v>
          </cell>
          <cell r="G26" t="str">
            <v>9 AM - 12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</v>
          </cell>
          <cell r="L26" t="str">
            <v xml:space="preserve">SPRAY DAISY n GULDAWARI </v>
          </cell>
          <cell r="M26" t="str">
            <v>Change to Deligh next (30/01)</v>
          </cell>
          <cell r="N26" t="str">
            <v>3  del of this cycle   -  0-cycles pmnt   Completed - Collect 0</v>
          </cell>
          <cell r="O26" t="str">
            <v>O Asiatic ( 14 Inch ) 2     Grass</v>
          </cell>
          <cell r="P26" t="str">
            <v>R n W Car ( 14 inch ) 9     FF Sachet + Grass</v>
          </cell>
          <cell r="Q26" t="str">
            <v>Sunflower ( 12 Inch ) 2     Grass</v>
          </cell>
          <cell r="R26" t="str">
            <v>Mix Alstroemeria ( 12 Inch ) 16     FF Sachet + Grass</v>
          </cell>
          <cell r="S26" t="str">
            <v>P n W Glad ( 14 Inch ) 16  Collect Payment Collect Payment Collect Payment Grass</v>
          </cell>
          <cell r="T26" t="str">
            <v>P Asiatic ( 14 Inch ) 3     Grass</v>
          </cell>
        </row>
        <row r="27">
          <cell r="A27">
            <v>2359</v>
          </cell>
          <cell r="B27" t="str">
            <v>Roshni Achpal</v>
          </cell>
          <cell r="C27">
            <v>9711170252</v>
          </cell>
          <cell r="D27" t="str">
            <v>A-102, Belaire</v>
          </cell>
          <cell r="E27" t="str">
            <v>Golf Course Road</v>
          </cell>
          <cell r="F27" t="str">
            <v>Thursday</v>
          </cell>
          <cell r="G27" t="str">
            <v>9 AM - 12 PM</v>
          </cell>
          <cell r="H27">
            <v>999</v>
          </cell>
          <cell r="I27">
            <v>249.75</v>
          </cell>
          <cell r="J27" t="str">
            <v>Delight</v>
          </cell>
          <cell r="K27" t="str">
            <v>Gift From Ankita Mehta  // Shift to Delight(04/12) Gpay from Alok Asrani (04/12) Skip 2 week (19/12) No car (01/05) Skip 2 weeks (19/08) No rajni (08/09) Skip 2 week (18/12) No Button Daisy 912/02) Skip 1 week (14/03) Do not count last del (13/05) Skip 1 week (11/06)</v>
          </cell>
          <cell r="L27" t="str">
            <v>Car n Rajni n Buttn Daisies</v>
          </cell>
          <cell r="N27" t="str">
            <v>3  del of this cycle   -  0-cycles pmnt   Completed - Collect 0</v>
          </cell>
          <cell r="O27" t="str">
            <v>Y Spray Daisy ( 15 Inch ) 3     FF Sachet + Grass</v>
          </cell>
          <cell r="P27" t="str">
            <v>P n W Glad ( 14 Inch ) 9     Grass</v>
          </cell>
          <cell r="Q27" t="str">
            <v>Sunflower ( 12 Inch ) 2     Grass</v>
          </cell>
          <cell r="R27" t="e">
            <v>#N/A</v>
          </cell>
          <cell r="S27" t="str">
            <v>Pur n P Car ( 14 Inch ) 9     FF Sachet + Grass</v>
          </cell>
          <cell r="T27" t="str">
            <v>O Asiatic ( 14 Inch ) 2     Grass</v>
          </cell>
        </row>
        <row r="28">
          <cell r="A28">
            <v>2509</v>
          </cell>
          <cell r="B28" t="str">
            <v>Shrija Majumder</v>
          </cell>
          <cell r="C28">
            <v>8910369663</v>
          </cell>
          <cell r="D28" t="str">
            <v>G-803, BPTP Freedom Park Life</v>
          </cell>
          <cell r="E28" t="str">
            <v>Artemis</v>
          </cell>
          <cell r="F28" t="str">
            <v>Thursday</v>
          </cell>
          <cell r="G28" t="str">
            <v>9:30 Am to 2 PM</v>
          </cell>
          <cell r="H28">
            <v>1450</v>
          </cell>
          <cell r="I28">
            <v>1450</v>
          </cell>
          <cell r="J28" t="str">
            <v>Bliss</v>
          </cell>
          <cell r="K28" t="str">
            <v>Only Seasonals // skip tom (26/04) Skip 1 week (25/06) Hold today (14/08) Send tom after 7 PM (20/08) Skip 1 week (27/08) Skip 1 week (05/03) send replacement tom (28/03)</v>
          </cell>
          <cell r="M28" t="str">
            <v>Seasonlas</v>
          </cell>
          <cell r="N28" t="str">
            <v>2  del of this cycle   -  0-cycles pmnt   Completed - Collect 0</v>
          </cell>
          <cell r="O28" t="str">
            <v>P n W Glad ( 14 Inch ) 9     Grass</v>
          </cell>
          <cell r="P28" t="str">
            <v>Rajni ( 14 Inch ) 9     Grass</v>
          </cell>
          <cell r="Q28" t="str">
            <v>Mix Car ( 14 Inch ) 9     Grass</v>
          </cell>
          <cell r="R28" t="str">
            <v>Mix Alstroemeria ( 12 Inch ) 9     FF Sachet + Grass</v>
          </cell>
          <cell r="S28" t="str">
            <v>P n W Glad ( 14 Inch ) 16     Grass</v>
          </cell>
          <cell r="T28" t="str">
            <v>Rajni ( 14 Inch ) 16     Grass</v>
          </cell>
        </row>
        <row r="29">
          <cell r="A29">
            <v>2294</v>
          </cell>
          <cell r="B29" t="str">
            <v>Sonal Verma</v>
          </cell>
          <cell r="C29">
            <v>9711499808</v>
          </cell>
          <cell r="D29" t="str">
            <v>H. No. 19, 1st Floor, Cedar Crest</v>
          </cell>
          <cell r="E29" t="str">
            <v>Nirvana Country</v>
          </cell>
          <cell r="F29" t="str">
            <v>Thursday</v>
          </cell>
          <cell r="G29" t="str">
            <v>9 AM - 12 PM</v>
          </cell>
          <cell r="H29">
            <v>1450</v>
          </cell>
          <cell r="I29">
            <v>362.5</v>
          </cell>
          <cell r="J29" t="str">
            <v>Collection Only</v>
          </cell>
          <cell r="K29" t="str">
            <v>Skip 1 week (11/03) Skip 1 week (21/05) Pls skip 1 week (18/06) Sent one del today (10/12) Hold due to non payment (29/01) Hold due to non payment (04/02) HDTNP (19/02) HDTNP (26/02) HDTNP (21/05) HDTNP (28/05) HDTNP (04/06) HDTNP (11/06) HDTNP (18/06) HDTNP (25/06)</v>
          </cell>
          <cell r="N29" t="str">
            <v>3  del of this cycle   -  1-cycles pmnt   Pending - Collect 1450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str">
            <v xml:space="preserve">Collect Rs 725 Carry Reciept Book     </v>
          </cell>
        </row>
        <row r="30">
          <cell r="A30">
            <v>2774</v>
          </cell>
          <cell r="B30" t="str">
            <v>Vandana Thakran</v>
          </cell>
          <cell r="C30">
            <v>9899589964</v>
          </cell>
          <cell r="D30" t="str">
            <v>H. No. 35, Cedar Crest</v>
          </cell>
          <cell r="E30" t="str">
            <v>Nirvana Country</v>
          </cell>
          <cell r="F30" t="str">
            <v>Sunday</v>
          </cell>
          <cell r="G30" t="str">
            <v>9 AM - 12 PM</v>
          </cell>
          <cell r="H30">
            <v>1600</v>
          </cell>
          <cell r="I30">
            <v>200</v>
          </cell>
          <cell r="J30" t="str">
            <v>Bloom</v>
          </cell>
          <cell r="N30" t="str">
            <v>2  del of this cycle   -  0-cycles pmnt   Completed - Collect 0</v>
          </cell>
          <cell r="O30" t="str">
            <v>P n W Car ( 14 inch ) 7     FF Sachet + Grass</v>
          </cell>
          <cell r="P30" t="str">
            <v>P Spray Daisy ( 14 Inch ) 2     FF Sachet + Grass</v>
          </cell>
          <cell r="Q30" t="str">
            <v>Sunflower ( 12 Inch ) 2     FF Sachet + Grass</v>
          </cell>
          <cell r="R30" t="str">
            <v>Pur n P Car ( 14 inch ) 7     FF Sachet + Grass</v>
          </cell>
          <cell r="S30" t="str">
            <v>P n W Glad ( 14 Inch ) 7     Grass</v>
          </cell>
          <cell r="T30" t="str">
            <v>Rajni ( 14 Inch ) 7     Grass</v>
          </cell>
        </row>
        <row r="31">
          <cell r="A31">
            <v>203</v>
          </cell>
          <cell r="B31" t="str">
            <v>Alok divatia -- After 10 AM</v>
          </cell>
          <cell r="C31">
            <v>9819355743</v>
          </cell>
          <cell r="D31" t="str">
            <v>BLC 263, 26th Floor, Tower C, The Belaire</v>
          </cell>
          <cell r="E31" t="str">
            <v>Golf Course Road</v>
          </cell>
          <cell r="F31" t="str">
            <v>Thursday</v>
          </cell>
          <cell r="G31" t="str">
            <v>9 AM - 12 PM</v>
          </cell>
          <cell r="H31">
            <v>8648</v>
          </cell>
          <cell r="I31">
            <v>2162</v>
          </cell>
          <cell r="J31" t="str">
            <v>Customized</v>
          </cell>
          <cell r="K31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31" t="str">
            <v>1  del of this cycle   -  1-cycles pmnt   Pending - Collect 8648</v>
          </cell>
          <cell r="O31" t="str">
            <v>O n W Asiatic  14 P n W Car ( 14 Inch )  24   4 Areca Palm + 2 Gypsola + 2 Limonium</v>
          </cell>
          <cell r="P31" t="str">
            <v>P n Y Asiatic ( 14 Inch ) 14 Pur n Y Car ( 14 Inch ) 24   4 Areca palm + 2 Gypsola + 2 Limonium</v>
          </cell>
          <cell r="Q31" t="str">
            <v xml:space="preserve">P n W Asiatic ( 14 Inch ) 14 Pur n P Car ( 14 inch ) 24   </v>
          </cell>
          <cell r="R31" t="str">
            <v xml:space="preserve">O n P Asiatic ( 14 Inch ) 14 P n W Car ( 14 Inch ) 24   </v>
          </cell>
          <cell r="S31" t="str">
            <v>O n W Asiatic ( 14 Inch ) 14 R n P Car ( 14 Inch ) 24   4 Areca Palm + 2 Gypsola + 2 Limonim</v>
          </cell>
          <cell r="T31" t="str">
            <v>Y n P Asiatic ( 14 Inch ) 14 Pur n W Car ( 14 Inch ) 24   4 Areca Palm + 2 Gypsola + 2 Limonium</v>
          </cell>
        </row>
        <row r="32">
          <cell r="A32">
            <v>2246</v>
          </cell>
          <cell r="B32" t="str">
            <v>Amita Gupta</v>
          </cell>
          <cell r="C32">
            <v>9811985450</v>
          </cell>
          <cell r="D32" t="str">
            <v>146, Cedar Crest</v>
          </cell>
          <cell r="E32" t="str">
            <v>Nirvana Country</v>
          </cell>
          <cell r="F32" t="str">
            <v>Thursday</v>
          </cell>
          <cell r="G32" t="str">
            <v>9 AM - 12 PM</v>
          </cell>
          <cell r="H32">
            <v>1600</v>
          </cell>
          <cell r="I32">
            <v>200</v>
          </cell>
          <cell r="J32" t="str">
            <v>Bloom</v>
          </cell>
          <cell r="K32" t="str">
            <v>Return today (03/10) Change to bliss (23/10) No Orchid (24/10) Send a vase tom (20/08) Upgrade to bliss (17/12)</v>
          </cell>
          <cell r="L32" t="str">
            <v>Orchid</v>
          </cell>
          <cell r="M32" t="str">
            <v>1 Vase Tom (20/08)</v>
          </cell>
          <cell r="N32" t="str">
            <v>1  del of this cycle   -  1-cycles pmnt   Pending - Collect 1600</v>
          </cell>
          <cell r="O32" t="str">
            <v>Sunflower ( 14 Inch ) 2     FF Sachet + Grass</v>
          </cell>
          <cell r="P32" t="str">
            <v>Mix Alstroemeria ( 12 Inch ) 7     FF Sachet + Grass</v>
          </cell>
          <cell r="Q32" t="str">
            <v>Pur n P Car ( 14 inch ) 7     FF Sachet + Grass</v>
          </cell>
          <cell r="R32" t="str">
            <v>Sunflower ( 12 Inch ) 2     FF Sachet + Grass</v>
          </cell>
          <cell r="S32" t="str">
            <v>P n W Glad ( 14 Inch ) 7     Grass</v>
          </cell>
          <cell r="T32" t="str">
            <v>P n W Car ( 14 Inch ) 7     FF Sachet + Grass</v>
          </cell>
        </row>
        <row r="33">
          <cell r="A33">
            <v>3235</v>
          </cell>
          <cell r="B33" t="str">
            <v>Nishant -- Wellington</v>
          </cell>
          <cell r="C33">
            <v>9833057481</v>
          </cell>
          <cell r="D33" t="str">
            <v>Flat-1B/101, Wellington Estate</v>
          </cell>
          <cell r="E33" t="str">
            <v>DLF Phase 5</v>
          </cell>
          <cell r="F33" t="str">
            <v>Thursday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Paytm From Nishant Pandita // HDTNP (05/03) No Glad or Rajni (06/06)</v>
          </cell>
          <cell r="L33" t="str">
            <v>Glad n Rajni</v>
          </cell>
          <cell r="N33" t="str">
            <v>4  del of this cycle   -  0-cycles pmnt   Completed - Collect 0</v>
          </cell>
          <cell r="O33" t="e">
            <v>#N/A</v>
          </cell>
          <cell r="P33" t="e">
            <v>#N/A</v>
          </cell>
          <cell r="Q33" t="str">
            <v>Pur n P Car ( 14 inch ) 16     FF Sachet + Grass</v>
          </cell>
          <cell r="R33" t="str">
            <v>P Asiatic ( 14 Inch ) 3     Grass</v>
          </cell>
          <cell r="S33" t="str">
            <v>Pur Eustoma ( 12 Inch ) 3     FF Sachet + Grass</v>
          </cell>
          <cell r="T33" t="str">
            <v>P n Y Spray Daisy ( 14 Inch ) 5     FF Sachet + Grass</v>
          </cell>
        </row>
        <row r="34">
          <cell r="A34">
            <v>71</v>
          </cell>
          <cell r="B34" t="str">
            <v>Meenakshi Verma</v>
          </cell>
          <cell r="C34">
            <v>9810044544</v>
          </cell>
          <cell r="D34" t="str">
            <v>D-24, The Belaire Dlf golf course Road Phase 5</v>
          </cell>
          <cell r="E34" t="str">
            <v>Golf Course Road</v>
          </cell>
          <cell r="F34" t="str">
            <v>Thursday</v>
          </cell>
          <cell r="G34" t="str">
            <v>9 AM - 12 PM</v>
          </cell>
          <cell r="H34">
            <v>1950</v>
          </cell>
          <cell r="I34">
            <v>487.5</v>
          </cell>
          <cell r="J34" t="str">
            <v>Joy</v>
          </cell>
          <cell r="K34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34" t="str">
            <v>DAHELIA n GLAD n ROSE n ORCHID n Sunflower (30/04)</v>
          </cell>
          <cell r="N34" t="str">
            <v>3  del of this cycle   -  0-cycles pmnt   Completed - Collect 0</v>
          </cell>
          <cell r="O34" t="str">
            <v>R n W Car ( 14 Inch ) 22     FF Sachet + Grass</v>
          </cell>
          <cell r="P34" t="str">
            <v>P n Y Spray Dausy ( 14 Inch ) 7     FF Sachet + Grass</v>
          </cell>
          <cell r="Q34" t="str">
            <v>Mix Alstroemeria ( 12 Inch ) 22     FF Sachet + Grass</v>
          </cell>
          <cell r="R34" t="str">
            <v>O Asiatic ( 14 Inch ) 4     2 Gypsola</v>
          </cell>
          <cell r="S34" t="str">
            <v>P n W Glad ( 14 Inch ) 22     Grass</v>
          </cell>
          <cell r="T34" t="str">
            <v>P n W Car ( 14 Inch ) 22     FF Sachet + Grass</v>
          </cell>
        </row>
        <row r="35">
          <cell r="A35" t="str">
            <v>G-00028</v>
          </cell>
          <cell r="B35" t="str">
            <v>Niharika Mohanty</v>
          </cell>
          <cell r="C35">
            <v>9711098608</v>
          </cell>
          <cell r="D35" t="str">
            <v>W2A-151, Wellington Estate</v>
          </cell>
          <cell r="E35" t="str">
            <v>DLF Phase 5</v>
          </cell>
          <cell r="F35" t="str">
            <v>Thursday</v>
          </cell>
          <cell r="G35" t="str">
            <v>10 AM to 2:30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From Akriti Chopra // Mixed Flowers // Skip this week (11/03) Skip 1 week (11/03)  Skip 2 week (18/06) Skip 1 week (13/08) Skip 1 week (14/10) Skip 2 weeks (12/11) Skip 1 week (03/12) Skip 1 week (03/01) Hold today (21/05) Skip tom (03/06) Skip today and next week (18/06(</v>
          </cell>
          <cell r="M35" t="str">
            <v>Mixed Flowers</v>
          </cell>
          <cell r="N35" t="str">
            <v>1  del of this cycle   -  1-cycles pmnt   Pending - Collect 1950</v>
          </cell>
          <cell r="O35" t="str">
            <v>Pur Eustoma 2 Mix Spray Car 10   FF Sachet + Grass</v>
          </cell>
          <cell r="P35" t="e">
            <v>#N/A</v>
          </cell>
          <cell r="Q35" t="str">
            <v>Y Asiatic ( 14 Inch ) 2 P n W Glad ( 14 Inch ) 11   2 Gypsola</v>
          </cell>
          <cell r="R35" t="str">
            <v>Sunflower ( 12 Inch ) 3 Mix Alstroemeria ( 12 inch )  11   FF Sachet + Grass</v>
          </cell>
          <cell r="S35" t="e">
            <v>#N/A</v>
          </cell>
          <cell r="T35" t="str">
            <v>P Eustoma ( 12 Inch ) 2 Pur n W Car ( 14 Inch ) 11   FF Sachet + Grass</v>
          </cell>
        </row>
        <row r="36">
          <cell r="A36">
            <v>1140</v>
          </cell>
          <cell r="B36" t="str">
            <v>Nidhi Singh</v>
          </cell>
          <cell r="C36" t="str">
            <v>8383036664//9899389873</v>
          </cell>
          <cell r="D36" t="str">
            <v>D-8/3, Ground Floor DLF Exclusive Floors</v>
          </cell>
          <cell r="E36" t="str">
            <v>DLF Phase 5</v>
          </cell>
          <cell r="F36" t="str">
            <v>Thursday</v>
          </cell>
          <cell r="G36" t="str">
            <v>9 AM - 12 PM</v>
          </cell>
          <cell r="H36">
            <v>2300</v>
          </cell>
          <cell r="I36">
            <v>287.5</v>
          </cell>
          <cell r="J36" t="str">
            <v>Felicity</v>
          </cell>
          <cell r="K36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36" t="str">
            <v>ROSE</v>
          </cell>
          <cell r="N36" t="str">
            <v>1  del of this cycle   -  1-cycles pmnt   Pending - Collect 2300</v>
          </cell>
          <cell r="O36" t="str">
            <v>P n W Glad ( 14 Inch ) 11     Grass</v>
          </cell>
          <cell r="P36" t="str">
            <v>P Spray Daisy ( 14 Inch ) 3     FF Sachet + Grass</v>
          </cell>
          <cell r="Q36" t="str">
            <v>Pur Eustoma ( 12 Inch ) 3     FF Sachet + Grass</v>
          </cell>
          <cell r="R36" t="str">
            <v>Rajni ( 14 Inch ) 11     Grass</v>
          </cell>
          <cell r="S36" t="str">
            <v>P n W Glad ( 14 Inch ) 11     Grass</v>
          </cell>
          <cell r="T36" t="str">
            <v>Pur n P Car ( 14 Inch ) 11     FF Sachet + Grass</v>
          </cell>
        </row>
        <row r="37">
          <cell r="A37">
            <v>58</v>
          </cell>
          <cell r="B37" t="str">
            <v>Ms. Anupma Chandna</v>
          </cell>
          <cell r="C37">
            <v>8130077970</v>
          </cell>
          <cell r="D37" t="str">
            <v>32, aspen greens, nirvana</v>
          </cell>
          <cell r="E37" t="str">
            <v>Nirvana Country</v>
          </cell>
          <cell r="F37" t="str">
            <v>Thursday</v>
          </cell>
          <cell r="G37" t="str">
            <v>9 AM - 12 PM</v>
          </cell>
          <cell r="H37">
            <v>1950</v>
          </cell>
          <cell r="I37">
            <v>487.5</v>
          </cell>
          <cell r="J37" t="str">
            <v>Joy</v>
          </cell>
          <cell r="K37" t="str">
            <v>No Rose // Hold n start from 04th Dec (03/11) No Greens</v>
          </cell>
          <cell r="L37" t="str">
            <v>Rose</v>
          </cell>
          <cell r="M37" t="str">
            <v>No Greens</v>
          </cell>
          <cell r="N37" t="str">
            <v>4  del of this cycle   -  0-cycles pmnt   Completed - Collect 0</v>
          </cell>
          <cell r="O37" t="str">
            <v>P n W Spray Daisy ( 15 Inch ) 4 R n W Car ( 14 Inch ) 11   FF Sachet + Grass</v>
          </cell>
          <cell r="P37" t="str">
            <v>W Asiatic ( 14 Inch ) 2 Mix Alstroemeria ( 12 Inch ) 11   Grass</v>
          </cell>
          <cell r="Q37" t="str">
            <v>Pur Eustoma ( 12 Inch ) 3 P n W Glad ( 14 Inch ) 11   FF Sachet + Grass</v>
          </cell>
          <cell r="R37" t="str">
            <v>Sunflower ( 12 Inch ) 3 Pur n P Car ( 14 Inch ) 11   FF Sachet + Grass</v>
          </cell>
          <cell r="S37" t="str">
            <v>P Asiatic ( 14 Inch ) 2 B Daisy ( 12 Inch ) 11   Grass</v>
          </cell>
          <cell r="T37" t="str">
            <v>P n Y Spray Daisy ( 14 Inch ) 5 Rajni ( 14 Inch ) 16   FF Sachet + Grass</v>
          </cell>
        </row>
        <row r="38">
          <cell r="A38">
            <v>221</v>
          </cell>
          <cell r="B38" t="str">
            <v>Convinience Enterprises-Sonali anand</v>
          </cell>
          <cell r="C38">
            <v>9810524040</v>
          </cell>
          <cell r="D38" t="str">
            <v>E-243 belaire apartments</v>
          </cell>
          <cell r="E38" t="str">
            <v>Golf Course Road</v>
          </cell>
          <cell r="F38" t="str">
            <v>Thursday</v>
          </cell>
          <cell r="G38" t="str">
            <v>9 AM - 12 PM</v>
          </cell>
          <cell r="H38">
            <v>2750</v>
          </cell>
          <cell r="I38">
            <v>687.5</v>
          </cell>
          <cell r="J38" t="str">
            <v>Corporate</v>
          </cell>
          <cell r="K38" t="str">
            <v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v>
          </cell>
          <cell r="N38" t="str">
            <v>3  del of this cycle   -  0-cycles pmnt   In Process - Collect 0</v>
          </cell>
          <cell r="O38" t="str">
            <v>O Asiatic ( 14 Inch ) 6     2 Limonium</v>
          </cell>
          <cell r="P38" t="str">
            <v>Sunflower ( 12 Inch ) 7     2 Gypsola + FF Sachet</v>
          </cell>
          <cell r="Q38" t="e">
            <v>#N/A</v>
          </cell>
          <cell r="R38" t="e">
            <v>#N/A</v>
          </cell>
          <cell r="S38" t="e">
            <v>#N/A</v>
          </cell>
          <cell r="T38" t="str">
            <v xml:space="preserve">P Asiatic ( 14 Inch ) 6     </v>
          </cell>
        </row>
        <row r="39">
          <cell r="A39">
            <v>1455</v>
          </cell>
          <cell r="B39" t="str">
            <v>Gagan Ahluwalia</v>
          </cell>
          <cell r="C39">
            <v>9811105056</v>
          </cell>
          <cell r="D39" t="str">
            <v>C-82, The Summit</v>
          </cell>
          <cell r="E39" t="str">
            <v>Golf Course Road</v>
          </cell>
          <cell r="F39" t="str">
            <v>Thursday</v>
          </cell>
          <cell r="G39" t="str">
            <v>9 AM - 12 PM</v>
          </cell>
          <cell r="H39">
            <v>2300</v>
          </cell>
          <cell r="I39">
            <v>287.5</v>
          </cell>
          <cell r="J39" t="str">
            <v>Felicity</v>
          </cell>
          <cell r="K39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39" t="str">
            <v>7  del of this cycle   -  0-cycles pmnt   Completed - Collect 0</v>
          </cell>
          <cell r="O39" t="e">
            <v>#N/A</v>
          </cell>
          <cell r="P39" t="str">
            <v>P n W Glad ( 14 Inch ) 11     Grass</v>
          </cell>
          <cell r="Q39" t="str">
            <v>Rajni ( 14 Inch ) 11     Grass</v>
          </cell>
          <cell r="R39" t="str">
            <v>Pur n P Car ( 14 inch ) 11     FF Sachet + Grass</v>
          </cell>
          <cell r="S39" t="str">
            <v>P Spray Daisy ( 14 Inch ) 3     FF Sachet + Grass</v>
          </cell>
          <cell r="T39" t="str">
            <v>Sunflower ( 12 Inch ) 3     FF Sachet + Grass</v>
          </cell>
        </row>
        <row r="40">
          <cell r="A40">
            <v>2502</v>
          </cell>
          <cell r="B40" t="str">
            <v>Amrita Sarup</v>
          </cell>
          <cell r="C40">
            <v>7028026940</v>
          </cell>
          <cell r="D40" t="str">
            <v>D1/802, Experion Heartsong, Sec 108</v>
          </cell>
          <cell r="E40" t="str">
            <v>Dwarka Expressway</v>
          </cell>
          <cell r="F40" t="str">
            <v>Thursday</v>
          </cell>
          <cell r="G40" t="str">
            <v>4 Pm to 7 PM</v>
          </cell>
          <cell r="H40">
            <v>1450</v>
          </cell>
          <cell r="I40">
            <v>362.5</v>
          </cell>
          <cell r="J40" t="str">
            <v>Bliss</v>
          </cell>
          <cell r="K40" t="str">
            <v>No Asiatic n Spray Daisy // Today Hold (14/08) Replacement tom (04/12) No Orchid (11/12) No BOP n Orchid (12/12) Today Returned -send on Sunday (18/12) Returned today (01/01/26) Next 3 Deliveries with Premium (11/.04)</v>
          </cell>
          <cell r="L40" t="str">
            <v>BOP n Orchid</v>
          </cell>
          <cell r="M40" t="str">
            <v>Next 3 Deliveries with Premium (11/.04)</v>
          </cell>
          <cell r="N40" t="str">
            <v>1  del of this cycle   -  1-cycles pmnt   Pending - Collect 1450</v>
          </cell>
          <cell r="O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str">
            <v>Pur n P Car ( 14 Inch ) 16     FF Sachet + Grass</v>
          </cell>
        </row>
        <row r="41">
          <cell r="A41">
            <v>3071</v>
          </cell>
          <cell r="B41" t="str">
            <v>Divya Rawat</v>
          </cell>
          <cell r="C41">
            <v>8390310325</v>
          </cell>
          <cell r="D41" t="str">
            <v>D-13/14, 1st Floor, DLF Exclusive Floor</v>
          </cell>
          <cell r="E41" t="str">
            <v>DLF Phase 5</v>
          </cell>
          <cell r="F41" t="str">
            <v>Thursday</v>
          </cell>
          <cell r="G41" t="str">
            <v>9 AM - 12 PM</v>
          </cell>
          <cell r="H41">
            <v>1450</v>
          </cell>
          <cell r="I41">
            <v>362.5</v>
          </cell>
          <cell r="J41" t="str">
            <v>Bliss</v>
          </cell>
          <cell r="K41" t="str">
            <v>Return today (04/12) Hold today (05/03) Returned today (28/05) HDTNP (25/06)</v>
          </cell>
          <cell r="N41" t="str">
            <v>3  del of this cycle   -  1-cycles pmnt   Pending - Collect 1450</v>
          </cell>
          <cell r="O41" t="str">
            <v>W Asiatic ( 14 Inch ) 2 P n W Glad 7   Grass</v>
          </cell>
          <cell r="P41" t="str">
            <v>Pur Eustoma ( 14 Inch ) 2 Pur n P Car ( 14 Inch ) 7   FF Sachet + Grass</v>
          </cell>
          <cell r="Q41" t="str">
            <v>P Spray Daisy ( 14 Inch ) 3 Mix Alstroemeria ( 12 Inch ) 7   FF Sachet + Grass</v>
          </cell>
          <cell r="R41" t="str">
            <v>Sunflower ( 12 Inch ) 2 P n W Glad ( 14 Inch ) 7   FF Sachet + Grass</v>
          </cell>
          <cell r="S41" t="e">
            <v>#N/A</v>
          </cell>
          <cell r="T41" t="str">
            <v>P Asiatic ( 14 Inch ) 2 Rajni ( 14 Inch ) 7  Collect Payment Grass</v>
          </cell>
        </row>
        <row r="42">
          <cell r="A42">
            <v>921</v>
          </cell>
          <cell r="B42" t="str">
            <v>Anumeha</v>
          </cell>
          <cell r="C42" t="str">
            <v>9899901949// 9953511987</v>
          </cell>
          <cell r="D42" t="str">
            <v>T-04/1701, South Close</v>
          </cell>
          <cell r="E42" t="str">
            <v>Nirvana Country</v>
          </cell>
          <cell r="F42" t="str">
            <v>Thursday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42" t="str">
            <v>No rajni till Oct (31/08)</v>
          </cell>
          <cell r="N42" t="str">
            <v>4  del of this cycle   -  0-cycles pmnt   Completed - Collect 0</v>
          </cell>
          <cell r="O42" t="str">
            <v>Mix Alstroemeria ( 12 Inch ) 16     FF Sachet + grass</v>
          </cell>
          <cell r="P42" t="str">
            <v>P n W Glad ( 14 Inch ) 16     Grass</v>
          </cell>
          <cell r="Q42" t="str">
            <v>P n W Spray Daisy ( 14 Inch ) 5     FF Sachet + Grass</v>
          </cell>
          <cell r="R42" t="str">
            <v>Sunflower ( 12 Inch ) 4     FF Sachet + Grass</v>
          </cell>
          <cell r="S42" t="str">
            <v>Pur n P Car ( 14 Inch ) 16     FF Sachet + Grass</v>
          </cell>
          <cell r="T42" t="str">
            <v>O Asiatic ( 14 Inch ) 3     Grass</v>
          </cell>
        </row>
        <row r="43">
          <cell r="A43">
            <v>2204</v>
          </cell>
          <cell r="B43" t="str">
            <v>Bidisha Dey</v>
          </cell>
          <cell r="C43">
            <v>9811969982</v>
          </cell>
          <cell r="D43" t="str">
            <v>C-24, Carlton Estate-1, Club Drive</v>
          </cell>
          <cell r="E43" t="str">
            <v>DLF Phase 5</v>
          </cell>
          <cell r="F43" t="str">
            <v>Thursday</v>
          </cell>
          <cell r="G43" t="str">
            <v>9:30 Am to 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Skip 1 week (03/06) Returned send next week (11/07) Skip 1 week (08/01) Skip 1 week (26/03) Skip tom (02/07) Today Returned (20/11) HDTNP (25/06)</v>
          </cell>
          <cell r="N43" t="str">
            <v>4  del of this cycle   -  1-cycles pmnt   Pending - Collect 1450</v>
          </cell>
          <cell r="O43" t="str">
            <v>O Asiatic ( 14 Inch ) 3     Grass</v>
          </cell>
          <cell r="P43" t="str">
            <v>P n W Glad ( 14 Inch ) 16     Grass</v>
          </cell>
          <cell r="Q43" t="str">
            <v>Pur n P Car ( 14 inch ) 16     FF Sachet + Grass</v>
          </cell>
          <cell r="R43" t="str">
            <v>Sunflower ( 12 Inch ) 4     FF Sachet + Grass</v>
          </cell>
          <cell r="S43" t="e">
            <v>#N/A</v>
          </cell>
          <cell r="T43" t="str">
            <v>P Asiatic ( 14 Inch ) 3    Collect payment Grass</v>
          </cell>
        </row>
        <row r="44">
          <cell r="A44">
            <v>3270</v>
          </cell>
          <cell r="B44" t="str">
            <v>Tanya Sharma</v>
          </cell>
          <cell r="C44">
            <v>7022251818</v>
          </cell>
          <cell r="D44" t="str">
            <v>T-8/202, Chintel Serenity, Sec 109</v>
          </cell>
          <cell r="E44" t="str">
            <v>Dwarka Expressway</v>
          </cell>
          <cell r="F44" t="str">
            <v>Thursday</v>
          </cell>
          <cell r="G44" t="str">
            <v>4 Pm to 7 PM</v>
          </cell>
          <cell r="H44">
            <v>1950</v>
          </cell>
          <cell r="I44">
            <v>487.5</v>
          </cell>
          <cell r="J44" t="str">
            <v>Joy</v>
          </cell>
          <cell r="K44" t="str">
            <v>No Yellow wn Purple // no Rajni (02/02) No ALstroemeria and do not count last del(19/06) Pls Don’t count last del (26/06)</v>
          </cell>
          <cell r="L44" t="str">
            <v>Rajni n Alstroemeria</v>
          </cell>
          <cell r="M44" t="str">
            <v>No Yellow wn Purple // Stock Next (02/03)</v>
          </cell>
          <cell r="N44" t="str">
            <v>3  del of this cycle   -  0-cycles pmnt   Completed - Collect 0</v>
          </cell>
          <cell r="O44" t="str">
            <v>Pur Eustoma 2 Mix Alstroemeria ( 12 Inch ) 11   FF Sachet + Grass</v>
          </cell>
          <cell r="P44" t="str">
            <v>W Asiatic ( 14 Inch ) 2 P n W Glad ( 14 Inch ) 11   Grass</v>
          </cell>
          <cell r="Q44" t="str">
            <v>G n W Spray Daisy ( 14 Inch ) 4 P n W Car ( 14 Inch ) 11   FF Sachet + Grass</v>
          </cell>
          <cell r="R44" t="str">
            <v>P Eustoma ( 12 Inch ) 2 Mix Alstroemeria ( 12 inch )  11   FF Sachet + Grass</v>
          </cell>
          <cell r="S44" t="str">
            <v>O Asiatic ( 14 Inch ) 2 Rajni ( 14 Inch ) 11   Grass</v>
          </cell>
          <cell r="T44" t="str">
            <v>P n Y Spray Daisy ( 14 Inch ) 4 P n W Glad ( 14 Inch ) 11   FF Sachet + Grass</v>
          </cell>
        </row>
        <row r="45">
          <cell r="A45">
            <v>3097</v>
          </cell>
          <cell r="B45" t="str">
            <v>Jamie Miller</v>
          </cell>
          <cell r="C45">
            <v>7428737502</v>
          </cell>
          <cell r="D45" t="str">
            <v>D-072, The DLF Crest</v>
          </cell>
          <cell r="E45" t="str">
            <v>Golf Course Road</v>
          </cell>
          <cell r="F45" t="str">
            <v>Thursday</v>
          </cell>
          <cell r="G45" t="str">
            <v>9:30 Am to 2 PM</v>
          </cell>
          <cell r="H45">
            <v>2750</v>
          </cell>
          <cell r="I45">
            <v>687.5</v>
          </cell>
          <cell r="J45" t="str">
            <v>Elation</v>
          </cell>
          <cell r="K45" t="str">
            <v>From James Brittan // Skip 2 week (20/12) Today Returned (22/01) Skip 3 weeks (26/01) Skip 1 week (17/03) Skip 2 week (31/05)</v>
          </cell>
          <cell r="N45" t="str">
            <v>3  del of this cycle   -  0-cycles pmnt   Completed - Collect 0</v>
          </cell>
          <cell r="O45" t="str">
            <v>Pur n p Eustoma 4 P n W Glad ( 14 Inch ) 16   2 Limonium + FF Sachet</v>
          </cell>
          <cell r="P45" t="e">
            <v>#N/A</v>
          </cell>
          <cell r="Q45" t="e">
            <v>#N/A</v>
          </cell>
          <cell r="R45" t="str">
            <v xml:space="preserve">P Asiatic ( 14 Inch ) 3 Pur n P Car ( 14 Inch ) 16   2 Gypsola </v>
          </cell>
          <cell r="S45" t="str">
            <v>Sunflower ( 12 Inch) 4 B Daisy ( 12 Inch ) 16   2 Limonium + FF Sachet</v>
          </cell>
          <cell r="T45" t="str">
            <v xml:space="preserve">Pur n P Eustoma ( 12 Inch ) 4 Rajni ( 14 Inch ) 16   </v>
          </cell>
        </row>
        <row r="46">
          <cell r="A46">
            <v>179</v>
          </cell>
          <cell r="B46" t="str">
            <v>Sarita Dosaj</v>
          </cell>
          <cell r="C46">
            <v>9810077026</v>
          </cell>
          <cell r="D46" t="str">
            <v>B-24, Trinity Towers</v>
          </cell>
          <cell r="E46" t="str">
            <v>DLF Phase 5</v>
          </cell>
          <cell r="F46" t="str">
            <v>Thursday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Bliss</v>
          </cell>
          <cell r="K46" t="str">
            <v>One Color Flower ( 06/06) HDTNP (25/06)</v>
          </cell>
          <cell r="M46" t="str">
            <v>One Color Flower ( 06/06)</v>
          </cell>
          <cell r="N46" t="str">
            <v>3  del of this cycle   -  1-cycles pmnt   Pending - Collect 1350</v>
          </cell>
          <cell r="O46" t="str">
            <v>R n W Car ( 14 Inch ) 16     FF Sachet + grass</v>
          </cell>
          <cell r="P46" t="str">
            <v>P n W Spray Daisy ( 14 Inch ) 5     FF Sachet + Grass</v>
          </cell>
          <cell r="Q46" t="str">
            <v>P Glad ( 14 Inch ) 16 One Color Flower Only    Grass</v>
          </cell>
          <cell r="R46" t="str">
            <v>O Asiatic ( 14 Inch ) 3 Collect Cash Collect Cash    Grass</v>
          </cell>
          <cell r="S46" t="e">
            <v>#N/A</v>
          </cell>
          <cell r="T46" t="str">
            <v>Sunflower ( 12 Inch ) 4    Collect payment FF Sachet + Grass</v>
          </cell>
        </row>
        <row r="47">
          <cell r="A47">
            <v>3205</v>
          </cell>
          <cell r="B47" t="str">
            <v>Supriya -- The Icon</v>
          </cell>
          <cell r="C47">
            <v>9650802228</v>
          </cell>
          <cell r="D47" t="str">
            <v>B-31, The Icon</v>
          </cell>
          <cell r="E47" t="str">
            <v>DLF Phase 5</v>
          </cell>
          <cell r="F47" t="str">
            <v>Thursday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Paytm from Nutan Joshi (19/04)</v>
          </cell>
          <cell r="N47" t="str">
            <v>4  del of this cycle   -  0-cycles pmnt   Completed - Collect 0</v>
          </cell>
          <cell r="O47" t="str">
            <v>P Spray Daisy ( 15 Inch ) 3 P n W Car ( 14 Inch )  7   FF Sachet + grass</v>
          </cell>
          <cell r="P47" t="str">
            <v>P Eustoma (14 Inch ) 2 Mix Alstroemeria ( 12 Inch ) 7   FF Sachet + Grass</v>
          </cell>
          <cell r="Q47" t="str">
            <v>Sunflower ( 12 Inch ) 2 P n W Glad ( 14 Inch ) 7   FF Sachet + Grass</v>
          </cell>
          <cell r="R47" t="str">
            <v>P Asiatic ( 14 Inch ) 2 Pur n P Car ( 14 Inch ) 7   Grass</v>
          </cell>
          <cell r="S47" t="str">
            <v>Y Spray Daisy ( 14 Inch ) 3 Rajni ( 14 Inch ) 7   FF Sachet + Grass</v>
          </cell>
          <cell r="T47" t="str">
            <v>Pur Eustoma 2 P n W Glad ( 14 Inch ) 7   FF Sachet + Grass</v>
          </cell>
        </row>
        <row r="48">
          <cell r="A48">
            <v>3247</v>
          </cell>
          <cell r="B48" t="str">
            <v>V P Singh</v>
          </cell>
          <cell r="C48">
            <v>9717986555</v>
          </cell>
          <cell r="D48" t="str">
            <v>WT04/701, Experion Windchantsm Sec 112</v>
          </cell>
          <cell r="E48" t="str">
            <v>Dwarka Expressway</v>
          </cell>
          <cell r="F48" t="str">
            <v>Thursday</v>
          </cell>
          <cell r="G48" t="str">
            <v>4 Pm to 7 PM</v>
          </cell>
          <cell r="H48">
            <v>1450</v>
          </cell>
          <cell r="I48">
            <v>362.5</v>
          </cell>
          <cell r="J48" t="str">
            <v>Bliss</v>
          </cell>
          <cell r="K48" t="str">
            <v>Paytm From Vijay Pratap Singh</v>
          </cell>
          <cell r="N48" t="str">
            <v>2  del of this cycle   -  0-cycles pmnt   Completed - Collect 0</v>
          </cell>
          <cell r="O48" t="str">
            <v>Mix Alstroemeria ( 12 Inch ) 16     FF Sachet + grass</v>
          </cell>
          <cell r="P48" t="str">
            <v>Mix Car 16     Grass</v>
          </cell>
          <cell r="Q48" t="str">
            <v>P n W Glad ( 14 Inch ) 16     Grass</v>
          </cell>
          <cell r="R48" t="str">
            <v>Sunflower ( 12 Inch ) 4 With Bouquet in Morning Pls With Bouquet in Morning Pls With Bouquet in Morning Pls  FF Sachet + Grass</v>
          </cell>
          <cell r="S48" t="str">
            <v>Pur Eustoma ( 12 Inch ) 3     FF Sachet + Grass</v>
          </cell>
          <cell r="T48" t="str">
            <v>O Asiatic ( 14 Inch ) 3     Grass</v>
          </cell>
        </row>
        <row r="49">
          <cell r="A49">
            <v>3385</v>
          </cell>
          <cell r="B49" t="str">
            <v>Srishti Verma</v>
          </cell>
          <cell r="C49">
            <v>9604584926</v>
          </cell>
          <cell r="D49" t="str">
            <v>H. No. 126, Flat No. 302, Road D3, Indira Colony, Sec 52</v>
          </cell>
          <cell r="E49" t="str">
            <v>Artemis</v>
          </cell>
          <cell r="F49" t="str">
            <v>Thursday</v>
          </cell>
          <cell r="G49" t="str">
            <v>4 Pm to 7 PM</v>
          </cell>
          <cell r="H49">
            <v>1950</v>
          </cell>
          <cell r="I49">
            <v>487.5</v>
          </cell>
          <cell r="J49" t="str">
            <v>Joy</v>
          </cell>
          <cell r="N49" t="str">
            <v>2  del of this cycle   -  0-cycles pmnt   Completed - Collect 0</v>
          </cell>
          <cell r="O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str">
            <v>Pur n P Car ( 14 Inch ) 22     FF Sachet + Grass</v>
          </cell>
          <cell r="T49" t="str">
            <v>O Asiatic ( 14 Inch ) 4     Grass</v>
          </cell>
        </row>
        <row r="50">
          <cell r="A50">
            <v>3107</v>
          </cell>
          <cell r="B50" t="str">
            <v>Richa -- Icon</v>
          </cell>
          <cell r="C50">
            <v>9811394916</v>
          </cell>
          <cell r="D50" t="str">
            <v>B-173, the Icon</v>
          </cell>
          <cell r="E50" t="str">
            <v>DLF Phase 5</v>
          </cell>
          <cell r="F50" t="str">
            <v>Thursday</v>
          </cell>
          <cell r="G50" t="str">
            <v>10 AM to 2:30 PM</v>
          </cell>
          <cell r="H50">
            <v>1450</v>
          </cell>
          <cell r="I50">
            <v>362.5</v>
          </cell>
          <cell r="J50" t="str">
            <v>Bliss</v>
          </cell>
          <cell r="K50" t="str">
            <v>Paytm From Ankit Gupta (01/11) Skip 08th and 15th Jan (16/12) Hold till 16th Jan (19/12) Skip 1 week (12/02) Skip 1 week (11/03) Skip 1 week (01/04) Hold n strat from 02nd July (28/05)</v>
          </cell>
          <cell r="N50" t="str">
            <v>1  del of this cycle   -  1-cycles pmnt   Pending - Collect 1450</v>
          </cell>
          <cell r="O50" t="str">
            <v>P n Y Spray Daisy ( 15 Inch ) 5     FF Sachet + grass</v>
          </cell>
          <cell r="P50" t="e">
            <v>#N/A</v>
          </cell>
          <cell r="Q50" t="e">
            <v>#N/A</v>
          </cell>
          <cell r="R50" t="e">
            <v>#N/A</v>
          </cell>
          <cell r="S50" t="e">
            <v>#N/A</v>
          </cell>
          <cell r="T50" t="str">
            <v>Pur n P Car ( 14 Inch ) 16     FF Sachet + Grass</v>
          </cell>
        </row>
        <row r="51">
          <cell r="A51">
            <v>236</v>
          </cell>
          <cell r="B51" t="str">
            <v>Dr. Arti Gupta 1</v>
          </cell>
          <cell r="C51">
            <v>8860079525</v>
          </cell>
          <cell r="D51" t="str">
            <v>Mayom Hospital, D block south city 1</v>
          </cell>
          <cell r="E51" t="str">
            <v>South City 1</v>
          </cell>
          <cell r="F51" t="str">
            <v>Mondau</v>
          </cell>
          <cell r="G51" t="str">
            <v>9 AM - 12 PM</v>
          </cell>
          <cell r="H51">
            <v>1450</v>
          </cell>
          <cell r="I51">
            <v>362.5</v>
          </cell>
          <cell r="J51" t="str">
            <v>Corporate</v>
          </cell>
          <cell r="K51" t="str">
            <v>Pls send a replacement of Asiatic tomorrow(23/08)NO GERBERA(22/09) Start special Pack(13/04) Send Del on Monday this week(20/03) NEVER BUT DAISIES(29/10) Hold today (22/01) HDTNP (19/02) Sent one xtra del today (29/06)</v>
          </cell>
          <cell r="N51" t="str">
            <v>3  del of this cycle   -  0-cycles pmnt   In Process - Collect 0</v>
          </cell>
          <cell r="O51" t="str">
            <v>P n W Glad ( 14 Inch ) 16     Grass</v>
          </cell>
          <cell r="P51" t="str">
            <v>Mix Alstroemeria ( 12 Inch ) 16     FF Sachet + Grass</v>
          </cell>
          <cell r="Q51" t="str">
            <v>Pur n P Car ( 14 inch ) 16     FF Sachet + Grass</v>
          </cell>
          <cell r="R51" t="str">
            <v>P n W Glad ( 14 Inch ) 16     Grass</v>
          </cell>
          <cell r="S51" t="str">
            <v>Rajni ( 14 Inch ) 16     Grass</v>
          </cell>
          <cell r="T51" t="str">
            <v>B Daisy ( 12 Inch ) 10     Grass</v>
          </cell>
        </row>
        <row r="52">
          <cell r="A52">
            <v>366</v>
          </cell>
          <cell r="B52" t="str">
            <v>Dr. Arti Gupta 1</v>
          </cell>
          <cell r="C52">
            <v>8860079525</v>
          </cell>
          <cell r="D52" t="str">
            <v>Mayom Hospital, D block south city 1</v>
          </cell>
          <cell r="E52" t="str">
            <v>South City 1</v>
          </cell>
          <cell r="F52" t="str">
            <v>Monday</v>
          </cell>
          <cell r="G52" t="str">
            <v>9 AM - 12 PM</v>
          </cell>
          <cell r="H52">
            <v>1450</v>
          </cell>
          <cell r="I52">
            <v>362.5</v>
          </cell>
          <cell r="J52" t="str">
            <v>Corporate</v>
          </cell>
          <cell r="K52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</v>
          </cell>
          <cell r="N52" t="str">
            <v>3  del of this cycle   -  0-cycles pmnt   In Process - Collect 0</v>
          </cell>
          <cell r="O52" t="str">
            <v>W Asiatic ( 14 Inch ) 3     Grass</v>
          </cell>
          <cell r="P52" t="str">
            <v>P Asiatic ( 14 Inch ) 3     Grass</v>
          </cell>
          <cell r="Q52" t="str">
            <v>Y Asiatic ( 14 Inch ) 3     Grass</v>
          </cell>
          <cell r="R52" t="str">
            <v>O Asiatic ( 14 Inch ) 3     Grass</v>
          </cell>
          <cell r="S52" t="str">
            <v>Pur Eustoma ( 12 Inch ) 3     FF Sachet + Grass</v>
          </cell>
          <cell r="T52" t="str">
            <v>P Asiatic ( 14 Inch ) 3     Grass</v>
          </cell>
        </row>
        <row r="53">
          <cell r="A53">
            <v>2961</v>
          </cell>
          <cell r="B53" t="str">
            <v>Vishal Sagar</v>
          </cell>
          <cell r="C53">
            <v>9990720203</v>
          </cell>
          <cell r="D53" t="str">
            <v>E-002, The Residency, Aardee City, Gate No. 2</v>
          </cell>
          <cell r="E53" t="str">
            <v>Sushant Estate</v>
          </cell>
          <cell r="F53" t="str">
            <v>Thursday</v>
          </cell>
          <cell r="G53" t="str">
            <v>9 AM to 2 PM</v>
          </cell>
          <cell r="H53">
            <v>999</v>
          </cell>
          <cell r="I53">
            <v>249.75</v>
          </cell>
          <cell r="J53" t="str">
            <v>Collection Only</v>
          </cell>
          <cell r="K53" t="str">
            <v>Paytm From Vasudha Rana (26/02) Send 4 FF Sachet Next (27/02) HDTNP (21/05) Send on sat this week (22/05) HDTNP (25/06)</v>
          </cell>
          <cell r="M53" t="str">
            <v>4 FF Next (27/02)</v>
          </cell>
          <cell r="N53" t="str">
            <v>3  del of this cycle   -  1-cycles pmnt   Pending - Collect 999</v>
          </cell>
          <cell r="O53" t="str">
            <v>R n W Car ( 14 Inch ) 9     FF Sachet + Grass</v>
          </cell>
          <cell r="P53" t="str">
            <v>Y Spray Daisy ( 15 Inch ) 3     FF Sachet + Grass</v>
          </cell>
          <cell r="Q53" t="str">
            <v>P n W Glad ( 14 Inch ) 9     Gras</v>
          </cell>
          <cell r="R53" t="str">
            <v>Sunflower ( 12 Inch ) 2     FF Sachet + Grass</v>
          </cell>
          <cell r="S53" t="e">
            <v>#N/A</v>
          </cell>
          <cell r="T53" t="str">
            <v xml:space="preserve">Collect 500 n Close      </v>
          </cell>
        </row>
        <row r="54">
          <cell r="A54">
            <v>2779</v>
          </cell>
          <cell r="B54" t="str">
            <v>Riddhi Desai</v>
          </cell>
          <cell r="C54">
            <v>8130497969</v>
          </cell>
          <cell r="D54" t="str">
            <v>D-71, The Icon</v>
          </cell>
          <cell r="E54" t="str">
            <v>Golf Course Road</v>
          </cell>
          <cell r="F54" t="str">
            <v>Sunday</v>
          </cell>
          <cell r="G54" t="str">
            <v>9 AM to 2 PM</v>
          </cell>
          <cell r="H54">
            <v>1600</v>
          </cell>
          <cell r="I54">
            <v>200</v>
          </cell>
          <cell r="J54" t="str">
            <v>Bloom</v>
          </cell>
          <cell r="K54" t="str">
            <v>Send this week on Saturday (14/08) Skip 1 week (21/12) Hold till 2nd June (20/05)</v>
          </cell>
          <cell r="N54" t="str">
            <v>6  del of this cycle   -  0-cycles pmnt   Completed - Collect 0</v>
          </cell>
          <cell r="O54" t="e">
            <v>#N/A</v>
          </cell>
          <cell r="P54" t="str">
            <v>P n W Car ( 14 Inch ) 7     FF Sachet + Grass</v>
          </cell>
          <cell r="Q54" t="str">
            <v>Y Spray Daisy ( 14 Inch ) 2     Grass</v>
          </cell>
          <cell r="R54" t="str">
            <v>Sunflower ( 12 Inch ) 2     FF Sachet + Grass</v>
          </cell>
          <cell r="S54" t="str">
            <v>Rajni ( 14 Inch ) 7     Grass</v>
          </cell>
          <cell r="T54" t="str">
            <v>Pur n P Car ( 14 Inch ) 7     FF Sachet + Grass</v>
          </cell>
        </row>
        <row r="55">
          <cell r="A55">
            <v>884</v>
          </cell>
          <cell r="B55" t="str">
            <v>Bhavna Taneja</v>
          </cell>
          <cell r="C55">
            <v>9811192021</v>
          </cell>
          <cell r="D55" t="str">
            <v>F-214, DLF The Crest,Sec-54</v>
          </cell>
          <cell r="E55" t="str">
            <v>Golf Course Road</v>
          </cell>
          <cell r="F55" t="str">
            <v>Thursday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55" t="str">
            <v>GULDAWARI n BOP n GERBERA</v>
          </cell>
          <cell r="M55" t="str">
            <v>Mixed Now</v>
          </cell>
          <cell r="N55" t="str">
            <v>2  del of this cycle   -  1-cycles pmnt   Pending - Collect 1450</v>
          </cell>
          <cell r="O55" t="str">
            <v>O Asiatic ( 14 Inch ) 3     Grass</v>
          </cell>
          <cell r="P55" t="str">
            <v>P n W Spray Daisy ( 14 Inch ) 5     FF Sachet + Grass</v>
          </cell>
          <cell r="Q55" t="str">
            <v>P n W Glad ( 14 Inch ) 16     Grass</v>
          </cell>
          <cell r="R55" t="e">
            <v>#N/A</v>
          </cell>
          <cell r="S55" t="str">
            <v>Pur n P Car ( 14 Inch ) 16     FF Sachet + Grass</v>
          </cell>
          <cell r="T55" t="str">
            <v>Sunflower ( 12 Inch ) 4    Collect Payment FF Sachet + Grass</v>
          </cell>
        </row>
        <row r="56">
          <cell r="A56">
            <v>3393</v>
          </cell>
          <cell r="B56" t="str">
            <v>Runul Vashishtha</v>
          </cell>
          <cell r="C56">
            <v>9871812384</v>
          </cell>
          <cell r="D56" t="str">
            <v>C-84, DLF Park Place, Park Drive, GCR</v>
          </cell>
          <cell r="E56" t="str">
            <v>Golf Course Road</v>
          </cell>
          <cell r="F56" t="str">
            <v>Thursday</v>
          </cell>
          <cell r="G56" t="str">
            <v>9 AM to 2 PM</v>
          </cell>
          <cell r="H56">
            <v>1450</v>
          </cell>
          <cell r="I56">
            <v>362.5</v>
          </cell>
          <cell r="J56" t="str">
            <v>Bliss</v>
          </cell>
          <cell r="N56" t="str">
            <v>1  del of this cycle   -  0-cycles pmnt   Completed - Collect 0</v>
          </cell>
          <cell r="O56" t="e">
            <v>#N/A</v>
          </cell>
          <cell r="P56" t="e">
            <v>#N/A</v>
          </cell>
          <cell r="Q56" t="e">
            <v>#N/A</v>
          </cell>
          <cell r="R56" t="e">
            <v>#N/A</v>
          </cell>
          <cell r="S56" t="e">
            <v>#N/A</v>
          </cell>
          <cell r="T56" t="str">
            <v>Pur n P Car ( 14 Inch ) 16     FF Sachet + Grass</v>
          </cell>
        </row>
        <row r="57">
          <cell r="A57">
            <v>3144</v>
          </cell>
          <cell r="B57" t="str">
            <v>Samar Singh</v>
          </cell>
          <cell r="C57">
            <v>9582363043</v>
          </cell>
          <cell r="D57" t="str">
            <v>C-13, DLF Icon</v>
          </cell>
          <cell r="E57" t="str">
            <v>DLF Phase 5</v>
          </cell>
          <cell r="F57" t="str">
            <v>Thursday</v>
          </cell>
          <cell r="G57" t="str">
            <v>9 AM to 2 PM</v>
          </cell>
          <cell r="H57">
            <v>1450</v>
          </cell>
          <cell r="I57">
            <v>362.5</v>
          </cell>
          <cell r="J57" t="str">
            <v>Bliss</v>
          </cell>
          <cell r="K57" t="str">
            <v>Mixed Flowers // Day Changed to Sunday (20/12) Day Changed to Thursday (10/01) Skip 2 week (11/02)</v>
          </cell>
          <cell r="M57" t="str">
            <v>Mixed Flowers</v>
          </cell>
          <cell r="N57" t="str">
            <v>1  del of this cycle   -  1-cycles pmnt   Pending - Collect 1450</v>
          </cell>
          <cell r="O57" t="str">
            <v>P Spray Daisy ( 15 Inch ) 3 Mix Alstroemeria ( 12 Inch ) 7   FF Sachet + grass</v>
          </cell>
          <cell r="P57" t="str">
            <v>Y Asiatic ( 14 Inch ) 2 P n W Glad ( 14 Inch ) 7   Grass</v>
          </cell>
          <cell r="Q57" t="e">
            <v>#N/A</v>
          </cell>
          <cell r="R57" t="e">
            <v>#N/A</v>
          </cell>
          <cell r="S57" t="str">
            <v>Sunflower ( 12 Inch) 2 P n W Car ( 14 Inch ) 7   FF Sachet + Grass</v>
          </cell>
          <cell r="T57" t="str">
            <v>Pur Eustoma ( 12 Inch ) 2 Rajni ( 14 Inch ) 7   FF Sachet + Grass</v>
          </cell>
        </row>
        <row r="58">
          <cell r="A58">
            <v>2307</v>
          </cell>
          <cell r="B58" t="str">
            <v>Alpna Jain</v>
          </cell>
          <cell r="C58">
            <v>9599336609</v>
          </cell>
          <cell r="D58" t="str">
            <v>C-64, The Icon</v>
          </cell>
          <cell r="E58" t="str">
            <v>DLF Phase 5</v>
          </cell>
          <cell r="F58" t="str">
            <v>Thursday</v>
          </cell>
          <cell r="G58" t="str">
            <v>10 AM to 2:30 PM</v>
          </cell>
          <cell r="H58">
            <v>3000</v>
          </cell>
          <cell r="I58">
            <v>375</v>
          </cell>
          <cell r="J58" t="str">
            <v>Charm</v>
          </cell>
          <cell r="K58" t="str">
            <v>Thursday n Sunday // Hold today (08/02) Keep flowers outside of Door (17/05)</v>
          </cell>
          <cell r="M58" t="str">
            <v>Keep flowers outside of door always</v>
          </cell>
          <cell r="N58" t="str">
            <v>4  del of this cycle   -  1-cycles pmnt   Pending - Collect 3000</v>
          </cell>
          <cell r="O58" t="str">
            <v>O Asiatic ( 14 Inch ) 3 Pls Leave Outside Door Pls Leave Outside Door Pls Leave Outside Door  Grass</v>
          </cell>
          <cell r="P58" t="str">
            <v>Mix Alstroemeria ( 12 Inch ) 15 ( 12 Inch ) Leave outside of door don’t ring bell and no call   FF Sachet + Grass</v>
          </cell>
          <cell r="Q58" t="str">
            <v>Sunflower ( 12 Inch ) 4 Leave Outside of door-- Don’t Call and Don’t Ring Bell    FF Sachet + Grass</v>
          </cell>
          <cell r="R58" t="str">
            <v>Pur n P Eustoma ( 12 Inch ) 4 Leave Outside of door -- Don’t call n don’t ring bell    FF Sachet + Grass</v>
          </cell>
          <cell r="S58" t="str">
            <v>Pur n P Car ( 14 Inch ) 15 Keep Flowers at door-- Don’t call or don’t ring Bell    FF Sachet + Grass</v>
          </cell>
          <cell r="T58" t="str">
            <v>B Daisy ( 12 Inch ) 15    Collect Payment Grass</v>
          </cell>
        </row>
        <row r="59">
          <cell r="A59">
            <v>396</v>
          </cell>
          <cell r="B59" t="str">
            <v>Dr. Deepa Gupta</v>
          </cell>
          <cell r="C59">
            <v>8860079525</v>
          </cell>
          <cell r="D59" t="str">
            <v>Mayom Hospital, D block south city 1</v>
          </cell>
          <cell r="E59" t="str">
            <v>South City 1</v>
          </cell>
          <cell r="F59" t="str">
            <v>Thursday</v>
          </cell>
          <cell r="G59" t="str">
            <v>4 PM to 7 PM</v>
          </cell>
          <cell r="H59">
            <v>1450</v>
          </cell>
          <cell r="I59">
            <v>362.5</v>
          </cell>
          <cell r="J59" t="str">
            <v>Corporate</v>
          </cell>
          <cell r="K59" t="str">
            <v>1 del Missed(07/10) Return-send next week(31/12) Send replacement of Gerbera(30/10) Send on Monday this week(20/03) Return- hold package(08/07) Today returned-send next week(02/06) HDTNP (19/02)</v>
          </cell>
          <cell r="N59" t="str">
            <v>1  del of this cycle   -  0-cycles pmnt   In Process - Collect 0</v>
          </cell>
          <cell r="O59" t="str">
            <v>P n W Car ( 14 inch ) 16     FF Sachet + grass</v>
          </cell>
          <cell r="P59" t="str">
            <v>Mix Alstroemeria ( 12 Inch ) 16     FF Sachet + Grass</v>
          </cell>
          <cell r="Q59" t="str">
            <v>P n W Glad ( 14 Inch ) 16     Grass</v>
          </cell>
          <cell r="R59" t="str">
            <v>Pur n P Car ( 14 inch ) 16     FF Sachet + Grass</v>
          </cell>
          <cell r="S59" t="str">
            <v>Rajni ( 14 Inch ) 16     Grass</v>
          </cell>
          <cell r="T59" t="str">
            <v>P n W Glad ( 14 Inch ) 16     Grass</v>
          </cell>
        </row>
        <row r="60">
          <cell r="A60">
            <v>2205</v>
          </cell>
          <cell r="B60" t="str">
            <v>Shubhra Gupta</v>
          </cell>
          <cell r="C60">
            <v>9811981626</v>
          </cell>
          <cell r="D60" t="str">
            <v>ES-245, Espace</v>
          </cell>
          <cell r="E60" t="str">
            <v>Nirvana Country</v>
          </cell>
          <cell r="F60" t="str">
            <v>Thursday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Paytm From 9811656524 // No Orchids // Skip 1 week (01/10) Same flowers from last  2weeks, pls Check (06/11) Paytm from Gaurav Gupta (0703)</v>
          </cell>
          <cell r="L60" t="str">
            <v>ORCHID</v>
          </cell>
          <cell r="M60" t="str">
            <v>Same Flowers from 2 week, Pls Check (06/11)</v>
          </cell>
          <cell r="N60" t="str">
            <v>1  del of this cycle   -  1-cycles pmnt   Pending - Collect 1450</v>
          </cell>
          <cell r="O60" t="str">
            <v>O Asiatic ( 14 Inch ) 3     Grass</v>
          </cell>
          <cell r="P60" t="str">
            <v>P n W Glad ( 14 Inch ) 16     Grass</v>
          </cell>
          <cell r="Q60" t="str">
            <v>Pur n P Car ( 14 inch ) 16     FF Sachet + Grass</v>
          </cell>
          <cell r="R60" t="str">
            <v>P n W Spray Daisy ( 14 Inch ) 5     FF Sachet + Grass</v>
          </cell>
          <cell r="S60" t="str">
            <v>B Daisy ( 12 Inch ) 16     Grass</v>
          </cell>
          <cell r="T60" t="str">
            <v>P Asiatic ( 14 Inch ) 3     Grass</v>
          </cell>
        </row>
        <row r="61">
          <cell r="A61">
            <v>922</v>
          </cell>
          <cell r="B61" t="str">
            <v>Dr. Deepa Gupta</v>
          </cell>
          <cell r="C61">
            <v>8860079525</v>
          </cell>
          <cell r="D61" t="str">
            <v>Mayom Hospital, D block south city 1</v>
          </cell>
          <cell r="E61" t="str">
            <v>South City 1</v>
          </cell>
          <cell r="F61" t="str">
            <v>Thursday</v>
          </cell>
          <cell r="G61" t="str">
            <v>4 PM to 7 PM</v>
          </cell>
          <cell r="H61">
            <v>1450</v>
          </cell>
          <cell r="I61">
            <v>362.5</v>
          </cell>
          <cell r="J61" t="str">
            <v>Corporate</v>
          </cell>
          <cell r="K61" t="str">
            <v>1 del Missed(07/10) Return-send next week(31/12) Send replacement of Gerbera(30/10) Send on Monday this week(20/03) Return- hold package(08/07) Today returned-send next week(02/06) HDTNP (19/02)</v>
          </cell>
          <cell r="N61" t="str">
            <v>1  del of this cycle   -  0-cycles pmnt   In Process - Collect 0</v>
          </cell>
          <cell r="O61" t="str">
            <v>W Asiatic ( 14 Inch ) 3     Grass</v>
          </cell>
          <cell r="P61" t="str">
            <v>P Asiatic ( 14 Inch ) 3     Grass</v>
          </cell>
          <cell r="Q61" t="str">
            <v>Y Asiatic ( 14 Inch ) 3     Grass</v>
          </cell>
          <cell r="R61" t="str">
            <v>O Asiatic ( 14 Inch ) 3     Grass</v>
          </cell>
          <cell r="S61" t="str">
            <v>Pur Eustoma ( 12 Inch ) 3     FF Sachet + Grass</v>
          </cell>
          <cell r="T61" t="str">
            <v>P Asiatic ( 14 Inch ) 3     Grass</v>
          </cell>
        </row>
        <row r="62">
          <cell r="A62">
            <v>849</v>
          </cell>
          <cell r="B62" t="str">
            <v>Shalini Sharma</v>
          </cell>
          <cell r="C62">
            <v>7838500808</v>
          </cell>
          <cell r="D62" t="str">
            <v>208, Espace</v>
          </cell>
          <cell r="E62" t="str">
            <v>Nirvana Country</v>
          </cell>
          <cell r="F62" t="str">
            <v>Thursday</v>
          </cell>
          <cell r="G62" t="str">
            <v>9:30 Am to 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62" t="str">
            <v>GULDAWARI n ORCHID</v>
          </cell>
          <cell r="M62" t="str">
            <v>Lilies Next (20/05)</v>
          </cell>
          <cell r="N62" t="str">
            <v>3  del of this cycle   -  0-cycles pmnt   Completed - Collect 0</v>
          </cell>
          <cell r="O62" t="str">
            <v>Mix Alstroemeria ( 12 Inch ) 16     FF Sachet + grass</v>
          </cell>
          <cell r="P62" t="str">
            <v>P n W Glad ( 14 Inch ) 16     Grass</v>
          </cell>
          <cell r="Q62" t="str">
            <v>P Asiatic ( 14 Inch )  3     Grass</v>
          </cell>
          <cell r="R62" t="str">
            <v>P n Y Spray Daisy ( 14 Inch ) 5     FF Sachet + Grass</v>
          </cell>
          <cell r="S62" t="str">
            <v>Pur n P Car ( 14 Inch ) 16  Collect Payment Collect Payment Collect Payment FF Sachet + Grass</v>
          </cell>
          <cell r="T62" t="str">
            <v>Sunflower ( 12 Inch ) 4     FF Sachet + Grass</v>
          </cell>
        </row>
        <row r="63">
          <cell r="A63">
            <v>3326</v>
          </cell>
          <cell r="B63" t="str">
            <v>Ms. Rani</v>
          </cell>
          <cell r="C63">
            <v>9313104941</v>
          </cell>
          <cell r="D63" t="str">
            <v>J-151, Park Place</v>
          </cell>
          <cell r="E63" t="str">
            <v>DLF Phase 5</v>
          </cell>
          <cell r="F63" t="str">
            <v>Thursday</v>
          </cell>
          <cell r="G63" t="str">
            <v>9 AM to 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Start From July (06/06)</v>
          </cell>
          <cell r="N63" t="str">
            <v>1  del of this cycle   -  1-cycles pmnt   Pending - Collect 1450</v>
          </cell>
          <cell r="O63" t="str">
            <v>R n W Car ( 14 Inch ) 16     FF Sachet + grass</v>
          </cell>
          <cell r="P63" t="str">
            <v>P n Y Spray Dausy ( 14 Inch ) 5     FF Sachet + Grass</v>
          </cell>
          <cell r="Q63" t="e">
            <v>#N/A</v>
          </cell>
          <cell r="R63" t="e">
            <v>#N/A</v>
          </cell>
          <cell r="S63" t="e">
            <v>#N/A</v>
          </cell>
          <cell r="T63" t="str">
            <v>Pur n P Car ( 14 Inch ) 16     FF Sachet + Grass</v>
          </cell>
        </row>
        <row r="64">
          <cell r="A64">
            <v>3241</v>
          </cell>
          <cell r="B64" t="str">
            <v>Sunanda</v>
          </cell>
          <cell r="C64">
            <v>8800994226</v>
          </cell>
          <cell r="D64" t="str">
            <v>C-084, The Icon</v>
          </cell>
          <cell r="E64" t="str">
            <v>DLF Phase 5</v>
          </cell>
          <cell r="F64" t="str">
            <v>Thursday</v>
          </cell>
          <cell r="G64" t="str">
            <v>9 AM - 12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One Kind // Skip 1 week (13/01) HDTNP (26/02) HDTNP (04/03) HDTNP (12/03)</v>
          </cell>
          <cell r="M64" t="str">
            <v>One Kind</v>
          </cell>
          <cell r="N64" t="str">
            <v>2  del of this cycle   -  1-cycles pmnt   Pending - Collect 1450</v>
          </cell>
          <cell r="O64" t="str">
            <v>Mix Alstroemeria ( 12 Inch ) 16     FF Sachet + grass</v>
          </cell>
          <cell r="P64" t="str">
            <v>P n W Glad ( 14 Inch ) 16     Grass</v>
          </cell>
          <cell r="Q64" t="str">
            <v>Pur Eustoma ( 12 Inch ) 3     FF Sachet + Grass</v>
          </cell>
          <cell r="R64" t="str">
            <v>Pur n P Car ( 14 inch ) 16     FF Sachet + Grass</v>
          </cell>
          <cell r="S64" t="str">
            <v>O Asiatic ( 14 Inch ) 3     Grass</v>
          </cell>
          <cell r="T64" t="str">
            <v>Sunflower ( 12 Inch ) 4    Collect Payment FF Sachet + Grass</v>
          </cell>
        </row>
        <row r="65">
          <cell r="A65">
            <v>870</v>
          </cell>
          <cell r="B65" t="str">
            <v>Himabindu Kanchan</v>
          </cell>
          <cell r="C65">
            <v>9892501292</v>
          </cell>
          <cell r="D65" t="str">
            <v xml:space="preserve">D -13, Pinnacle Dlf Phase - 5 </v>
          </cell>
          <cell r="E65" t="str">
            <v>DLF Phase 5</v>
          </cell>
          <cell r="F65" t="str">
            <v>Thursday</v>
          </cell>
          <cell r="G65" t="str">
            <v>9 AM - 12 PM</v>
          </cell>
          <cell r="H65">
            <v>1600</v>
          </cell>
          <cell r="I65">
            <v>200</v>
          </cell>
          <cell r="J65" t="str">
            <v>Bloom</v>
          </cell>
          <cell r="K65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65" t="str">
            <v>4  del of this cycle   -  0-cycles pmnt   Completed - Collect 0</v>
          </cell>
          <cell r="O65" t="str">
            <v>Sunflower ( 14 Inch ) 2     Grass</v>
          </cell>
          <cell r="P65" t="str">
            <v>P n W Glad ( 14 Inch ) 7     Grass</v>
          </cell>
          <cell r="Q65" t="str">
            <v>Pur n P Car ( 14 inch ) 7     FF Sachet + Grass</v>
          </cell>
          <cell r="R65" t="str">
            <v>Sunflower ( 12 Inch ) 2     FF Sachet + Grass</v>
          </cell>
          <cell r="S65" t="str">
            <v>Rajni ( 14 Inch ) 7     Grass</v>
          </cell>
          <cell r="T65" t="str">
            <v>P n W Car ( 14 Inch ) 7     FF Sachet + Grass</v>
          </cell>
        </row>
        <row r="66">
          <cell r="A66">
            <v>237</v>
          </cell>
          <cell r="B66" t="str">
            <v>Mayom Hospital</v>
          </cell>
          <cell r="C66">
            <v>8860079525</v>
          </cell>
          <cell r="D66" t="str">
            <v>Mayom Hospital, D block south city 1</v>
          </cell>
          <cell r="H66">
            <v>3000</v>
          </cell>
          <cell r="I66">
            <v>750</v>
          </cell>
          <cell r="J66" t="str">
            <v>Corporate</v>
          </cell>
          <cell r="T66" t="str">
            <v xml:space="preserve">P n W Glad ( 14 Inch ) 15     </v>
          </cell>
        </row>
        <row r="67">
          <cell r="A67">
            <v>1098</v>
          </cell>
          <cell r="B67" t="str">
            <v>Rahul Sehgal</v>
          </cell>
          <cell r="C67">
            <v>9810022182</v>
          </cell>
          <cell r="D67" t="str">
            <v>418-A, Hamilton Court</v>
          </cell>
          <cell r="E67" t="str">
            <v>DLF Phase 4</v>
          </cell>
          <cell r="F67" t="str">
            <v>Thursday</v>
          </cell>
          <cell r="G67" t="str">
            <v>4 Pm to 7 PM</v>
          </cell>
          <cell r="H67">
            <v>1950</v>
          </cell>
          <cell r="I67">
            <v>487.5</v>
          </cell>
          <cell r="J67" t="str">
            <v>Joy</v>
          </cell>
          <cell r="K67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67" t="str">
            <v>ROSE n RAJNI</v>
          </cell>
          <cell r="N67" t="str">
            <v>3  del of this cycle   -  0-cycles pmnt   Completed - Collect 0</v>
          </cell>
          <cell r="O67" t="str">
            <v>Mix Glad 22     Grass</v>
          </cell>
          <cell r="P67" t="str">
            <v>Sunflower ( 12 Inch ) 5     FF Sachet + Grass</v>
          </cell>
          <cell r="Q67" t="str">
            <v>Pur n P Car ( 14 inch ) 22     FF Sachet + Grass</v>
          </cell>
          <cell r="R67" t="str">
            <v>P n W Spray Daisy ( 14 Inch ) 7     FF Sachet + Grass</v>
          </cell>
          <cell r="S67" t="str">
            <v>O Asiatic ( 14 Inch ) 4     Grass</v>
          </cell>
          <cell r="T67" t="str">
            <v>P n W Glad ( 14 Inch ) 22     Grass</v>
          </cell>
        </row>
        <row r="68">
          <cell r="A68">
            <v>19</v>
          </cell>
          <cell r="B68" t="str">
            <v>Mrs. Geeta Chopra</v>
          </cell>
          <cell r="C68">
            <v>9811373448</v>
          </cell>
          <cell r="D68" t="str">
            <v>E-64,Ground Floor,Suncity,Sec-54</v>
          </cell>
          <cell r="E68" t="str">
            <v>Golf Course Road</v>
          </cell>
          <cell r="F68" t="str">
            <v>Thursday</v>
          </cell>
          <cell r="G68" t="str">
            <v>9 AM - 12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68" t="str">
            <v>3  del of this cycle   -  1-cycles pmnt   Pending - Collect 1450</v>
          </cell>
          <cell r="O68" t="str">
            <v>R n W Car ( 14 Inch ) 16     FF Sachet + grass</v>
          </cell>
          <cell r="P68" t="str">
            <v>P n W Glad ( 14 Inch ) 16     Grass</v>
          </cell>
          <cell r="Q68" t="str">
            <v>Mix Alstroemeria ( 12 Inch ) 16     FF Sachet + Grass</v>
          </cell>
          <cell r="R68" t="str">
            <v>O Asiatic ( 14 Inch ) 3     Grass</v>
          </cell>
          <cell r="S68" t="str">
            <v>B Daisy ( 12 Inch ) 16  Collect Payment Collect Payment Collect Payment Grass</v>
          </cell>
          <cell r="T68" t="str">
            <v>Pur n P Car ( 14 Inch ) 16    Collect Payment FF Sachet + Grass</v>
          </cell>
        </row>
        <row r="69">
          <cell r="A69">
            <v>2076</v>
          </cell>
          <cell r="B69" t="str">
            <v>Divya Jain Midas</v>
          </cell>
          <cell r="C69">
            <v>9910172233</v>
          </cell>
          <cell r="D69" t="str">
            <v>Midas Touch, 1st Floor, A Block, Nirvana Courtyard</v>
          </cell>
          <cell r="E69" t="str">
            <v>Nirvana Country</v>
          </cell>
          <cell r="F69" t="str">
            <v>Thursday</v>
          </cell>
          <cell r="G69" t="str">
            <v>9 AM - 12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69" t="str">
            <v>2  del of this cycle   -  0-cycles pmnt   CompletedNO COLLECTION-we have extra money - Collect -50</v>
          </cell>
          <cell r="O69" t="str">
            <v>R n W Car ( 14 Inch ) 16     FF Sachet + grass</v>
          </cell>
          <cell r="P69" t="str">
            <v>P n W Glad ( 14 Inch ) 16     Grass</v>
          </cell>
          <cell r="Q69" t="str">
            <v>P n Y Spray Daisy ( 14 Inch ) 5     FF Sachet + Grass</v>
          </cell>
          <cell r="R69" t="str">
            <v>Sunflower ( 12 Inch ) 4     FF Sachet + Grass</v>
          </cell>
          <cell r="S69" t="str">
            <v>Pur Eustoma ( 12 Inch ) 3     FF Sachet + Grass</v>
          </cell>
          <cell r="T69" t="str">
            <v>O Asiatic ( 14 Inch ) 3     Grass</v>
          </cell>
        </row>
        <row r="70">
          <cell r="A70">
            <v>3063</v>
          </cell>
          <cell r="B70" t="str">
            <v>Shinjini Mehrotra</v>
          </cell>
          <cell r="C70">
            <v>9810198315</v>
          </cell>
          <cell r="D70" t="str">
            <v>F-109, 2nd Floor, Suncity</v>
          </cell>
          <cell r="E70" t="str">
            <v>Golf Course Road</v>
          </cell>
          <cell r="F70" t="str">
            <v>Thursday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Hold 4 Weeks (04/12) Skip 1 week (14/02) Skip 2 week (28/02) Skip 1 week  (01/04) Hold till 29th Apr (06/04)</v>
          </cell>
          <cell r="N70" t="str">
            <v>4  del of this cycle   -  0-cycles pmnt   CompletedNO COLLECTION-we have extra money - Collect -50</v>
          </cell>
          <cell r="O70" t="str">
            <v>O Asiatic ( 14 Inch ) 3     Grass</v>
          </cell>
          <cell r="P70" t="str">
            <v>R n W Car ( 14 inch ) 16     FF Sachet + Grass</v>
          </cell>
          <cell r="Q70" t="str">
            <v>Pur Eustoma ( 12 Inch ) 3     FF Sachet + Grass</v>
          </cell>
          <cell r="R70" t="str">
            <v>Sunflower ( 12 Inch ) 4     FF Sachet + Grass</v>
          </cell>
          <cell r="S70" t="str">
            <v>P n W Glad ( 14 Inch ) 16     Grass</v>
          </cell>
          <cell r="T70" t="str">
            <v>P Asiatic ( 14 Inch ) 3     Grass</v>
          </cell>
        </row>
        <row r="71">
          <cell r="A71" t="str">
            <v>G-00015</v>
          </cell>
          <cell r="B71" t="str">
            <v>Harsh  - Unikon</v>
          </cell>
          <cell r="C71">
            <v>9015463811</v>
          </cell>
          <cell r="D71" t="str">
            <v>AR-903B, 3rd Floor, Aralias</v>
          </cell>
          <cell r="E71" t="str">
            <v>Golf Course Road</v>
          </cell>
          <cell r="F71" t="str">
            <v>Thursday</v>
          </cell>
          <cell r="G71" t="str">
            <v>4 Pm to 7 PM</v>
          </cell>
          <cell r="H71">
            <v>2750</v>
          </cell>
          <cell r="I71">
            <v>687.5</v>
          </cell>
          <cell r="J71" t="str">
            <v>Elation</v>
          </cell>
          <cell r="K71" t="str">
            <v>From Deep Bajaj // Message = Your boyfriend:p (05/11) Paytm from Simran Dhawan (04/03) Send 1 delivery tomorrow (17/03) Skip 1 week (10/04) Add change request from Jasjit -- 9560611229</v>
          </cell>
          <cell r="M71" t="str">
            <v>One time Single n One Time Mixed</v>
          </cell>
          <cell r="N71" t="str">
            <v>1  del of this cycle   -  0-cycles pmnt   In Process - Collect 0</v>
          </cell>
          <cell r="O71" t="str">
            <v>O Asiatic ( 14 Inch ) 3 R n W Car ( 14 Inch ) 16   2 Limonium</v>
          </cell>
          <cell r="P71" t="str">
            <v>Sunflower ( 12 Inch ) 4 Mix Alstroemeria ( 12 Inch ) 16   2 Gypsola + FF Sachet</v>
          </cell>
          <cell r="Q71" t="str">
            <v>Pur n P Eustoma ( 12 Inch ) 4 P n W Glad ( 14 Inch ) 16   2 Limonium + FF Sachet</v>
          </cell>
          <cell r="R71" t="str">
            <v>P n W Spray Daisy ( 14 Inch ) 5 Pur n P Car ( 14 Inch ) 16   2 Gypsola + FF Sachet</v>
          </cell>
          <cell r="S71" t="str">
            <v>P Asiatic ( 14 Inch ) 3 B Daisy ( 12 Inch ) 16   2 Limonium</v>
          </cell>
          <cell r="T71" t="str">
            <v xml:space="preserve">Eustoma 4 Rajni ( 14 Inch ) 16   2 Gypsola + FF Sachet </v>
          </cell>
        </row>
        <row r="72">
          <cell r="A72">
            <v>3133</v>
          </cell>
          <cell r="B72" t="str">
            <v>Anastasiia Liapicheva</v>
          </cell>
          <cell r="C72" t="str">
            <v>7678659573 // '+79029329098</v>
          </cell>
          <cell r="D72" t="str">
            <v>B1/602, Palm Groove Heights, Ardee City Sec 52</v>
          </cell>
          <cell r="E72" t="str">
            <v>Sushant Estate</v>
          </cell>
          <cell r="F72" t="str">
            <v>Thursday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No Lilies (02/11) No White Greens (02/12) Skip 1 week (07/01) skip 1 week (27/01) No Sunflower (06/03) Skip 1 week (06/06)</v>
          </cell>
          <cell r="L72" t="str">
            <v>Lily n Sunflower n White Greens</v>
          </cell>
          <cell r="M72" t="str">
            <v>No White Greens n Mixed Flowers</v>
          </cell>
          <cell r="N72" t="str">
            <v>4  del of this cycle   -  0-cycles pmnt   Completed - Collect 0</v>
          </cell>
          <cell r="O72" t="str">
            <v>P Spray Daisy ( 15 Inch ) 3 R n W Car ( 14 Inch ) 7   FF Sachet + grass</v>
          </cell>
          <cell r="P72" t="str">
            <v>Pur Eustoma ( 14 Inch ) 2 Mix Alstroemeria ( 12 Inch ) 7   FF Sachet + Grass</v>
          </cell>
          <cell r="Q72" t="e">
            <v>#N/A</v>
          </cell>
          <cell r="R72" t="str">
            <v>O Asiatic ( 14 Inch ) 2 P n W Glad ( 14 Inch ) 7   Grass</v>
          </cell>
          <cell r="S72" t="str">
            <v>Y Spray Daisy 3 P n W Car ( 14 Inch ) 7   FF Sachet + Grass</v>
          </cell>
          <cell r="T72" t="str">
            <v>P Eustoma ( 12 Inch ) 2 Rajni ( 14 Inch ) 7   FF Sachet + Grass</v>
          </cell>
        </row>
        <row r="73">
          <cell r="A73">
            <v>2716</v>
          </cell>
          <cell r="B73" t="str">
            <v>Simmi Chopra</v>
          </cell>
          <cell r="C73">
            <v>9891744488</v>
          </cell>
          <cell r="D73" t="str">
            <v>B/145, Suncity, Golf Course Road</v>
          </cell>
          <cell r="E73" t="str">
            <v>Golf Course Road</v>
          </cell>
          <cell r="F73" t="str">
            <v>Thursday</v>
          </cell>
          <cell r="G73" t="str">
            <v>9 AM - 12 PM</v>
          </cell>
          <cell r="H73">
            <v>2750</v>
          </cell>
          <cell r="I73">
            <v>687.5</v>
          </cell>
          <cell r="J73" t="str">
            <v>Elation</v>
          </cell>
          <cell r="K73" t="str">
            <v>Upgrade to Elation (27/08) Send 10 B daisy next extra (04/10) Today Hold (04/12) Send one Del Tom (30/12)</v>
          </cell>
          <cell r="M73" t="str">
            <v>Send on del tom and no del on 1st Jan (30/12)</v>
          </cell>
          <cell r="N73" t="str">
            <v>2  del of this cycle   -  0-cycles pmnt   Completed - Collect 0</v>
          </cell>
          <cell r="O73" t="str">
            <v>Pur n p Eustoma 4 P n W Glad ( 14 Inch ) 16   2 Limonium + FF Sachet</v>
          </cell>
          <cell r="P73" t="str">
            <v>P n Y Spray Dausy ( 14 Inch ) 5 P n W Car  ( 14 Inch ) 16   2 Gypsola + FF Sachet</v>
          </cell>
          <cell r="Q73" t="str">
            <v>Sunflower ( 12 Inch ) 4 Mix Alstroemeria ( 12 Inch ) 16   2 Limonium + FF Sachet</v>
          </cell>
          <cell r="R73" t="str">
            <v xml:space="preserve">P Asiatic ( 14 Inch ) 3 P n W Glad ( 14 Inch ) 16   2 Gypsola </v>
          </cell>
          <cell r="S73" t="str">
            <v>Pur n P Eustoma ( 12 Inch ) 4 Pur n P Car ( 14 Inch ) 16   2 Limonium + FF Sachet</v>
          </cell>
          <cell r="T73" t="str">
            <v xml:space="preserve">P n W Spray Daisy ( 14 Inch ) 5 Rajni ( 14 Inch ) 16   2 Gypsola + FF Sachet </v>
          </cell>
        </row>
        <row r="74">
          <cell r="A74">
            <v>571</v>
          </cell>
          <cell r="B74" t="str">
            <v>Mrs. Singh</v>
          </cell>
          <cell r="C74">
            <v>9873099320</v>
          </cell>
          <cell r="D74" t="str">
            <v>D 42, pinnacle, Dlf ph 5, Golf course road</v>
          </cell>
          <cell r="E74" t="str">
            <v>DLF Phase 5</v>
          </cell>
          <cell r="F74" t="str">
            <v>Thursday</v>
          </cell>
          <cell r="G74" t="str">
            <v>9 AM - 12 PM</v>
          </cell>
          <cell r="H74">
            <v>1600</v>
          </cell>
          <cell r="I74">
            <v>200</v>
          </cell>
          <cell r="J74" t="str">
            <v>Bloom</v>
          </cell>
          <cell r="K74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74" t="str">
            <v>6  del of this cycle   -  0-cycles pmnt   Completed - Collect 0</v>
          </cell>
          <cell r="O74" t="str">
            <v>Sunflower ( 14 Inch ) 2     FF Sachet + Grass</v>
          </cell>
          <cell r="P74" t="str">
            <v>Mix Alstroemeria ( 12 Inch ) 7     FF Sachet + Grass</v>
          </cell>
          <cell r="Q74" t="str">
            <v>Pur n P Car ( 14 inch ) 7     FF Sachet + Grass</v>
          </cell>
          <cell r="R74" t="str">
            <v>Sunflower ( 12 Inch ) 2     FF Sachet + Grass</v>
          </cell>
          <cell r="S74" t="str">
            <v>P n W Glad ( 14 Inch ) 7     Grass</v>
          </cell>
          <cell r="T74" t="str">
            <v>P n W Car ( 14 Inch ) 7     FF Sachet + Grass</v>
          </cell>
        </row>
        <row r="75">
          <cell r="A75">
            <v>2250</v>
          </cell>
          <cell r="B75" t="str">
            <v>Saloni Gupta</v>
          </cell>
          <cell r="C75">
            <v>9810796682</v>
          </cell>
          <cell r="D75" t="str">
            <v>338, 3rd Floor, Espace</v>
          </cell>
          <cell r="E75" t="str">
            <v>Nirvana Country</v>
          </cell>
          <cell r="F75" t="str">
            <v>Sunday</v>
          </cell>
          <cell r="G75" t="str">
            <v>9 AM - 12 PM</v>
          </cell>
          <cell r="H75">
            <v>3088</v>
          </cell>
          <cell r="I75">
            <v>386</v>
          </cell>
          <cell r="J75" t="str">
            <v>Cutsomized-Biweekly</v>
          </cell>
          <cell r="K75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</v>
          </cell>
          <cell r="N75" t="str">
            <v>7  del of this cycle   -  0-cycles pmnt   Completed - Collect 0</v>
          </cell>
          <cell r="O75" t="e">
            <v>#N/A</v>
          </cell>
          <cell r="P75" t="e">
            <v>#N/A</v>
          </cell>
          <cell r="Q75" t="e">
            <v>#N/A</v>
          </cell>
          <cell r="R75" t="e">
            <v>#N/A</v>
          </cell>
          <cell r="S75" t="str">
            <v>W Asiatic ( 14 Inch ) 3     Grass</v>
          </cell>
          <cell r="T75" t="str">
            <v>O Asiatic ( 14 Inch ) 3     Grass</v>
          </cell>
        </row>
        <row r="76">
          <cell r="A76">
            <v>1898</v>
          </cell>
          <cell r="B76" t="str">
            <v>Shipra</v>
          </cell>
          <cell r="C76">
            <v>8447778677</v>
          </cell>
          <cell r="D76" t="str">
            <v xml:space="preserve">C-94 Trinity </v>
          </cell>
          <cell r="E76" t="str">
            <v>DLF Phase 5</v>
          </cell>
          <cell r="F76" t="str">
            <v>Saturday</v>
          </cell>
          <cell r="G76" t="str">
            <v>4 Pm to 7 PM</v>
          </cell>
          <cell r="H76">
            <v>1600</v>
          </cell>
          <cell r="I76">
            <v>200</v>
          </cell>
          <cell r="J76" t="str">
            <v>Bloom</v>
          </cell>
          <cell r="K76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    </cell>
          <cell r="N76" t="str">
            <v>8  del of this cycle   -  0-cycles pmnt   Completed - Collect 0</v>
          </cell>
          <cell r="O76" t="str">
            <v>Sunflower 2     Grass</v>
          </cell>
          <cell r="P76" t="str">
            <v>Mix Alstroemeria ( 12 Inch ) 7     FF Sachet + Grass</v>
          </cell>
          <cell r="Q76" t="str">
            <v>Rajni ( 14 Inch ) 7     Grass</v>
          </cell>
          <cell r="R76" t="e">
            <v>#N/A</v>
          </cell>
          <cell r="S76" t="str">
            <v>Sunflower ( 12 Inch) 2     FF Sachet + Grass</v>
          </cell>
          <cell r="T76" t="str">
            <v>Rajni ( 14 Inch ) 7     Grass</v>
          </cell>
        </row>
        <row r="77">
          <cell r="A77">
            <v>309</v>
          </cell>
          <cell r="B77" t="str">
            <v>Ms Swati Bhise--before 10</v>
          </cell>
          <cell r="C77">
            <v>9811806611</v>
          </cell>
          <cell r="D77" t="str">
            <v xml:space="preserve">TG-5/4B Orchid Garden Sun city Sec - 54 </v>
          </cell>
          <cell r="E77" t="str">
            <v>Golf Course Road</v>
          </cell>
          <cell r="F77" t="str">
            <v>Thursday</v>
          </cell>
          <cell r="G77" t="str">
            <v>9 AM - 12 PM</v>
          </cell>
          <cell r="H77">
            <v>2750</v>
          </cell>
          <cell r="I77">
            <v>687.5</v>
          </cell>
          <cell r="J77" t="str">
            <v>Elation</v>
          </cell>
          <cell r="K77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</v>
          </cell>
          <cell r="M77" t="str">
            <v>Upgrade to Elation next (14/08)</v>
          </cell>
          <cell r="N77" t="str">
            <v>3  del of this cycle   -  0-cycles pmnt   Completed - Collect 0</v>
          </cell>
          <cell r="O77" t="str">
            <v>R n W Car ( 14 Inch ) 32     2 Limonium + FF Sachet</v>
          </cell>
          <cell r="P77" t="e">
            <v>#N/A</v>
          </cell>
          <cell r="Q77" t="str">
            <v>P Asiatic ( 14 Inch )  6     2 Gypsola</v>
          </cell>
          <cell r="R77" t="str">
            <v>P n W Glad ( 14 Inch ) 32     2 Limonium</v>
          </cell>
          <cell r="S77" t="str">
            <v>Pur n P Eustoma ( 12 Inch ) 6  Collect Payment Collect Payment Collect Payment 2 Limonium + FF Sachet</v>
          </cell>
          <cell r="T77" t="str">
            <v xml:space="preserve">Pur n P Car ( 14 Inch ) 32     2 Gypsola + FF Sachet </v>
          </cell>
        </row>
        <row r="78">
          <cell r="A78">
            <v>1656</v>
          </cell>
          <cell r="B78" t="str">
            <v>Eva-Pinnacle</v>
          </cell>
          <cell r="C78">
            <v>9560609907</v>
          </cell>
          <cell r="D78" t="str">
            <v>C-93, The Pinnacle</v>
          </cell>
          <cell r="E78" t="str">
            <v>DLF Phase 5</v>
          </cell>
          <cell r="F78" t="str">
            <v>Thursday</v>
          </cell>
          <cell r="G78" t="str">
            <v>9:30 Am to 2 PM</v>
          </cell>
          <cell r="H78">
            <v>999</v>
          </cell>
          <cell r="I78">
            <v>249.75</v>
          </cell>
          <cell r="J78" t="str">
            <v>Delight</v>
          </cell>
          <cell r="K78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78" t="str">
            <v>4  del of this cycle   -  0-cycles pmnt   Completed - Collect 0</v>
          </cell>
          <cell r="O78" t="str">
            <v>P n W Glad ( 14 Inch ) 9     Grass</v>
          </cell>
          <cell r="P78" t="str">
            <v>Y Spray Daisy ( 15 Inch ) 3     FF Sachet + Grass</v>
          </cell>
          <cell r="Q78" t="str">
            <v>Pur n P Car ( 14 inch ) 9     Grass</v>
          </cell>
          <cell r="R78" t="str">
            <v>Sunflower ( 12 Inch ) 2     FF Sachet + Grass</v>
          </cell>
          <cell r="S78" t="str">
            <v>Rajni ( 14 Inch ) 9     Grass</v>
          </cell>
          <cell r="T78" t="str">
            <v>O Asiatic ( 14 Inch ) 2     Grass</v>
          </cell>
        </row>
        <row r="79">
          <cell r="A79">
            <v>1438</v>
          </cell>
          <cell r="B79" t="str">
            <v>Aishwarya G Aiyar</v>
          </cell>
          <cell r="C79">
            <v>9884857311</v>
          </cell>
          <cell r="D79" t="str">
            <v>A-173, The Pinnacle</v>
          </cell>
          <cell r="E79" t="str">
            <v>DLF Phase 5</v>
          </cell>
          <cell r="F79" t="str">
            <v>Thursday</v>
          </cell>
          <cell r="G79" t="str">
            <v>9 AM - 12 PM</v>
          </cell>
          <cell r="H79">
            <v>1600</v>
          </cell>
          <cell r="I79">
            <v>200</v>
          </cell>
          <cell r="J79" t="str">
            <v>Bloom</v>
          </cell>
          <cell r="K79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79" t="str">
            <v>1  del of this cycle   -  1-cycles pmnt   Pending - Collect 1600</v>
          </cell>
          <cell r="O79" t="str">
            <v>R n W Car ( 14 Inch ) 7     FF Sachet + Grass</v>
          </cell>
          <cell r="P79" t="str">
            <v>Mix Alstroemeria ( 12 Inch ) 7     FF Sachet + Grass</v>
          </cell>
          <cell r="Q79" t="str">
            <v>P n W Glad ( 14 Inch ) 7     Grass</v>
          </cell>
          <cell r="R79" t="e">
            <v>#N/A</v>
          </cell>
          <cell r="S79" t="str">
            <v>P n W Car ( 14 inch ) 7     FF Sachet + Grass</v>
          </cell>
          <cell r="T79" t="str">
            <v>P n W Glad ( 14 Inch ) 7     Grass</v>
          </cell>
        </row>
        <row r="80">
          <cell r="A80">
            <v>61</v>
          </cell>
          <cell r="B80" t="str">
            <v>Megha Manchanda -- Bliss Pack</v>
          </cell>
          <cell r="C80">
            <v>9871919500</v>
          </cell>
          <cell r="D80" t="str">
            <v>T-3/302, Unitech Harmony</v>
          </cell>
          <cell r="E80" t="str">
            <v>Nirvana Country</v>
          </cell>
          <cell r="F80" t="str">
            <v>Thursday</v>
          </cell>
          <cell r="G80" t="str">
            <v>9 AM - 12 PM</v>
          </cell>
          <cell r="H80">
            <v>999</v>
          </cell>
          <cell r="I80">
            <v>249.75</v>
          </cell>
          <cell r="J80" t="str">
            <v>Delight</v>
          </cell>
          <cell r="K80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v>
          </cell>
          <cell r="N80" t="str">
            <v>4  del of this cycle   -  0-cycles pmnt   Completed - Collect 0</v>
          </cell>
          <cell r="O80" t="str">
            <v>P n W Glad ( 14 Inch ) 9     Grass</v>
          </cell>
          <cell r="P80" t="str">
            <v>Y Asiatic ( 14 Inch ) 2     Grass</v>
          </cell>
          <cell r="Q80" t="str">
            <v>Pur n P Car ( 14 inch ) 9     Grass</v>
          </cell>
          <cell r="R80" t="str">
            <v>Sunflower ( 12 Inch ) 2     FF Sachet + Grass</v>
          </cell>
          <cell r="S80" t="e">
            <v>#N/A</v>
          </cell>
          <cell r="T80" t="str">
            <v>Rajni ( 14 Inch ) 9     Grass</v>
          </cell>
        </row>
        <row r="81">
          <cell r="A81">
            <v>2868</v>
          </cell>
          <cell r="B81" t="str">
            <v>Group Captain Prabal Bir Singh</v>
          </cell>
          <cell r="C81">
            <v>7827468667</v>
          </cell>
          <cell r="D81" t="str">
            <v>603, Shivshakti CGHS, Plot-94, Near Ati Chowk</v>
          </cell>
          <cell r="E81" t="str">
            <v>DLF Phase 5</v>
          </cell>
          <cell r="F81" t="str">
            <v>Thursday</v>
          </cell>
          <cell r="G81" t="str">
            <v>9 AM to 2 PM</v>
          </cell>
          <cell r="H81">
            <v>999</v>
          </cell>
          <cell r="I81">
            <v>249.75</v>
          </cell>
          <cell r="J81" t="str">
            <v>Delight</v>
          </cell>
          <cell r="N81" t="str">
            <v>4  del of this cycle   -  0-cycles pmnt   Completed - Collect 0</v>
          </cell>
          <cell r="O81" t="str">
            <v>O Asiatic ( 14 Inch ) 2     Grass</v>
          </cell>
          <cell r="P81" t="str">
            <v>R n W Car ( 14 inch ) 9     FF Sachet + Grass</v>
          </cell>
          <cell r="Q81" t="str">
            <v>P n W Glad ( 14 Inch ) 9     Gras</v>
          </cell>
          <cell r="R81" t="str">
            <v>Sunflower ( 12 Inch ) 2     FF Sachet + Grass</v>
          </cell>
          <cell r="S81" t="str">
            <v>Rajni ( 14 Inch ) 9     Grass</v>
          </cell>
          <cell r="T81" t="str">
            <v>P Asiatic ( 14 Inch ) 2     Grass</v>
          </cell>
        </row>
        <row r="82">
          <cell r="A82">
            <v>2644</v>
          </cell>
          <cell r="B82" t="str">
            <v>Sanjeet Kaur</v>
          </cell>
          <cell r="C82">
            <v>7889438209</v>
          </cell>
          <cell r="D82" t="str">
            <v>601, Emerald Green, Sector 52</v>
          </cell>
          <cell r="E82" t="str">
            <v>Artemis</v>
          </cell>
          <cell r="F82" t="str">
            <v>Thursday</v>
          </cell>
          <cell r="G82" t="str">
            <v>9:30 Am to 2 PM</v>
          </cell>
          <cell r="H82">
            <v>999</v>
          </cell>
          <cell r="I82">
            <v>249.75</v>
          </cell>
          <cell r="J82" t="str">
            <v>Delight</v>
          </cell>
          <cell r="K82" t="str">
            <v>1 Gypsola in each Del (16/05) Paytm From Arshia Kaur (13/06) Paytm From Yogpal Singh (20/12) Do not count todays delivery (30/04)</v>
          </cell>
          <cell r="M82" t="str">
            <v>1 Gyposla in each Del</v>
          </cell>
          <cell r="N82" t="str">
            <v>4  del of this cycle   -  0-cycles pmnt   Completed - Collect 0</v>
          </cell>
          <cell r="O82" t="str">
            <v>O Asiatic ( 14 Inch ) 2     Grass</v>
          </cell>
          <cell r="P82" t="str">
            <v>R n W Car ( 14 inch ) 9     FF Sachet + Grass</v>
          </cell>
          <cell r="Q82" t="str">
            <v>P n W Glad ( 14 Inch ) 9     Gras</v>
          </cell>
          <cell r="R82" t="str">
            <v>Y Spray Daisy ( 14 Inch ) 3     1 Gypsola + FF Sachet</v>
          </cell>
          <cell r="S82" t="str">
            <v>B Daisy ( 12 Inch ) 9     Grass</v>
          </cell>
          <cell r="T82" t="str">
            <v>P Asiatic ( 14 Inch ) 2     Grass</v>
          </cell>
        </row>
        <row r="83">
          <cell r="A83">
            <v>826</v>
          </cell>
          <cell r="B83" t="str">
            <v>Anuradha M Agarwal</v>
          </cell>
          <cell r="C83">
            <v>9811201606</v>
          </cell>
          <cell r="D83" t="str">
            <v>A-82, Westend Heights</v>
          </cell>
          <cell r="E83" t="str">
            <v>DLF Phase 5</v>
          </cell>
          <cell r="F83" t="str">
            <v>Thursday</v>
          </cell>
          <cell r="G83" t="str">
            <v>9 AM to 2 PM</v>
          </cell>
          <cell r="H83">
            <v>999</v>
          </cell>
          <cell r="I83">
            <v>249.75</v>
          </cell>
          <cell r="J83" t="str">
            <v>Delight</v>
          </cell>
          <cell r="K83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83" t="str">
            <v>3  del of this cycle   -  0-cycles pmnt   Completed - Collect 0</v>
          </cell>
          <cell r="O83" t="str">
            <v>R n W Car ( 14 Inch ) 9     FF Sachet + Grass</v>
          </cell>
          <cell r="P83" t="str">
            <v>P Spray Daisy ( 14 Inch ) 3     FF Sachet + Grass</v>
          </cell>
          <cell r="Q83" t="str">
            <v>P n W Glad ( 14 Inch ) 9     Gras</v>
          </cell>
          <cell r="R83" t="str">
            <v>O Asiatic ( 14 Inch ) 3     Grass</v>
          </cell>
          <cell r="S83" t="str">
            <v>B Daisy ( 12 Inch ) 9     Grass</v>
          </cell>
          <cell r="T83" t="str">
            <v>P n W Car ( 14 Inch ) 9     FF Sachet + Grass</v>
          </cell>
        </row>
        <row r="84">
          <cell r="A84">
            <v>2406</v>
          </cell>
          <cell r="B84" t="str">
            <v>Vermeen Kapoor</v>
          </cell>
          <cell r="C84">
            <v>9873458198</v>
          </cell>
          <cell r="D84" t="str">
            <v>B-59, South City 2</v>
          </cell>
          <cell r="E84" t="str">
            <v>Nirvana Country</v>
          </cell>
          <cell r="F84" t="str">
            <v>Thursday</v>
          </cell>
          <cell r="G84" t="str">
            <v>9:30 Am to 2 PM</v>
          </cell>
          <cell r="H84">
            <v>1450</v>
          </cell>
          <cell r="I84">
            <v>362.5</v>
          </cell>
          <cell r="J84" t="str">
            <v>Bliss</v>
          </cell>
          <cell r="K84" t="str">
            <v>Referred by Swati Khandelwal?/ Mixed Flowers // Send replace,ent tom (19/02) Day Changed to Thursday (08/04) today returned-send tom (24/07)</v>
          </cell>
          <cell r="M84" t="str">
            <v>Mixed Flowers</v>
          </cell>
          <cell r="N84" t="str">
            <v>2  del of this cycle   -  0-cycles pmnt   Completed - Collect 0</v>
          </cell>
          <cell r="O84" t="str">
            <v>P Spray Daisy ( 15 Inch ) 3 P n W Glad ( 14 Inch ) 7   FF Sachet + grass</v>
          </cell>
          <cell r="P84" t="str">
            <v>W Asiatic ( 14 Inch ) 2 Mix Alstroemeria ( 12 Inch ) 7   Grass</v>
          </cell>
          <cell r="Q84" t="str">
            <v>Pur Eustoma ( 12 Inch ) 2 Pur n P Car ( 14 inch ) 7   FF Sachet + Grass</v>
          </cell>
          <cell r="R84" t="str">
            <v>Sunflower ( 12 Inch ) 2 P n W Glad ( 14 Inch ) 7   FF Sachet + Grass</v>
          </cell>
          <cell r="S84" t="str">
            <v>P Asiatic ( 14 Inch ) 2 B Daisy ( 12 Inch ) 7   Grass</v>
          </cell>
          <cell r="T84" t="str">
            <v>P Spray Daisy ( 14 Inch ) 3 Rajni ( 14 Inch ) 7   FF Sachet + Grass</v>
          </cell>
        </row>
        <row r="85">
          <cell r="A85">
            <v>484</v>
          </cell>
          <cell r="B85" t="str">
            <v>Deepti Chhabra</v>
          </cell>
          <cell r="C85">
            <v>9811230451</v>
          </cell>
          <cell r="D85" t="str">
            <v>A-061, Westend Heights</v>
          </cell>
          <cell r="E85" t="str">
            <v>DLF Phase 5</v>
          </cell>
          <cell r="F85" t="str">
            <v>Thursday</v>
          </cell>
          <cell r="G85" t="str">
            <v>4 PM to 7PM</v>
          </cell>
          <cell r="H85">
            <v>1950</v>
          </cell>
          <cell r="I85">
            <v>487.5</v>
          </cell>
          <cell r="J85" t="str">
            <v>Joy</v>
          </cell>
          <cell r="K85" t="str">
            <v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v>
          </cell>
          <cell r="L85" t="str">
            <v>ROSE</v>
          </cell>
          <cell r="N85" t="str">
            <v>1  del of this cycle   -  1-cycles pmnt   Pending - Collect 1950</v>
          </cell>
          <cell r="O85" t="e">
            <v>#N/A</v>
          </cell>
          <cell r="P85" t="str">
            <v>P n Y Spray Dausy ( 14 Inch ) 7     FF Sachet + Grass</v>
          </cell>
          <cell r="Q85" t="e">
            <v>#N/A</v>
          </cell>
          <cell r="R85" t="e">
            <v>#N/A</v>
          </cell>
          <cell r="S85" t="e">
            <v>#N/A</v>
          </cell>
          <cell r="T85" t="str">
            <v>Pur n P Car ( 14 Inch ) 22     FF Sachet + Grass</v>
          </cell>
        </row>
        <row r="86">
          <cell r="A86">
            <v>2104</v>
          </cell>
          <cell r="B86" t="str">
            <v>Arun Gupta</v>
          </cell>
          <cell r="C86">
            <v>9999072697</v>
          </cell>
          <cell r="D86" t="str">
            <v>C-22m Arc Stationary</v>
          </cell>
          <cell r="E86" t="str">
            <v>Nirvana Country</v>
          </cell>
          <cell r="F86" t="str">
            <v>Thursday</v>
          </cell>
          <cell r="G86" t="str">
            <v>9 AM to 2 PM</v>
          </cell>
          <cell r="H86">
            <v>400</v>
          </cell>
          <cell r="I86">
            <v>100</v>
          </cell>
          <cell r="J86" t="str">
            <v>Customized</v>
          </cell>
          <cell r="K86" t="str">
            <v>4 Flowers at both Shop</v>
          </cell>
          <cell r="N86" t="str">
            <v>1  del of this cycle   -  0-cycles pmnt   In Process - Collect 0</v>
          </cell>
          <cell r="O86" t="str">
            <v>Broken Flowers  5 1 Shop    FF Sachet + Grass</v>
          </cell>
          <cell r="P86" t="str">
            <v>Broken Flowers  5 1 Shop    Grass</v>
          </cell>
          <cell r="Q86" t="str">
            <v>Broken Flowers  5 1 Shop    Grass</v>
          </cell>
          <cell r="R86" t="str">
            <v xml:space="preserve">      </v>
          </cell>
          <cell r="S86" t="str">
            <v xml:space="preserve">Broken Flowers  5 1 Shop    </v>
          </cell>
          <cell r="T86" t="str">
            <v xml:space="preserve">Broken Flowers  5     </v>
          </cell>
        </row>
        <row r="87">
          <cell r="A87">
            <v>3128</v>
          </cell>
          <cell r="B87" t="str">
            <v>Shikha Malhotra</v>
          </cell>
          <cell r="C87">
            <v>9873498869</v>
          </cell>
          <cell r="D87" t="str">
            <v>M-254, Park Place</v>
          </cell>
          <cell r="E87" t="str">
            <v>Golf Course Road</v>
          </cell>
          <cell r="F87" t="str">
            <v>Thursday</v>
          </cell>
          <cell r="G87" t="str">
            <v>4 PM to 7 PM</v>
          </cell>
          <cell r="H87">
            <v>1450</v>
          </cell>
          <cell r="I87">
            <v>362.5</v>
          </cell>
          <cell r="J87" t="str">
            <v>Bliss</v>
          </cell>
          <cell r="K87" t="str">
            <v>Skip 2 week after 13th (07/11) Today Hold (04/12) Paytm From Vivek Malhotra //</v>
          </cell>
          <cell r="N87" t="str">
            <v>3  del of this cycle   -  0-cycles pmnt   Completed - Collect 0</v>
          </cell>
          <cell r="O87" t="e">
            <v>#N/A</v>
          </cell>
          <cell r="P87" t="e">
            <v>#N/A</v>
          </cell>
          <cell r="Q87" t="e">
            <v>#N/A</v>
          </cell>
          <cell r="R87" t="str">
            <v>Pur n P Car ( 14 inch ) 16     FF Sachet + Grass</v>
          </cell>
          <cell r="S87" t="str">
            <v>P Asiatic ( 14 Inch ) 3  Collect Payment Collect Payment Collect Payment Grass</v>
          </cell>
          <cell r="T87" t="str">
            <v>Rajni ( 14 Inch ) 16     Grass</v>
          </cell>
        </row>
        <row r="88">
          <cell r="A88">
            <v>2578</v>
          </cell>
          <cell r="B88" t="str">
            <v>Suchit Agarwal</v>
          </cell>
          <cell r="C88">
            <v>9999404880</v>
          </cell>
          <cell r="D88" t="str">
            <v>T-A/702, Kanchanjunga Towers, Sec 56</v>
          </cell>
          <cell r="E88" t="str">
            <v>Sector 56</v>
          </cell>
          <cell r="F88" t="str">
            <v>Thursday</v>
          </cell>
          <cell r="G88" t="str">
            <v>4 Pm to 7 PM</v>
          </cell>
          <cell r="H88">
            <v>999</v>
          </cell>
          <cell r="I88">
            <v>249.75</v>
          </cell>
          <cell r="J88" t="str">
            <v>Collection Only</v>
          </cell>
          <cell r="K88" t="str">
            <v>Paytm From Richa Handa (20/06) Skip Thursday and send on Sunday (23/02) Skip tom n send on Sunday this week (01/04) HDTNP (25/06)</v>
          </cell>
          <cell r="N88" t="str">
            <v>3  del of this cycle   -  1-cycles pmnt   Pending - Collect 999</v>
          </cell>
          <cell r="O88" t="str">
            <v>O Asiatic ( 14 Inch ) 2     Grass</v>
          </cell>
          <cell r="P88" t="str">
            <v>P n W Glad ( 14 Inch ) 9     Grass</v>
          </cell>
          <cell r="Q88" t="str">
            <v>Mix Alstroemeria ( 12 Inch ) 9     Grass</v>
          </cell>
          <cell r="R88" t="str">
            <v>Sunflower ( 12 Inch ) 2     FF Sachet + Grass</v>
          </cell>
          <cell r="S88" t="e">
            <v>#N/A</v>
          </cell>
          <cell r="T88" t="str">
            <v xml:space="preserve">Collect 500 n Close      </v>
          </cell>
        </row>
        <row r="89">
          <cell r="A89">
            <v>2666</v>
          </cell>
          <cell r="B89" t="str">
            <v>Gunjan Malhotra</v>
          </cell>
          <cell r="C89">
            <v>9971518253</v>
          </cell>
          <cell r="D89" t="str">
            <v>H. No. 298C, 1st Floor, Block G, Sushant Lok-2</v>
          </cell>
          <cell r="E89" t="str">
            <v>Artemis</v>
          </cell>
          <cell r="F89" t="str">
            <v>Thursday</v>
          </cell>
          <cell r="G89" t="str">
            <v>4 PM to 7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Paytm From Gunjan Malhotra // Hold n start from 04th Sep (02/08) Change day to Thursday (31/08) Do not count last Del (20/12) Skip 1 week (02/02) Skip 1 week (25/03)</v>
          </cell>
          <cell r="N89" t="str">
            <v>3  del of this cycle   -  0-cycles pmnt   Completed - Collect 0</v>
          </cell>
          <cell r="O89" t="str">
            <v>O Asiatic ( 14 Inch ) 2     Grass</v>
          </cell>
          <cell r="P89" t="str">
            <v>P n W Glad ( 14 Inch ) 9     Grass</v>
          </cell>
          <cell r="Q89" t="str">
            <v>Pur n P Car ( 14 inch ) 9     Grass</v>
          </cell>
          <cell r="R89" t="str">
            <v>Mix Alstroemeria ( 12 Inch ) 16     FF Sachet + Grass</v>
          </cell>
          <cell r="S89" t="str">
            <v>Pur Eustoma ( 12 Inch ) 3     FF Sachet + Grass</v>
          </cell>
          <cell r="T89" t="str">
            <v>P Asiatic ( 14 Inch ) 3     Grass</v>
          </cell>
        </row>
        <row r="90">
          <cell r="A90">
            <v>2865</v>
          </cell>
          <cell r="B90" t="str">
            <v>Shilpi Karan Bhalla</v>
          </cell>
          <cell r="C90">
            <v>9312239638</v>
          </cell>
          <cell r="D90" t="str">
            <v>A1/192, 4th Floor, Sec 55 Sushant Lok-2, Near Orchid International School</v>
          </cell>
          <cell r="E90" t="str">
            <v>Sector 56</v>
          </cell>
          <cell r="F90" t="str">
            <v>Thursday</v>
          </cell>
          <cell r="G90" t="str">
            <v>9:30 Am to 2 PM</v>
          </cell>
          <cell r="H90">
            <v>999</v>
          </cell>
          <cell r="I90">
            <v>249.75</v>
          </cell>
          <cell r="J90" t="str">
            <v>Delight</v>
          </cell>
          <cell r="K90" t="str">
            <v>Hold Due to non payment (17/12) Name and num,ber changed (26/12) Hold due to non payment (04/02) HDTNP (19/02) HDTNP (11/06)</v>
          </cell>
          <cell r="N90" t="str">
            <v>4  del of this cycle   -  0-cycles pmnt   CompletedNO COLLECTION-we have extra money - Collect -10</v>
          </cell>
          <cell r="O90" t="str">
            <v>O Asiatic ( 14 Inch ) 2     Grass</v>
          </cell>
          <cell r="P90" t="str">
            <v>P n W Glad ( 14 Inch ) 9     Grass</v>
          </cell>
          <cell r="Q90" t="e">
            <v>#N/A</v>
          </cell>
          <cell r="R90" t="str">
            <v>Mix Alstroemeria ( 12 Inch ) 9     FF Sachet + Grass</v>
          </cell>
          <cell r="S90" t="str">
            <v>Y Spray Daisy ( 14 Inch ) 3     FF Sachet + Grass</v>
          </cell>
          <cell r="T90" t="str">
            <v>P n W Car ( 14 Inch ) 9     FF Sachet + Grass</v>
          </cell>
        </row>
        <row r="91">
          <cell r="A91">
            <v>442</v>
          </cell>
          <cell r="B91" t="str">
            <v>Ruchi Mathure--Before 10:30 AM</v>
          </cell>
          <cell r="C91">
            <v>9871265555</v>
          </cell>
          <cell r="D91" t="str">
            <v>D-013, Westend height, DLF-5</v>
          </cell>
          <cell r="E91" t="str">
            <v>DLF Phase 5</v>
          </cell>
          <cell r="F91" t="str">
            <v>Thursday</v>
          </cell>
          <cell r="G91" t="str">
            <v>9 AM - 12 PM</v>
          </cell>
          <cell r="H91">
            <v>1450</v>
          </cell>
          <cell r="I91">
            <v>362.5</v>
          </cell>
          <cell r="J91" t="str">
            <v>Bliss</v>
          </cell>
          <cell r="K91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91" t="str">
            <v>Sunflower</v>
          </cell>
          <cell r="M91" t="str">
            <v>No White even in mixed // Skip 23rd and sned on 26th (20/04)</v>
          </cell>
          <cell r="N91" t="str">
            <v>1  del of this cycle   -  0-cycles pmnt   Completed - Collect 0</v>
          </cell>
          <cell r="O91" t="str">
            <v>Mix Alstroemeria ( 12 Inch ) 16     FF Sachet + grass</v>
          </cell>
          <cell r="P91" t="str">
            <v>W Asiatic ( 14 Inch ) 3     Grass</v>
          </cell>
          <cell r="Q91" t="str">
            <v>P Glad ( 14 Inch ) 16 No White     Grass</v>
          </cell>
          <cell r="R91" t="str">
            <v>P n Y Spray Daisy ( 14 Inch ) 5 No White Flower  No White Flower   FF Sachet + Grass</v>
          </cell>
          <cell r="S91" t="str">
            <v>Pur n P Car ( 14 Inch ) 16     FF Sachet + Grass</v>
          </cell>
          <cell r="T91" t="str">
            <v>Pur Eustoma ( 12 Inch ) 3     FF Sachet + Grass</v>
          </cell>
        </row>
        <row r="92">
          <cell r="A92">
            <v>2569</v>
          </cell>
          <cell r="B92" t="str">
            <v>Mrs. Verma</v>
          </cell>
          <cell r="C92">
            <v>9971135993</v>
          </cell>
          <cell r="D92" t="str">
            <v>A1/192, 1st Floor, Sec 55, Sushant Lok-2, Near Orchid International School</v>
          </cell>
          <cell r="E92" t="str">
            <v>Sector 56</v>
          </cell>
          <cell r="F92" t="str">
            <v>Thursday</v>
          </cell>
          <cell r="G92" t="str">
            <v>9 AM - 12 PM</v>
          </cell>
          <cell r="H92">
            <v>1450</v>
          </cell>
          <cell r="I92">
            <v>362.5</v>
          </cell>
          <cell r="J92" t="str">
            <v>Bliss</v>
          </cell>
          <cell r="K92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92" t="str">
            <v>Sunflower</v>
          </cell>
          <cell r="N92" t="str">
            <v>1  del of this cycle   -  1-cycles pmnt   Pending - Collect 1400</v>
          </cell>
          <cell r="O92" t="str">
            <v>P Spray Daisy ( 15 Inch ) 3 P n W Glad ( 14 Inch ) 7   FF Sachet + grass</v>
          </cell>
          <cell r="P92" t="str">
            <v>W Asiatic ( 14 Inch ) 2 Mix Alstroemeria ( 12 Inch ) 7   Grass</v>
          </cell>
          <cell r="Q92" t="str">
            <v>Pur Eustoma ( 12 Inch ) 2 Pur n P Car ( 14 inch ) 7   FF Sachet + Grass</v>
          </cell>
          <cell r="R92" t="str">
            <v>Sunflower ( 12 Inch ) 2 P n W Glad ( 14 Inch ) 7   FF Sachet + Grass</v>
          </cell>
          <cell r="S92" t="str">
            <v>O Asiatic ( 14 Inch ) 2 B Daisy ( 12 Inch ) 7   Grass</v>
          </cell>
          <cell r="T92" t="str">
            <v>P Spray Daisy ( 14 Inch ) 3 Rajni ( 14 Inch ) 7   FF Sachet + Grass</v>
          </cell>
        </row>
        <row r="93">
          <cell r="A93">
            <v>3280</v>
          </cell>
          <cell r="B93" t="str">
            <v>Priti Sarsaswat</v>
          </cell>
          <cell r="C93">
            <v>9717283344</v>
          </cell>
          <cell r="D93" t="str">
            <v>C-1170, 2nd Floor, Ansal Essecia, C Block, Sec 67</v>
          </cell>
          <cell r="H93">
            <v>1450</v>
          </cell>
          <cell r="J93" t="str">
            <v>Bliss</v>
          </cell>
          <cell r="T93" t="str">
            <v>Mix Spray Daisy 5     FF Sachet + Grass</v>
          </cell>
        </row>
        <row r="94">
          <cell r="A94">
            <v>949</v>
          </cell>
          <cell r="B94" t="str">
            <v>Meenu Amrith-- Evening Only</v>
          </cell>
          <cell r="C94">
            <v>9891350735</v>
          </cell>
          <cell r="D94" t="str">
            <v>H. No. 579, Ground Floor,Near Dell-- Sec-43</v>
          </cell>
          <cell r="E94" t="str">
            <v>DLF Phase 5</v>
          </cell>
          <cell r="F94" t="str">
            <v>Thursday</v>
          </cell>
          <cell r="G94" t="str">
            <v>10 AM to 2:30 PM</v>
          </cell>
          <cell r="H94">
            <v>1450</v>
          </cell>
          <cell r="I94">
            <v>362.5</v>
          </cell>
          <cell r="J94" t="str">
            <v>Bliss</v>
          </cell>
          <cell r="K94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94" t="str">
            <v>3  del of this cycle   -  0-cycles pmnt   Completed - Collect 0</v>
          </cell>
          <cell r="O94" t="str">
            <v>P n W Glad ( 14 Inch ) 16     Grass</v>
          </cell>
          <cell r="P94" t="str">
            <v>P n Y Spray Dausy ( 14 Inch ) 5     FF Sachet + Grass</v>
          </cell>
          <cell r="Q94" t="str">
            <v>P Asiatic ( 14 Inch )  3     Grass</v>
          </cell>
          <cell r="R94" t="str">
            <v>Pur n P Car ( 14 inch ) 16     FF Sachet + Grass</v>
          </cell>
          <cell r="S94" t="str">
            <v>Pur Eustoma ( 12 Inch ) 3     FF Sachet + Grass</v>
          </cell>
          <cell r="T94" t="str">
            <v>P n W Glad ( 14 Inch ) 16     Grass</v>
          </cell>
        </row>
        <row r="95">
          <cell r="A95">
            <v>172</v>
          </cell>
          <cell r="B95" t="str">
            <v>Rachna Rathee</v>
          </cell>
          <cell r="C95">
            <v>9811779661</v>
          </cell>
          <cell r="D95" t="str">
            <v xml:space="preserve">DX-106 flat no,Kendriya vihar Sector 56
</v>
          </cell>
          <cell r="E95" t="str">
            <v>Sector 56</v>
          </cell>
          <cell r="F95" t="str">
            <v>Thursday</v>
          </cell>
          <cell r="G95" t="str">
            <v>9 AM - 12 PM</v>
          </cell>
          <cell r="H95">
            <v>1450</v>
          </cell>
          <cell r="I95">
            <v>362.5</v>
          </cell>
          <cell r="J95" t="str">
            <v>Bliss</v>
          </cell>
          <cell r="K95" t="str">
            <v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v>
          </cell>
          <cell r="L95" t="str">
            <v>BLUE ORCHID n GERBERA</v>
          </cell>
          <cell r="N95" t="str">
            <v>2  del of this cycle   -  0-cycles pmnt   Completed - Collect 0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 t="e">
            <v>#N/A</v>
          </cell>
          <cell r="T95" t="str">
            <v>Pur n P Car ( 14 Inch ) 16     FF Sachet + Grass</v>
          </cell>
        </row>
        <row r="96">
          <cell r="A96">
            <v>3122</v>
          </cell>
          <cell r="B96" t="str">
            <v>Abha Ghosh</v>
          </cell>
          <cell r="C96">
            <v>9650001674</v>
          </cell>
          <cell r="D96" t="str">
            <v>6A, Galicia, Raisina Residency, Sec 59</v>
          </cell>
          <cell r="E96" t="str">
            <v>Ghata</v>
          </cell>
          <cell r="F96" t="str">
            <v>Thursday</v>
          </cell>
          <cell r="G96" t="str">
            <v>9 AM - 12 PM</v>
          </cell>
          <cell r="H96">
            <v>1450</v>
          </cell>
          <cell r="I96">
            <v>362.5</v>
          </cell>
          <cell r="J96" t="str">
            <v>Bliss</v>
          </cell>
          <cell r="K96" t="str">
            <v>Returned yesterday (07/11)</v>
          </cell>
          <cell r="N96" t="str">
            <v>3  del of this cycle   -  0-cycles pmnt   Completed - Collect 0</v>
          </cell>
          <cell r="O96" t="str">
            <v>O Asiatic ( 14 Inch ) 3     Grass</v>
          </cell>
          <cell r="P96" t="str">
            <v>P n W Glad ( 14 Inch ) 16     Grass</v>
          </cell>
          <cell r="Q96" t="str">
            <v>Pur n P Car ( 14 inch ) 16     FF Sachet + Grass</v>
          </cell>
          <cell r="R96" t="str">
            <v>Sunflower ( 12 Inch ) 4     FF Sachet + Grass</v>
          </cell>
          <cell r="S96" t="str">
            <v>B Daisy ( 12 Inch ) 16     Grass</v>
          </cell>
          <cell r="T96" t="str">
            <v>P Asiatic ( 14 Inch ) 3     Grass</v>
          </cell>
        </row>
        <row r="97">
          <cell r="A97">
            <v>2481</v>
          </cell>
          <cell r="B97" t="str">
            <v>Puneet Mahajan</v>
          </cell>
          <cell r="C97">
            <v>9810110847</v>
          </cell>
          <cell r="D97" t="str">
            <v>D-19, 4th Floor, Siuth City -2, Opp Arcadia Mall</v>
          </cell>
          <cell r="E97" t="str">
            <v>Nirvana Country</v>
          </cell>
          <cell r="F97" t="str">
            <v>Sunday</v>
          </cell>
          <cell r="G97" t="str">
            <v>9 AM - 12 PM</v>
          </cell>
          <cell r="H97">
            <v>2300</v>
          </cell>
          <cell r="I97">
            <v>287.5</v>
          </cell>
          <cell r="J97" t="str">
            <v>Felicity</v>
          </cell>
          <cell r="K97" t="str">
            <v>Send Sponge// Day Changed to Sunday (16/04) Paytm From Sri Sai makers (20/04) Change to felicity (17/05)</v>
          </cell>
          <cell r="N97" t="str">
            <v>6  del of this cycle   -  0-cycles pmnt   Completed - Collect 0</v>
          </cell>
          <cell r="O97" t="str">
            <v>O Asiatic ( 14 Inch ) 2     Grass</v>
          </cell>
          <cell r="P97" t="str">
            <v>Mix Alstroemeria ( 12 Inch ) 11     FF Sachet + Grass</v>
          </cell>
          <cell r="Q97" t="str">
            <v>Pur n P Car ( 14 inch ) 11     FF Sachet + Grass</v>
          </cell>
          <cell r="R97" t="str">
            <v>P Spray Daisy ( 14 Inch ) 3     FF Sachet + Grass</v>
          </cell>
          <cell r="S97" t="str">
            <v>P Asiatic ( 14 Inch ) 2     Grass</v>
          </cell>
          <cell r="T97" t="str">
            <v>Sunflower ( 12 Inch ) 3     FF Sachet + Grass</v>
          </cell>
        </row>
        <row r="98">
          <cell r="A98">
            <v>3212</v>
          </cell>
          <cell r="B98" t="str">
            <v>Sheeba Rana</v>
          </cell>
          <cell r="C98">
            <v>9958849523</v>
          </cell>
          <cell r="D98" t="str">
            <v>T-14/1202, The Close North</v>
          </cell>
          <cell r="E98" t="str">
            <v>Nirvana Country</v>
          </cell>
          <cell r="F98" t="str">
            <v>Thursday</v>
          </cell>
          <cell r="G98" t="str">
            <v>4 Pm to 7 PM</v>
          </cell>
          <cell r="H98">
            <v>1450</v>
          </cell>
          <cell r="I98">
            <v>1450</v>
          </cell>
          <cell r="J98" t="str">
            <v>Bliss</v>
          </cell>
          <cell r="K98" t="str">
            <v>Skip 1 week (31/12)</v>
          </cell>
          <cell r="N98" t="str">
            <v>2  del of this cycle   -  0-cycles pmnt   Completed - Collect 0</v>
          </cell>
          <cell r="O98" t="str">
            <v>Sunflower 2     Grass</v>
          </cell>
          <cell r="P98" t="str">
            <v>R n W Car ( 14 inch ) 9     FF Sachet + Grass</v>
          </cell>
          <cell r="Q98" t="str">
            <v>P n W Glad ( 14 Inch ) 9     Gras</v>
          </cell>
          <cell r="R98" t="str">
            <v>P Asiatic ( 14 Inch ) 2     Grass</v>
          </cell>
          <cell r="S98" t="str">
            <v>Pur n P Car ( 14 Inch ) 16     FF Sachet + Grass</v>
          </cell>
          <cell r="T98" t="str">
            <v>P n Y Spray Daisy ( 14 Inch ) 5     FF Sachet + Grass</v>
          </cell>
        </row>
        <row r="99">
          <cell r="A99">
            <v>1978</v>
          </cell>
          <cell r="B99" t="str">
            <v>Anu-- After 6 PM</v>
          </cell>
          <cell r="C99" t="str">
            <v>98103 39602</v>
          </cell>
          <cell r="D99" t="str">
            <v xml:space="preserve">Tower 6, 901 Fresco </v>
          </cell>
          <cell r="E99" t="str">
            <v>Nirvana Country</v>
          </cell>
          <cell r="F99" t="str">
            <v>Thursday</v>
          </cell>
          <cell r="G99" t="str">
            <v>4 Pm to 7 PM</v>
          </cell>
          <cell r="H99">
            <v>4850</v>
          </cell>
          <cell r="I99">
            <v>606.25</v>
          </cell>
          <cell r="J99" t="str">
            <v>Poise</v>
          </cell>
          <cell r="K99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99" t="str">
            <v>ROSE n RAJNI n HELICONIA n BOP</v>
          </cell>
          <cell r="M99" t="str">
            <v>after 6 pm on 19th (16/04)</v>
          </cell>
          <cell r="N99" t="str">
            <v>6  del of this cycle   -  0-cycles pmnt   Completed - Collect 0</v>
          </cell>
          <cell r="O99" t="str">
            <v>W Asiatic ( 14 Inch ) 2 Mix Alstroemeria ( 12 Inch ) 6 P n W Car ( 14 inch ) 10 Grass</v>
          </cell>
          <cell r="P99" t="str">
            <v>P Asiatic ( 14 Inch ) 2 P n W Spray Dausy ( 14 Inch ) 4 P n W Glad ( 14 Inch ) 12 Grass</v>
          </cell>
          <cell r="Q99" t="str">
            <v>Y Asiatic ( 14 Inch ) 2 Mix Eustoma ( 12 Inch ) 4 P n W Car ( 14 Inch ) 12 Grass</v>
          </cell>
          <cell r="R99" t="str">
            <v>P Asiatic ( 14 Inch ) 2 Mix Alstroemeria ( 12 inch )  8 P n W Glad ( 14 Inch ) 8 Grass</v>
          </cell>
          <cell r="S99" t="str">
            <v>W Asiatic ( 14 Inch ) 2 P n Y Spray Daisy ( 14 Inch ) 4 Rajni ( 14 Inch ) 12 Grass</v>
          </cell>
          <cell r="T99" t="str">
            <v>O Asiatic ( 14 Inch ) 2 Sunflower ( 12 Inch ) 4 Pur n P Car ( 14 Inch ) 12 Grass</v>
          </cell>
        </row>
        <row r="100">
          <cell r="B100" t="str">
            <v>Chaya,</v>
          </cell>
          <cell r="C100" t="str">
            <v>97110 13807</v>
          </cell>
          <cell r="D100" t="str">
            <v>Atul chutani green line residency new colony sec 7</v>
          </cell>
          <cell r="H100">
            <v>1150</v>
          </cell>
          <cell r="J100" t="str">
            <v>Bouquet</v>
          </cell>
          <cell r="K100" t="str">
            <v>Atul chutani green line residency new colony sec 7
+91 97110 13807
Pls send this arrangement and use one pink Asuatic lily in the arrangement for 1150 from parul v garg..</v>
          </cell>
          <cell r="T100" t="str">
            <v xml:space="preserve">Rose+P Asiatic  Enevlop Message   </v>
          </cell>
        </row>
        <row r="101">
          <cell r="A101" t="str">
            <v>B55041</v>
          </cell>
          <cell r="B101" t="str">
            <v>Sonali Khullar</v>
          </cell>
          <cell r="C101">
            <v>9900094415</v>
          </cell>
          <cell r="D101" t="str">
            <v>C-1702, pioneer araya, sect 62</v>
          </cell>
          <cell r="H101">
            <v>1500</v>
          </cell>
          <cell r="J101" t="str">
            <v>Bouquet</v>
          </cell>
          <cell r="K101" t="str">
            <v>From Sonali Khullar today 
5 asiatic lilies and 5 spray daisies in tissue wrap amount 1500 
To
To be delivered to D 1702 Araya as soon as you can
Message 
Happy birthday Kamna. 
Love 
Sonali</v>
          </cell>
          <cell r="T101" t="str">
            <v xml:space="preserve">Asiatic+ Spray Daisy 5+5 Tissue Wrap  Message   </v>
          </cell>
        </row>
        <row r="102">
          <cell r="B102" t="str">
            <v> 98104 34670‬</v>
          </cell>
          <cell r="C102" t="str">
            <v> 98104 34670‬</v>
          </cell>
          <cell r="D102" t="str">
            <v>Tower 19-15A Sector 48, Central Park II, Central Park Resorts Tower 19-15A, Sector 48, Central Park</v>
          </cell>
          <cell r="G102" t="str">
            <v>Before 3 Pm</v>
          </cell>
          <cell r="H102">
            <v>2000</v>
          </cell>
          <cell r="J102" t="str">
            <v>Bouquet</v>
          </cell>
          <cell r="K102" t="str">
            <v>Address:
‪+91 98104 34670‬
Tower 19-15A Sector 48, Central Park II, Central Park Resorts Tower 19-15A, Sector 48, Central Park II, Central Park Resorts, Central Park Resorts, Gurugram, Haryana, 122018
Pls hold this order, shall confirm today when to send
@Sandeep Bmf  pls isko alag rakh do</v>
          </cell>
          <cell r="T102" t="str">
            <v xml:space="preserve">Mix Flowers Bouquet   Message   </v>
          </cell>
        </row>
        <row r="103">
          <cell r="B103" t="str">
            <v xml:space="preserve">Rashmi Jhawar </v>
          </cell>
          <cell r="C103" t="str">
            <v xml:space="preserve">Rashmi Jhawar </v>
          </cell>
          <cell r="D103" t="str">
            <v>Sovereign 4 , 301 vatika city. Sector 49. Gurgaon -122018</v>
          </cell>
          <cell r="H103">
            <v>600</v>
          </cell>
          <cell r="J103" t="str">
            <v>Bouquet</v>
          </cell>
          <cell r="K103" t="str">
            <v>Rashmi Jhawar 
Mobile 9323173218
Sovereign 4 , 301 vatika city. Sector 49. Gurgaon -122018
Msg - For you :) !
Pls send today 15 pink n white carnations in walkin tissue wrap from Vivek Jhawar.</v>
          </cell>
          <cell r="T103" t="str">
            <v xml:space="preserve">P n W Car 15 Tissue Wrap  Message   </v>
          </cell>
        </row>
        <row r="104">
          <cell r="B104" t="str">
            <v>Scottish</v>
          </cell>
          <cell r="C104" t="str">
            <v>Scottish</v>
          </cell>
          <cell r="D104" t="str">
            <v>Scottish</v>
          </cell>
          <cell r="G104" t="str">
            <v>By 7 PM</v>
          </cell>
          <cell r="H104">
            <v>1500</v>
          </cell>
          <cell r="J104" t="str">
            <v xml:space="preserve">basket </v>
          </cell>
          <cell r="K104" t="str">
            <v>Pls send a basket of 1500 to scottish today order by Rachna tribedi ma’am.</v>
          </cell>
          <cell r="T104" t="str">
            <v xml:space="preserve">Basket  1     </v>
          </cell>
        </row>
        <row r="105">
          <cell r="B105" t="str">
            <v>Tanya Sahay</v>
          </cell>
          <cell r="C105" t="str">
            <v>96431 69536</v>
          </cell>
          <cell r="D105" t="str">
            <v>A/187, First Floor
Today Blossoms - 1, 
Sector 47 Gurgaon 
(Near SS Plaza)</v>
          </cell>
          <cell r="G105" t="str">
            <v>By 7 PM</v>
          </cell>
          <cell r="H105">
            <v>620</v>
          </cell>
          <cell r="J105" t="str">
            <v>Bouquet</v>
          </cell>
          <cell r="K105" t="str">
            <v xml:space="preserve">Send today via Uber
Customer will pay the uber charges 
2 sunflowers and 8 Rajnigandha and greens
To 
Tanya Sahay
+91 96431 69536
send immediately </v>
          </cell>
          <cell r="T105" t="str">
            <v xml:space="preserve">Sunflower + Rajni  2 + 8  Grass     </v>
          </cell>
        </row>
        <row r="106">
          <cell r="B106" t="str">
            <v xml:space="preserve">Ms Khushboo Oberoi </v>
          </cell>
          <cell r="C106">
            <v>9711867960</v>
          </cell>
          <cell r="D106" t="str">
            <v>C-69, bptp Astaire garden, sector 69, gurgaon, Haryana.</v>
          </cell>
          <cell r="G106" t="str">
            <v>By 8 PM</v>
          </cell>
          <cell r="H106">
            <v>2100</v>
          </cell>
          <cell r="J106" t="str">
            <v>Bouquet</v>
          </cell>
          <cell r="K106" t="str">
            <v>From 
‪+91 99998 85532‬
Today 
7 pink oriental lilies in tissue wrap only buds 
To 
To -: Ms Khushboo Oberoi 
C-69, bptp Astaire garden, sector 69, gurgaon, Haryana.
9711867960
Message: 
From -: Adih Muskaan &amp; Komal.</v>
          </cell>
          <cell r="T106" t="str">
            <v xml:space="preserve">P Oriental 7 Walkin Tissue Wrap + Msg     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G-00061</v>
          </cell>
          <cell r="B2" t="str">
            <v>Dolly Mohan</v>
          </cell>
          <cell r="C2">
            <v>9210333222</v>
          </cell>
          <cell r="D2" t="str">
            <v>A-001, Shiv Shankar CGHS Appartmenet, Sec 51</v>
          </cell>
          <cell r="E2" t="str">
            <v>Artemis</v>
          </cell>
          <cell r="F2" t="str">
            <v>Thursday</v>
          </cell>
          <cell r="G2" t="str">
            <v>9 AM to 2 PM</v>
          </cell>
          <cell r="H2">
            <v>1450</v>
          </cell>
          <cell r="I2">
            <v>362.5</v>
          </cell>
          <cell r="J2" t="str">
            <v>Bliss</v>
          </cell>
          <cell r="K2" t="str">
            <v>From Deepa Handa</v>
          </cell>
          <cell r="N2" t="str">
            <v>4  del of this cycle   -  0-cycles pmnt   Completed - Collect 0</v>
          </cell>
          <cell r="O2" t="e">
            <v>#N/A</v>
          </cell>
          <cell r="P2" t="e">
            <v>#N/A</v>
          </cell>
          <cell r="Q2" t="str">
            <v>Pur n P Car ( 14 inch ) 16     FF Sachet + Grass</v>
          </cell>
          <cell r="R2" t="str">
            <v>P Asiatic ( 14 Inch ) 3     Grass</v>
          </cell>
          <cell r="S2" t="str">
            <v>Rajni ( 14 Inch ) 16     Grass</v>
          </cell>
          <cell r="T2" t="str">
            <v>Sunflower ( 12 Inch ) 4     FF Sachet + Grass</v>
          </cell>
        </row>
        <row r="3">
          <cell r="A3">
            <v>2761</v>
          </cell>
          <cell r="B3" t="str">
            <v>Gyan</v>
          </cell>
          <cell r="C3">
            <v>9560719191</v>
          </cell>
          <cell r="D3" t="str">
            <v>J7, 2nd Floor, Signature Global City, Sec 37 D</v>
          </cell>
          <cell r="E3" t="str">
            <v>Dwarka Expressway</v>
          </cell>
          <cell r="F3" t="str">
            <v>Thursday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K3" t="str">
            <v>Upgraded as per scheme to Bliss for 5 Deliveries (22/08) No delivered today-send tom (02/10) Skip 1 week (26/11) Skip 2 week (28/01) Skip 2 week (10/03) No Sunflower ( 17/06)</v>
          </cell>
          <cell r="L3" t="str">
            <v>Sunflower</v>
          </cell>
          <cell r="N3" t="str">
            <v>4  del of this cycle   -  0-cycles pmnt   Completed - Collect 0</v>
          </cell>
          <cell r="O3" t="str">
            <v>Y Spray Daisy ( 15 Inch ) 3 Mix Alstroemeria ( 12 Inch ) 7   FF Sachet + Grass</v>
          </cell>
          <cell r="P3" t="str">
            <v>Sunflower ( 12 Inch ) 2 P n W Glad ( 14 Inch ) 7   FF Sachet + Grass</v>
          </cell>
          <cell r="Q3" t="str">
            <v>P Asiatic ( 14 Inch ) 2 Pur n P Car ( 14 Inch ) 7   Grass</v>
          </cell>
          <cell r="R3" t="str">
            <v>Pur Eustoma ( 12 Inch ) 2 Rajni ( 14 Inch ) 7   FF Sachet + Grass</v>
          </cell>
          <cell r="S3" t="str">
            <v>Spray Daisy 3 B Daisy ( 12 Inch ) 7   FF Sachet + Grass</v>
          </cell>
          <cell r="T3" t="str">
            <v>O Asiatic ( ( 14 inch ) 2 Mix Car 7   Grass</v>
          </cell>
        </row>
        <row r="4">
          <cell r="A4">
            <v>401</v>
          </cell>
          <cell r="B4" t="str">
            <v>Nameesha Verma -- Before 12PM</v>
          </cell>
          <cell r="C4">
            <v>9899240454</v>
          </cell>
          <cell r="D4" t="str">
            <v>D-4/102, Parsvanath Exotica</v>
          </cell>
          <cell r="E4" t="str">
            <v>DLF Phase 5</v>
          </cell>
          <cell r="F4" t="str">
            <v>Thursday</v>
          </cell>
          <cell r="G4" t="str">
            <v>Before 12 PM</v>
          </cell>
          <cell r="H4">
            <v>1600</v>
          </cell>
          <cell r="I4">
            <v>200</v>
          </cell>
          <cell r="J4" t="str">
            <v>Bloom</v>
          </cell>
          <cell r="K4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4" t="str">
            <v>3 Car extra next (20/03)</v>
          </cell>
          <cell r="N4" t="str">
            <v>4  del of this cycle   -  0-cycles pmnt   Completed - Collect 0</v>
          </cell>
          <cell r="O4" t="str">
            <v>Mix Alstroemeria ( 12 Inch ) 7     FF Sachet + Grass</v>
          </cell>
          <cell r="P4" t="e">
            <v>#N/A</v>
          </cell>
          <cell r="Q4" t="str">
            <v>P Spray Daisy ( 14 Inch ) 2     FF Sachet + Grass</v>
          </cell>
          <cell r="R4" t="str">
            <v>Sunflower ( 12 Inch) 2     Grass</v>
          </cell>
          <cell r="S4" t="str">
            <v>P n W Car ( 14 Inch ) 7    Collect Payment FF Sachet + Grass</v>
          </cell>
          <cell r="T4" t="str">
            <v>Mix Alstroemeria ( 12Inch ) 7     FF Sachet + Grass</v>
          </cell>
        </row>
        <row r="5">
          <cell r="A5">
            <v>2501</v>
          </cell>
          <cell r="B5" t="str">
            <v>Jashanjeet Singh</v>
          </cell>
          <cell r="C5">
            <v>7905786392</v>
          </cell>
          <cell r="D5" t="str">
            <v>B-1502, Ramprastha Primera, Sec 37 D</v>
          </cell>
          <cell r="E5" t="str">
            <v>Dwarka Expressway</v>
          </cell>
          <cell r="F5" t="str">
            <v>Thursday</v>
          </cell>
          <cell r="G5" t="str">
            <v>4 Pm to 7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Paytm Fron Archana Singh (03/04) 10% Discount for next Cycle (05/04) Gpay from Anvesh Kumar (26/06) Today returned (16/10) Returned today (15/01) PAYTM FROM Aniket (16/04) Do not count last del (09/05) Hold n start from july (12/06)</v>
          </cell>
          <cell r="N5" t="str">
            <v>1  del of this cycle   -  1-cycles pmnt   Pending - Collect 1450</v>
          </cell>
          <cell r="O5" t="str">
            <v>Mix Spray Daisy 3 Mix Alstroemeria ( 12 Inch ) 7   FF Sachet + Grass</v>
          </cell>
          <cell r="P5" t="str">
            <v>Sunflower ( 12 Inch ) 2 P n W Glad ( 14 Inch ) 7   FF Sachet + Grass</v>
          </cell>
          <cell r="Q5" t="e">
            <v>#N/A</v>
          </cell>
          <cell r="R5" t="e">
            <v>#N/A</v>
          </cell>
          <cell r="S5" t="e">
            <v>#N/A</v>
          </cell>
          <cell r="T5" t="str">
            <v>W Asiatic ( 14 Inch ) 2 P n W Car ( 14 Inch ) 7   Grass</v>
          </cell>
        </row>
        <row r="6">
          <cell r="A6" t="str">
            <v>G-00036</v>
          </cell>
          <cell r="B6" t="str">
            <v>Aanchal Boora</v>
          </cell>
          <cell r="C6">
            <v>9654700022</v>
          </cell>
          <cell r="D6" t="str">
            <v>Flat - 1171, Ats Triumph, Wing B, Tower 1, 17th Floor, Sec 104</v>
          </cell>
          <cell r="E6" t="str">
            <v>Dwarka Expressway</v>
          </cell>
          <cell r="F6" t="str">
            <v>Thursday</v>
          </cell>
          <cell r="G6" t="str">
            <v>4 Pm to 7 PM</v>
          </cell>
          <cell r="H6">
            <v>1450</v>
          </cell>
          <cell r="I6">
            <v>362.5</v>
          </cell>
          <cell r="J6" t="str">
            <v>Bliss</v>
          </cell>
          <cell r="K6" t="str">
            <v>From Avni Ahuja // Skip tom (10/12) Paytm From Nitin Kunka // No Orchids (27/01) Skip 1 week (27/02) No Sunflowers (02/05)</v>
          </cell>
          <cell r="L6" t="str">
            <v xml:space="preserve">Orchid n Sunflowers </v>
          </cell>
          <cell r="M6" t="str">
            <v>One Kind</v>
          </cell>
          <cell r="N6" t="str">
            <v>3  del of this cycle   -  0-cycles pmnt   Completed - Collect 0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 t="str">
            <v>P Asiatic ( 14 Inch ) 3    Collect Payment Grass</v>
          </cell>
          <cell r="T6" t="str">
            <v>Rajni ( 14 Inch ) 16     Grass</v>
          </cell>
        </row>
        <row r="7">
          <cell r="A7">
            <v>2359</v>
          </cell>
          <cell r="B7" t="str">
            <v>Roshni Achpal</v>
          </cell>
          <cell r="C7">
            <v>9711170252</v>
          </cell>
          <cell r="D7" t="str">
            <v>A-102, Belaire</v>
          </cell>
          <cell r="E7" t="str">
            <v>Golf Course Road</v>
          </cell>
          <cell r="F7" t="str">
            <v>Thursday</v>
          </cell>
          <cell r="G7" t="str">
            <v>9 AM - 12 PM</v>
          </cell>
          <cell r="H7">
            <v>999</v>
          </cell>
          <cell r="I7">
            <v>249.75</v>
          </cell>
          <cell r="J7" t="str">
            <v>Delight</v>
          </cell>
          <cell r="K7" t="str">
            <v>Gift From Ankita Mehta  // Shift to Delight(04/12) Gpay from Alok Asrani (04/12) Skip 2 week (19/12) No car (01/05) Skip 2 weeks (19/08) No rajni (08/09) Skip 2 week (18/12) No Button Daisy 912/02) Skip 1 week (14/03) Do not count last del (13/05) Skip 1 week (11/06)</v>
          </cell>
          <cell r="L7" t="str">
            <v>Car n Rajni n Buttn Daisies</v>
          </cell>
          <cell r="N7" t="str">
            <v>4  del of this cycle   -  0-cycles pmnt   Completed - Collect 0</v>
          </cell>
          <cell r="O7" t="str">
            <v>P n W Glad ( 14 Inch ) 9     Grass</v>
          </cell>
          <cell r="P7" t="str">
            <v>Sunflower ( 12 Inch ) 2     Grass</v>
          </cell>
          <cell r="Q7" t="e">
            <v>#N/A</v>
          </cell>
          <cell r="R7" t="str">
            <v>Pur n P Car ( 14 Inch ) 9     FF Sachet + Grass</v>
          </cell>
          <cell r="S7" t="str">
            <v>O Asiatic ( 14 Inch ) 2     Grass</v>
          </cell>
          <cell r="T7" t="str">
            <v>Mix Alstroemeria ( 12Inch ) 9     FF Sachet + Grass</v>
          </cell>
        </row>
        <row r="8">
          <cell r="A8">
            <v>2037</v>
          </cell>
          <cell r="B8" t="str">
            <v>Sharwan Chopra</v>
          </cell>
          <cell r="C8">
            <v>9971066995</v>
          </cell>
          <cell r="D8" t="str">
            <v>A-223, The Belaire</v>
          </cell>
          <cell r="E8" t="str">
            <v>Golf Course Road</v>
          </cell>
          <cell r="F8" t="str">
            <v>Thursday</v>
          </cell>
          <cell r="G8" t="str">
            <v>10 AM to 2:30 PM</v>
          </cell>
          <cell r="H8">
            <v>1950</v>
          </cell>
          <cell r="I8">
            <v>487.5</v>
          </cell>
          <cell r="J8" t="str">
            <v>Joy</v>
          </cell>
          <cell r="K8" t="str">
            <v>NO Car (15/02) Skip 3 Weeks (12/06) Skip 1 week (28/12) Hold all deliveries till 1st July (12/06) Skip 25th Dec (23/12) Hold due to non payment (29/01) Returned today (04/06) Skip 1 week (16/06)</v>
          </cell>
          <cell r="L8" t="str">
            <v>CAR</v>
          </cell>
          <cell r="N8" t="str">
            <v>2  del of this cycle   -  0-cycles pmnt   Completed - Collect 0</v>
          </cell>
          <cell r="O8" t="str">
            <v>Y Asiatic ( 14 Inch ) 4     Grass</v>
          </cell>
          <cell r="P8" t="str">
            <v>P n W Glad ( 14 Inch ) 22     Grass</v>
          </cell>
          <cell r="Q8" t="e">
            <v>#N/A</v>
          </cell>
          <cell r="R8" t="str">
            <v>Pur n P Eustoma ( 12 Inch ) 4     FF Sachet + Grass</v>
          </cell>
          <cell r="S8" t="str">
            <v>Rajni ( 14 Inch ) 22     Grass</v>
          </cell>
          <cell r="T8" t="str">
            <v>O Asiatic ( ( 14 inch ) 4     Grass</v>
          </cell>
        </row>
        <row r="9">
          <cell r="A9">
            <v>1998</v>
          </cell>
          <cell r="B9" t="str">
            <v>Shivani Katyal</v>
          </cell>
          <cell r="C9">
            <v>9811053756</v>
          </cell>
          <cell r="D9" t="str">
            <v>H. No. 1486, Sarsawati Kunj</v>
          </cell>
          <cell r="E9" t="str">
            <v>DLF Phase 5</v>
          </cell>
          <cell r="F9" t="str">
            <v>Thursday</v>
          </cell>
          <cell r="G9" t="str">
            <v>9:30 Am to 2 PM</v>
          </cell>
          <cell r="H9">
            <v>1950</v>
          </cell>
          <cell r="I9">
            <v>487.5</v>
          </cell>
          <cell r="J9" t="str">
            <v>Joy</v>
          </cell>
          <cell r="K9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9" t="str">
            <v>GULDAWARI n ANTHURIUM n GLAD</v>
          </cell>
          <cell r="N9" t="str">
            <v>1  del of this cycle   -  1-cycles pmnt   Pending - Collect 1900</v>
          </cell>
          <cell r="O9" t="str">
            <v>Sunflower ( 12 Inch ) 5     FF Sachet + Grass</v>
          </cell>
          <cell r="P9" t="str">
            <v>Pur n P Car ( 14 inch ) 22     FF Sachet + Grass</v>
          </cell>
          <cell r="Q9" t="str">
            <v>Mix Alstroemeria ( 12 Inch ) 22     FF Sachet + Grass</v>
          </cell>
          <cell r="R9" t="str">
            <v>P n W Spray Daisy 7     FF Sachet + Grass</v>
          </cell>
          <cell r="S9" t="str">
            <v>P Asiatic ( 14 Inch ) 4     Grass</v>
          </cell>
          <cell r="T9" t="str">
            <v>Rajni ( 14 Inch ) 22     Grass</v>
          </cell>
        </row>
        <row r="10">
          <cell r="A10">
            <v>1181</v>
          </cell>
          <cell r="B10" t="str">
            <v>Parul Sharma --Elation</v>
          </cell>
          <cell r="C10">
            <v>8800895944</v>
          </cell>
          <cell r="D10" t="str">
            <v>Villa-27, The Legend</v>
          </cell>
          <cell r="E10" t="str">
            <v>Artemis</v>
          </cell>
          <cell r="F10" t="str">
            <v>Thursday</v>
          </cell>
          <cell r="G10" t="str">
            <v>9 AM to 2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10" t="str">
            <v>Before 11:30 AM</v>
          </cell>
          <cell r="N10" t="str">
            <v>1  del of this cycle   -  1-cycles pmnt   Pending - Collect 1950</v>
          </cell>
          <cell r="O10" t="str">
            <v>P n W Glad ( 14 Inch ) 22     Grass</v>
          </cell>
          <cell r="P10" t="str">
            <v>Pur n P Eustoma ( 12 Inch ) 4     FF Sachet + Grass</v>
          </cell>
          <cell r="Q10" t="str">
            <v>P n Y Spray Daisy ( 14 Inch ) 7     FF Sachet + Grass</v>
          </cell>
          <cell r="R10" t="str">
            <v>P n W Car ( 14 inch ) 22     FF Sachet + Grass</v>
          </cell>
          <cell r="S10" t="str">
            <v>Sunflower ( 12 Inch ) 5     FF Sachet + Grass</v>
          </cell>
          <cell r="T10" t="str">
            <v>W Asiatic ( 14 Inch ) 4     Grass</v>
          </cell>
        </row>
        <row r="11">
          <cell r="A11">
            <v>203</v>
          </cell>
          <cell r="B11" t="str">
            <v>Alok divatia -- After 10 AM</v>
          </cell>
          <cell r="C11">
            <v>9819355743</v>
          </cell>
          <cell r="D11" t="str">
            <v>BLC 263, 26th Floor, Tower C, The Belaire</v>
          </cell>
          <cell r="E11" t="str">
            <v>Golf Course Road</v>
          </cell>
          <cell r="F11" t="str">
            <v>Thursday</v>
          </cell>
          <cell r="G11" t="str">
            <v>9 AM - 12 PM</v>
          </cell>
          <cell r="H11">
            <v>8648</v>
          </cell>
          <cell r="I11">
            <v>2162</v>
          </cell>
          <cell r="J11" t="str">
            <v>Customized</v>
          </cell>
          <cell r="K11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11" t="str">
            <v>2  del of this cycle   -  0-cycles pmnt   Completed - Collect 0</v>
          </cell>
          <cell r="O11" t="str">
            <v>P n Y Asiatic ( 14 Inch ) 14 Pur n Y Car ( 14 Inch ) 24   4 Areca palm + 2 Gypsola + 2 Limonium</v>
          </cell>
          <cell r="P11" t="str">
            <v xml:space="preserve">P n W Asiatic ( 14 Inch ) 14 Pur n P Car ( 14 inch ) 24   </v>
          </cell>
          <cell r="Q11" t="str">
            <v xml:space="preserve">O n P Asiatic ( 14 Inch ) 14 P n W Car ( 14 Inch ) 24   </v>
          </cell>
          <cell r="R11" t="str">
            <v>O n W Asiatic ( 14 Inch ) 14 R n P Car ( 14 Inch ) 24   4 Areca Palm + 2 Gypsola + 2 Limonim</v>
          </cell>
          <cell r="S11" t="str">
            <v>Y n P Asiatic ( 14 Inch ) 14 Pur n W Car ( 14 Inch ) 24   4 Areca Palm + 2 Gypsola + 2 Limonium</v>
          </cell>
          <cell r="T11" t="str">
            <v xml:space="preserve">O n W Asiatic ( 14 inch ) 14 P n W Car ( 14 Inch ) 24   </v>
          </cell>
        </row>
        <row r="12">
          <cell r="A12">
            <v>2024</v>
          </cell>
          <cell r="B12" t="str">
            <v>Priyanka Katyal</v>
          </cell>
          <cell r="C12">
            <v>9958565556</v>
          </cell>
          <cell r="D12" t="str">
            <v>1487, Saraswati Kunj, Sector 53</v>
          </cell>
          <cell r="E12" t="str">
            <v>DLF Phase 5</v>
          </cell>
          <cell r="F12" t="str">
            <v>Thursday</v>
          </cell>
          <cell r="G12" t="str">
            <v>9 AM - 12 PM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12" t="str">
            <v>ORIENTAL n GULDAWARI</v>
          </cell>
          <cell r="M12" t="str">
            <v>Premium Flwer extra Next (09/01)</v>
          </cell>
          <cell r="N12" t="str">
            <v>4  del of this cycle   -  0-cycles pmnt   Completed - Collect 0</v>
          </cell>
          <cell r="O12" t="str">
            <v>Sunflower ( 12 Inch ) 5     FF Sachet + Grass</v>
          </cell>
          <cell r="P12" t="str">
            <v>P n W Glad ( 14 Inch ) 22     Grass</v>
          </cell>
          <cell r="Q12" t="str">
            <v>P n W Spray Daisy ( 14 Inch ) 7     FF Sachet + Grass</v>
          </cell>
          <cell r="R12" t="str">
            <v>O Asiatic ( 14 Inch ) 4     Grass</v>
          </cell>
          <cell r="S12" t="str">
            <v>P n W Car ( 14 Inch ) 22     FF Sachet + Grass</v>
          </cell>
          <cell r="T12" t="str">
            <v>Rajni ( 14 Inch ) 22     Grass</v>
          </cell>
        </row>
        <row r="13">
          <cell r="A13">
            <v>221</v>
          </cell>
          <cell r="B13" t="str">
            <v>Convinience Enterprises-Sonali anand</v>
          </cell>
          <cell r="C13">
            <v>9810524040</v>
          </cell>
          <cell r="D13" t="str">
            <v>E-243 belaire apartments</v>
          </cell>
          <cell r="E13" t="str">
            <v>Golf Course Road</v>
          </cell>
          <cell r="F13" t="str">
            <v>Thursday</v>
          </cell>
          <cell r="G13" t="str">
            <v>9 AM - 12 PM</v>
          </cell>
          <cell r="H13">
            <v>2750</v>
          </cell>
          <cell r="I13">
            <v>687.5</v>
          </cell>
          <cell r="J13" t="str">
            <v>Corporate</v>
          </cell>
          <cell r="K13" t="str">
            <v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v>
          </cell>
          <cell r="N13" t="str">
            <v>4  del of this cycle   -  0-cycles pmnt   In Process - Collect 0</v>
          </cell>
          <cell r="O13" t="str">
            <v>Sunflower ( 12 Inch ) 7     2 Gypsola + FF Sachet</v>
          </cell>
          <cell r="P13" t="e">
            <v>#N/A</v>
          </cell>
          <cell r="Q13" t="e">
            <v>#N/A</v>
          </cell>
          <cell r="R13" t="e">
            <v>#N/A</v>
          </cell>
          <cell r="S13" t="str">
            <v xml:space="preserve">P Asiatic ( 14 Inch ) 6     </v>
          </cell>
          <cell r="T13" t="str">
            <v>R n W Car ( 14 Inch ) 32     2 Limonium + FF Sachet</v>
          </cell>
        </row>
        <row r="14">
          <cell r="A14">
            <v>71</v>
          </cell>
          <cell r="B14" t="str">
            <v>Meenakshi Verma</v>
          </cell>
          <cell r="C14">
            <v>9810044544</v>
          </cell>
          <cell r="D14" t="str">
            <v>D-24, The Belaire Dlf golf course Road Phase 5</v>
          </cell>
          <cell r="E14" t="str">
            <v>Golf Course Road</v>
          </cell>
          <cell r="F14" t="str">
            <v>Thursday</v>
          </cell>
          <cell r="G14" t="str">
            <v>9 AM - 12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Thursday n Sunday//Lilies of diff color only(22/05) Skip tomorrow del(03/07)Skip tomorrow del(11/07)Replacement on 4th(01/10)Flowers sent on 7th due to diwali(08/11) Skip 1 week n start(01/01) Skip n send on Monday(18/03) SEND 1 Special Pack Next(18/04) Payment received against special pack(25/04) Send 2 stick extra in next del and flower food too(02/05) Skip 1 week(12/08) SEND FF Next (05/09) Dont count this week flowers as wilted(09/11) Rcvd 80 against FF(21/11) Confirm before sending(18/03) Hold Send tom(26/06/2020) Skip 1 week(25/11) Hold n start from 3rd week of jan(21/12) Returned-- start from next wek(21/01) Send 2 Bottle of flower food and upgrade to 1250 package(24/03) Sent replacement today(03/07) Hold-send next week(15/07) Send 2 Bottle of Flower food with next del(30/08) Skip 1 week(02/11) Skip 1 week(09/02) 1 Del send on 1450 on 19th May now converting to Charma Package(25/05) No Flowers till 20th Aug(27/07) Now 1450 and No Rises(10/09) NO Dahelia n Glad (17/03) Hold after 27th n start from 4th June (14/04) Start From Sep (07/08) Skip 1 week (09/07) Paytm from Vikram (12/09) No Sunflower (30/04) Send one bunch Alstroemeria acomplimentary (15/05)</v>
          </cell>
          <cell r="L14" t="str">
            <v>DAHELIA n GLAD n ROSE n ORCHID n Sunflower (30/04)</v>
          </cell>
          <cell r="N14" t="str">
            <v>4  del of this cycle   -  0-cycles pmnt   Completed - Collect 0</v>
          </cell>
          <cell r="O14" t="str">
            <v>P n Y Spray Dausy ( 14 Inch ) 7     FF Sachet + Grass</v>
          </cell>
          <cell r="P14" t="str">
            <v>Mix Alstroemeria ( 12 Inch ) 22     FF Sachet + Grass</v>
          </cell>
          <cell r="Q14" t="str">
            <v>O Asiatic ( 14 Inch ) 4     2 Gypsola</v>
          </cell>
          <cell r="R14" t="str">
            <v>P n W Glad ( 14 Inch ) 22     Grass</v>
          </cell>
          <cell r="S14" t="str">
            <v>P n W Car ( 14 Inch ) 22     FF Sachet + Grass</v>
          </cell>
          <cell r="T14" t="str">
            <v>P n W Spray Daisy ( 14 Inch ) 7     FF Sachet + Grass</v>
          </cell>
        </row>
        <row r="15">
          <cell r="A15">
            <v>2355</v>
          </cell>
          <cell r="B15" t="str">
            <v>Convinience Enterprises-Veena Anand</v>
          </cell>
          <cell r="C15">
            <v>9810031208</v>
          </cell>
          <cell r="D15" t="str">
            <v>307, Aralyas, DLF 5</v>
          </cell>
          <cell r="E15" t="str">
            <v>Golf Course Road</v>
          </cell>
          <cell r="F15" t="str">
            <v>Thursday</v>
          </cell>
          <cell r="G15" t="str">
            <v>By 10 AM</v>
          </cell>
          <cell r="H15">
            <v>2750</v>
          </cell>
          <cell r="I15">
            <v>687.5</v>
          </cell>
          <cell r="J15" t="str">
            <v>Corporate</v>
          </cell>
          <cell r="K15" t="str">
            <v>Skip this Thursday and send on Sunday (20/11)Hold and send on 12th Now (31/12) Do Not count last Del (02/07) Skip 1 week (10/09) Skip 2 week (18/05)</v>
          </cell>
          <cell r="N15" t="str">
            <v>2  del of this cycle   -  0-cycles pmnt   In Process - Collect 0</v>
          </cell>
          <cell r="O15" t="str">
            <v>Sunflower ( 12 Inch ) 7     2 Gypsola + FF Sachet</v>
          </cell>
          <cell r="P15" t="str">
            <v>Pur n P Car ( 14 inch ) 32     2 Limonium + FF Sachet</v>
          </cell>
          <cell r="Q15" t="str">
            <v xml:space="preserve">O Asiatic ( 14 Inch ) 6     2 Gypsola </v>
          </cell>
          <cell r="R15" t="e">
            <v>#N/A</v>
          </cell>
          <cell r="S15" t="e">
            <v>#N/A</v>
          </cell>
          <cell r="T15" t="str">
            <v>Rajni ( 14 Inch ) 32     2 Limonium</v>
          </cell>
        </row>
        <row r="16">
          <cell r="A16">
            <v>2502</v>
          </cell>
          <cell r="B16" t="str">
            <v>Amrita Sarup</v>
          </cell>
          <cell r="C16">
            <v>7028026940</v>
          </cell>
          <cell r="D16" t="str">
            <v>D1/802, Experion Heartsong, Sec 108</v>
          </cell>
          <cell r="E16" t="str">
            <v>Dwarka Expressway</v>
          </cell>
          <cell r="F16" t="str">
            <v>Thursday</v>
          </cell>
          <cell r="G16" t="str">
            <v>4 Pm to 7 PM</v>
          </cell>
          <cell r="H16">
            <v>1450</v>
          </cell>
          <cell r="I16">
            <v>362.5</v>
          </cell>
          <cell r="J16" t="str">
            <v>Bliss</v>
          </cell>
          <cell r="K16" t="str">
            <v>No Asiatic n Spray Daisy // Today Hold (14/08) Replacement tom (04/12) No Orchid (11/12) No BOP n Orchid (12/12) Today Returned -send on Sunday (18/12) Returned today (01/01/26) Next 3 Deliveries with Premium (11/.04)</v>
          </cell>
          <cell r="L16" t="str">
            <v>BOP n Orchid</v>
          </cell>
          <cell r="M16" t="str">
            <v>Next 3 Deliveries with Premium (11/.04)</v>
          </cell>
          <cell r="N16" t="str">
            <v>2  del of this cycle   -  0-cycles pmnt   Completed - Collect 0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 t="str">
            <v>Pur n P Car ( 14 Inch ) 16     FF Sachet + Grass</v>
          </cell>
          <cell r="T16" t="str">
            <v>O Asiatic ( ( 14 inch ) 3     Grass</v>
          </cell>
        </row>
        <row r="17">
          <cell r="A17">
            <v>3247</v>
          </cell>
          <cell r="B17" t="str">
            <v>V P Singh</v>
          </cell>
          <cell r="C17">
            <v>9717986555</v>
          </cell>
          <cell r="D17" t="str">
            <v>WT04/701, Experion Windchantsm Sec 112</v>
          </cell>
          <cell r="E17" t="str">
            <v>Dwarka Expressway</v>
          </cell>
          <cell r="F17" t="str">
            <v>Thursday</v>
          </cell>
          <cell r="G17" t="str">
            <v>4 Pm to 7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Paytm From Vijay Pratap Singh</v>
          </cell>
          <cell r="N17" t="str">
            <v>3  del of this cycle   -  0-cycles pmnt   Completed - Collect 0</v>
          </cell>
          <cell r="O17" t="str">
            <v>Mix Car 16     Grass</v>
          </cell>
          <cell r="P17" t="str">
            <v>P n W Glad ( 14 Inch ) 16     Grass</v>
          </cell>
          <cell r="Q17" t="str">
            <v>Sunflower ( 12 Inch ) 4 With Bouquet in Morning Pls With Bouquet in Morning Pls With Bouquet in Morning Pls  FF Sachet + Grass</v>
          </cell>
          <cell r="R17" t="str">
            <v>Pur Eustoma ( 12 Inch ) 3     FF Sachet + Grass</v>
          </cell>
          <cell r="S17" t="str">
            <v>O Asiatic ( 14 Inch ) 3     Grass</v>
          </cell>
          <cell r="T17" t="str">
            <v>Rajni ( 14 Inch ) 16     Grass</v>
          </cell>
        </row>
        <row r="18">
          <cell r="A18">
            <v>894</v>
          </cell>
          <cell r="B18" t="str">
            <v>Dr. Roma Kumar</v>
          </cell>
          <cell r="C18" t="str">
            <v>98110 87708</v>
          </cell>
          <cell r="D18" t="str">
            <v>RT-181, Royalton Tower
Inside Princeton Estate
DLF City Phase-V
Gurgaon-122009
Haryana</v>
          </cell>
          <cell r="E18" t="str">
            <v>DLF Phase 5</v>
          </cell>
          <cell r="F18" t="str">
            <v>Thursday</v>
          </cell>
          <cell r="G18" t="str">
            <v>9 AM - 12 PM</v>
          </cell>
          <cell r="H18">
            <v>3000</v>
          </cell>
          <cell r="I18">
            <v>375</v>
          </cell>
          <cell r="J18" t="str">
            <v>Charm</v>
          </cell>
          <cell r="K18" t="str">
    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 Hold today (02/07)</v>
          </cell>
          <cell r="L18" t="str">
            <v>ORCHID</v>
          </cell>
          <cell r="N18" t="str">
            <v>6  del of this cycle   -  0-cycles pmnt   Completed - Collect 0</v>
          </cell>
          <cell r="O18" t="str">
            <v>W Oriental ( 15 Inch ) 2     Grass</v>
          </cell>
          <cell r="P18" t="str">
            <v>P n W Glad ( 14 Inch ) 15     Grass</v>
          </cell>
          <cell r="Q18" t="str">
            <v>P Asiatic ( 14 Inch ) 3     Grass</v>
          </cell>
          <cell r="R18" t="str">
            <v>Rajni ( 14 Inch ) 15     Grass</v>
          </cell>
          <cell r="S18" t="str">
            <v>B Daisy ( 12 Inch ) 15     Grass</v>
          </cell>
          <cell r="T18" t="str">
            <v>G Anthurium 3     Grass</v>
          </cell>
        </row>
        <row r="19">
          <cell r="A19">
            <v>3396</v>
          </cell>
          <cell r="B19" t="str">
            <v>Shivani Gogia</v>
          </cell>
          <cell r="C19">
            <v>7838568324</v>
          </cell>
          <cell r="D19" t="str">
            <v>A-105, 1st Floor, Siushant Lok 3, Sec 57</v>
          </cell>
          <cell r="E19" t="str">
            <v>Sector 56</v>
          </cell>
          <cell r="F19" t="str">
            <v>Thursday</v>
          </cell>
          <cell r="G19" t="str">
            <v>9:30 Am to 2 PM</v>
          </cell>
          <cell r="H19">
            <v>1450</v>
          </cell>
          <cell r="I19">
            <v>362.5</v>
          </cell>
          <cell r="J19" t="str">
            <v>Customized</v>
          </cell>
          <cell r="K19" t="str">
            <v>14 rajni</v>
          </cell>
          <cell r="N19" t="str">
            <v>2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e">
            <v>#N/A</v>
          </cell>
          <cell r="S19" t="str">
            <v>Rajni ( 14 Inch ) 14     Grass</v>
          </cell>
          <cell r="T19" t="str">
            <v>O Asiatic ( ( 14 inch ) 3     FF Sachet + Grass</v>
          </cell>
        </row>
        <row r="20">
          <cell r="A20" t="str">
            <v>G-00028</v>
          </cell>
          <cell r="B20" t="str">
            <v>Niharika Mohanty</v>
          </cell>
          <cell r="C20">
            <v>9711098608</v>
          </cell>
          <cell r="D20" t="str">
            <v>W2A-151, Wellington Estate</v>
          </cell>
          <cell r="E20" t="str">
            <v>DLF Phase 5</v>
          </cell>
          <cell r="F20" t="str">
            <v>Thursday</v>
          </cell>
          <cell r="G20" t="str">
            <v>10 AM to 2:30 PM</v>
          </cell>
          <cell r="H20">
            <v>1950</v>
          </cell>
          <cell r="I20">
            <v>487.5</v>
          </cell>
          <cell r="J20" t="str">
            <v>Joy</v>
          </cell>
          <cell r="K20" t="str">
            <v>From Akriti Chopra // Mixed Flowers // Skip this week (11/03) Skip 1 week (11/03)  Skip 2 week (18/06) Skip 1 week (13/08) Skip 1 week (14/10) Skip 2 weeks (12/11) Skip 1 week (03/12) Skip 1 week (03/01) Hold today (21/05) Skip tom (03/06) Skip today and next week (18/06(</v>
          </cell>
          <cell r="M20" t="str">
            <v>Mixed Flowers</v>
          </cell>
          <cell r="N20" t="str">
            <v>2  del of this cycle   -  1-cycles pmnt   Pending - Collect 1950</v>
          </cell>
          <cell r="O20" t="e">
            <v>#N/A</v>
          </cell>
          <cell r="P20" t="str">
            <v>Y Asiatic ( 14 Inch ) 2 P n W Glad ( 14 Inch ) 11   2 Gypsola</v>
          </cell>
          <cell r="Q20" t="str">
            <v>Sunflower ( 12 Inch ) 3 Mix Alstroemeria ( 12 inch )  11   FF Sachet + Grass</v>
          </cell>
          <cell r="R20" t="e">
            <v>#N/A</v>
          </cell>
          <cell r="S20" t="str">
            <v>P Eustoma ( 12 Inch ) 2 Pur n W Car ( 14 Inch ) 11   FF Sachet + Grass</v>
          </cell>
          <cell r="T20" t="str">
            <v>P Asiatic ( 14 Inch ) 2 Rajni ( 14 Inch ) 11 Collect Payment Collect Payment Grass</v>
          </cell>
        </row>
        <row r="21">
          <cell r="A21">
            <v>3270</v>
          </cell>
          <cell r="B21" t="str">
            <v>Tanya Sharma</v>
          </cell>
          <cell r="C21">
            <v>7022251818</v>
          </cell>
          <cell r="D21" t="str">
            <v>T-8/202, Chintel Serenity, Sec 109</v>
          </cell>
          <cell r="E21" t="str">
            <v>Dwarka Expressway</v>
          </cell>
          <cell r="F21" t="str">
            <v>Thursday</v>
          </cell>
          <cell r="G21" t="str">
            <v>4 Pm to 7 PM</v>
          </cell>
          <cell r="H21">
            <v>1950</v>
          </cell>
          <cell r="I21">
            <v>487.5</v>
          </cell>
          <cell r="J21" t="str">
            <v>Joy</v>
          </cell>
          <cell r="K21" t="str">
            <v>No Yellow wn Purple // no Rajni (02/02) No ALstroemeria and do not count last del(19/06) Pls Don’t count last del (26/06)</v>
          </cell>
          <cell r="L21" t="str">
            <v>Rajni n Alstroemeria</v>
          </cell>
          <cell r="M21" t="str">
            <v>No Yellow wn Purple // Stock Next (02/03)</v>
          </cell>
          <cell r="N21" t="str">
            <v>4  del of this cycle   -  0-cycles pmnt   Completed - Collect 0</v>
          </cell>
          <cell r="O21" t="str">
            <v>W Asiatic ( 14 Inch ) 2 P n W Glad ( 14 Inch ) 11   Grass</v>
          </cell>
          <cell r="P21" t="str">
            <v>G n W Spray Daisy ( 14 Inch ) 4 P n W Car ( 14 Inch ) 11   FF Sachet + Grass</v>
          </cell>
          <cell r="Q21" t="str">
            <v>P Eustoma ( 12 Inch ) 2 Mix Alstroemeria ( 12 inch )  11   FF Sachet + Grass</v>
          </cell>
          <cell r="R21" t="str">
            <v>O Asiatic ( 14 Inch ) 2 Rajni ( 14 Inch ) 11   Grass</v>
          </cell>
          <cell r="S21" t="str">
            <v>P n Y Spray Daisy ( 14 Inch ) 4 P n W Glad ( 14 Inch ) 11   FF Sachet + Grass</v>
          </cell>
          <cell r="T21" t="str">
            <v>P Asiatic ( 14 Inch ) 2 P n W Car ( 14 Inch ) 11   Grass</v>
          </cell>
        </row>
        <row r="22">
          <cell r="A22">
            <v>2509</v>
          </cell>
          <cell r="B22" t="str">
            <v>Shrija Majumder</v>
          </cell>
          <cell r="C22">
            <v>8910369663</v>
          </cell>
          <cell r="D22" t="str">
            <v>G-803, BPTP Freedom Park Life</v>
          </cell>
          <cell r="E22" t="str">
            <v>Artemis</v>
          </cell>
          <cell r="F22" t="str">
            <v>Thursday</v>
          </cell>
          <cell r="G22" t="str">
            <v>9:30 Am to 2 PM</v>
          </cell>
          <cell r="H22">
            <v>1450</v>
          </cell>
          <cell r="I22">
            <v>1450</v>
          </cell>
          <cell r="J22" t="str">
            <v>Bliss</v>
          </cell>
          <cell r="K22" t="str">
            <v>Only Seasonals // skip tom (26/04) Skip 1 week (25/06) Hold today (14/08) Send tom after 7 PM (20/08) Skip 1 week (27/08) Skip 1 week (05/03) send replacement tom (28/03)</v>
          </cell>
          <cell r="M22" t="str">
            <v>Seasonlas</v>
          </cell>
          <cell r="N22" t="str">
            <v>3  del of this cycle   -  0-cycles pmnt   Completed - Collect 0</v>
          </cell>
          <cell r="O22" t="str">
            <v>Rajni ( 14 Inch ) 9     Grass</v>
          </cell>
          <cell r="P22" t="str">
            <v>Mix Car ( 14 Inch ) 9     Grass</v>
          </cell>
          <cell r="Q22" t="str">
            <v>Mix Alstroemeria ( 12 Inch ) 9     FF Sachet + Grass</v>
          </cell>
          <cell r="R22" t="str">
            <v>P n W Glad ( 14 Inch ) 16     Grass</v>
          </cell>
          <cell r="S22" t="str">
            <v>Rajni ( 14 Inch ) 16     Grass</v>
          </cell>
          <cell r="T22" t="str">
            <v>R n W Car ( 14 Inch ) 16     FF Sachet + Grass</v>
          </cell>
        </row>
        <row r="23">
          <cell r="A23">
            <v>3235</v>
          </cell>
          <cell r="B23" t="str">
            <v>Nishant -- Wellington</v>
          </cell>
          <cell r="C23">
            <v>9833057481</v>
          </cell>
          <cell r="D23" t="str">
            <v>Flat-1B/101, Wellington Estate</v>
          </cell>
          <cell r="E23" t="str">
            <v>DLF Phase 5</v>
          </cell>
          <cell r="F23" t="str">
            <v>Thursday</v>
          </cell>
          <cell r="G23" t="str">
            <v>9 AM - 12 PM</v>
          </cell>
          <cell r="H23">
            <v>1450</v>
          </cell>
          <cell r="I23">
            <v>362.5</v>
          </cell>
          <cell r="J23" t="str">
            <v>Bliss</v>
          </cell>
          <cell r="K23" t="str">
            <v>Paytm From Nishant Pandita // HDTNP (05/03) No Glad or Rajni (06/06)</v>
          </cell>
          <cell r="L23" t="str">
            <v>Glad n Rajni</v>
          </cell>
          <cell r="N23" t="str">
            <v>1  del of this cycle   -  1-cycles pmnt   Pending - Collect 1450</v>
          </cell>
          <cell r="O23" t="e">
            <v>#N/A</v>
          </cell>
          <cell r="P23" t="str">
            <v>Pur n P Car ( 14 inch ) 16     FF Sachet + Grass</v>
          </cell>
          <cell r="Q23" t="str">
            <v>P Asiatic ( 14 Inch ) 3     Grass</v>
          </cell>
          <cell r="R23" t="str">
            <v>Pur Eustoma ( 12 Inch ) 3     FF Sachet + Grass</v>
          </cell>
          <cell r="S23" t="str">
            <v>P n Y Spray Daisy ( 14 Inch ) 5     FF Sachet + Grass</v>
          </cell>
          <cell r="T23" t="str">
            <v>Mix Alstroemeria ( 12Inch ) 16     FF Sachet + Grass</v>
          </cell>
        </row>
        <row r="24">
          <cell r="A24">
            <v>2665</v>
          </cell>
          <cell r="B24" t="str">
            <v>Shaivya Rai</v>
          </cell>
          <cell r="C24">
            <v>9532096763</v>
          </cell>
          <cell r="D24" t="str">
            <v>4221, ATS Kocoon, Sec 109</v>
          </cell>
          <cell r="E24" t="str">
            <v>Dwarka Expressway</v>
          </cell>
          <cell r="F24" t="str">
            <v>Thursday</v>
          </cell>
          <cell r="G24" t="str">
            <v>4 Pm to 7 PM</v>
          </cell>
          <cell r="H24">
            <v>999</v>
          </cell>
          <cell r="I24">
            <v>249.75</v>
          </cell>
          <cell r="J24" t="str">
            <v>Delight</v>
          </cell>
          <cell r="K24" t="str">
            <v>Received on 25th Aug (25/07) HDTNP (11/06) HDTNP (18/06) HDTNP (25/06)</v>
          </cell>
          <cell r="N24" t="str">
            <v>3  del of this cycle   -  0-cycles pmnt   Completed - Collect 0</v>
          </cell>
          <cell r="O24" t="str">
            <v>P n W Glad ( 14 Inch ) 9     Grass</v>
          </cell>
          <cell r="P24" t="e">
            <v>#N/A</v>
          </cell>
          <cell r="Q24" t="e">
            <v>#N/A</v>
          </cell>
          <cell r="R24" t="e">
            <v>#N/A</v>
          </cell>
          <cell r="S24" t="str">
            <v xml:space="preserve">Collect 250 n Close      </v>
          </cell>
          <cell r="T24" t="str">
            <v>Pur n P Car ( 14 Inch ) 9     FF Sachet + Grass</v>
          </cell>
        </row>
        <row r="25">
          <cell r="A25">
            <v>236</v>
          </cell>
          <cell r="B25" t="str">
            <v>Dr. Arti Gupta 1</v>
          </cell>
          <cell r="C25">
            <v>8860079525</v>
          </cell>
          <cell r="D25" t="str">
            <v>Mayom Hospital, D block south city 1</v>
          </cell>
          <cell r="E25" t="str">
            <v>South City 1</v>
          </cell>
          <cell r="F25" t="str">
            <v>Mondau</v>
          </cell>
          <cell r="G25" t="str">
            <v>9 AM - 12 PM</v>
          </cell>
          <cell r="H25">
            <v>1450</v>
          </cell>
          <cell r="I25">
            <v>362.5</v>
          </cell>
          <cell r="J25" t="str">
            <v>Corporate</v>
          </cell>
          <cell r="K25" t="str">
            <v>Pls send a replacement of Asiatic tomorrow(23/08)NO GERBERA(22/09) Start special Pack(13/04) Send Del on Monday this week(20/03) NEVER BUT DAISIES(29/10) Hold today (22/01) HDTNP (19/02) Sent one xtra del today (29/06)</v>
          </cell>
          <cell r="N25" t="str">
            <v>4  del of this cycle   -  0-cycles pmnt   In Process - Collect 0</v>
          </cell>
          <cell r="O25" t="str">
            <v>Mix Alstroemeria ( 12 Inch ) 16     FF Sachet + Grass</v>
          </cell>
          <cell r="P25" t="str">
            <v>Pur n P Car ( 14 inch ) 16     FF Sachet + Grass</v>
          </cell>
          <cell r="Q25" t="str">
            <v>P n W Glad ( 14 Inch ) 16     Grass</v>
          </cell>
          <cell r="R25" t="str">
            <v>Rajni ( 14 Inch ) 16     Grass</v>
          </cell>
          <cell r="S25" t="str">
            <v>B Daisy ( 12 Inch ) 10     Grass</v>
          </cell>
          <cell r="T25" t="str">
            <v>P n W Car ( 14 Inch ) 16     FF Sachet + Grass</v>
          </cell>
        </row>
        <row r="26">
          <cell r="A26">
            <v>2204</v>
          </cell>
          <cell r="B26" t="str">
            <v>Bidisha Dey</v>
          </cell>
          <cell r="C26">
            <v>9811969982</v>
          </cell>
          <cell r="D26" t="str">
            <v>C-24, Carlton Estate-1, Club Drive</v>
          </cell>
          <cell r="E26" t="str">
            <v>DLF Phase 5</v>
          </cell>
          <cell r="F26" t="str">
            <v>Thursday</v>
          </cell>
          <cell r="G26" t="str">
            <v>9:30 Am to 2 PM</v>
          </cell>
          <cell r="H26">
            <v>1450</v>
          </cell>
          <cell r="I26">
            <v>362.5</v>
          </cell>
          <cell r="J26" t="str">
            <v>Bliss</v>
          </cell>
          <cell r="K26" t="str">
            <v>Skip 1 week (03/06) Returned send next week (11/07) Skip 1 week (08/01) Skip 1 week (26/03) Skip tom (02/07) Today Returned (20/11) HDTNP (25/06)</v>
          </cell>
          <cell r="N26" t="str">
            <v>1  del of this cycle   -  0-cycles pmnt   Completed - Collect 0</v>
          </cell>
          <cell r="O26" t="str">
            <v>P n W Glad ( 14 Inch ) 16     Grass</v>
          </cell>
          <cell r="P26" t="str">
            <v>Pur n P Car ( 14 inch ) 16     FF Sachet + Grass</v>
          </cell>
          <cell r="Q26" t="str">
            <v>Sunflower ( 12 Inch ) 4     FF Sachet + Grass</v>
          </cell>
          <cell r="R26" t="e">
            <v>#N/A</v>
          </cell>
          <cell r="S26" t="str">
            <v>P Asiatic ( 14 Inch ) 3    Collect payment Grass</v>
          </cell>
          <cell r="T26" t="str">
            <v>Rajni ( 14 Inch ) 16     Grass</v>
          </cell>
        </row>
        <row r="27">
          <cell r="A27">
            <v>366</v>
          </cell>
          <cell r="B27" t="str">
            <v>Dr. Arti Gupta 1</v>
          </cell>
          <cell r="C27">
            <v>8860079525</v>
          </cell>
          <cell r="D27" t="str">
            <v>Mayom Hospital, D block south city 1</v>
          </cell>
          <cell r="E27" t="str">
            <v>South City 1</v>
          </cell>
          <cell r="F27" t="str">
            <v>Monday</v>
          </cell>
          <cell r="G27" t="str">
            <v>9 AM - 12 PM</v>
          </cell>
          <cell r="H27">
            <v>1450</v>
          </cell>
          <cell r="I27">
            <v>362.5</v>
          </cell>
          <cell r="J27" t="str">
            <v>Corporate</v>
          </cell>
          <cell r="K27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</v>
          </cell>
          <cell r="N27" t="str">
            <v>4  del of this cycle   -  0-cycles pmnt   In Process - Collect 0</v>
          </cell>
          <cell r="O27" t="str">
            <v>P Asiatic ( 14 Inch ) 3     Grass</v>
          </cell>
          <cell r="P27" t="str">
            <v>Y Asiatic ( 14 Inch ) 3     Grass</v>
          </cell>
          <cell r="Q27" t="str">
            <v>O Asiatic ( 14 Inch ) 3     Grass</v>
          </cell>
          <cell r="R27" t="str">
            <v>Pur Eustoma ( 12 Inch ) 3     FF Sachet + Grass</v>
          </cell>
          <cell r="S27" t="str">
            <v>P Asiatic ( 14 Inch ) 3     Grass</v>
          </cell>
          <cell r="T27" t="str">
            <v>W Asiatic ( 14 Inch ) 3     Grass</v>
          </cell>
        </row>
        <row r="28">
          <cell r="A28">
            <v>922</v>
          </cell>
          <cell r="B28" t="str">
            <v>Dr. Deepa Gupta</v>
          </cell>
          <cell r="C28">
            <v>8860079525</v>
          </cell>
          <cell r="D28" t="str">
            <v>Mayom Hospital, D block south city 1</v>
          </cell>
          <cell r="E28" t="str">
            <v>South City 1</v>
          </cell>
          <cell r="F28" t="str">
            <v>Thursday</v>
          </cell>
          <cell r="G28" t="str">
            <v>4 PM to 7 PM</v>
          </cell>
          <cell r="H28">
            <v>1450</v>
          </cell>
          <cell r="I28">
            <v>362.5</v>
          </cell>
          <cell r="J28" t="str">
            <v>Corporate</v>
          </cell>
          <cell r="K28" t="str">
            <v>1 del Missed(07/10) Return-send next week(31/12) Send replacement of Gerbera(30/10) Send on Monday this week(20/03) Return- hold package(08/07) Today returned-send next week(02/06) HDTNP (19/02)</v>
          </cell>
          <cell r="N28" t="str">
            <v>2  del of this cycle   -  0-cycles pmnt   In Process - Collect 0</v>
          </cell>
          <cell r="O28" t="str">
            <v>P Asiatic ( 14 Inch ) 3     Grass</v>
          </cell>
          <cell r="P28" t="str">
            <v>Y Asiatic ( 14 Inch ) 3     Grass</v>
          </cell>
          <cell r="Q28" t="str">
            <v>O Asiatic ( 14 Inch ) 3     Grass</v>
          </cell>
          <cell r="R28" t="str">
            <v>Pur Eustoma ( 12 Inch ) 3     FF Sachet + Grass</v>
          </cell>
          <cell r="S28" t="str">
            <v>P Asiatic ( 14 Inch ) 3     Grass</v>
          </cell>
          <cell r="T28" t="str">
            <v>W Asiatic ( 14 Inch ) 3     Grass</v>
          </cell>
        </row>
        <row r="29">
          <cell r="A29">
            <v>396</v>
          </cell>
          <cell r="B29" t="str">
            <v>Dr. Deepa Gupta</v>
          </cell>
          <cell r="C29">
            <v>8860079525</v>
          </cell>
          <cell r="D29" t="str">
            <v>Mayom Hospital, D block south city 1</v>
          </cell>
          <cell r="E29" t="str">
            <v>South City 1</v>
          </cell>
          <cell r="F29" t="str">
            <v>Thursday</v>
          </cell>
          <cell r="G29" t="str">
            <v>4 PM to 7 PM</v>
          </cell>
          <cell r="H29">
            <v>1450</v>
          </cell>
          <cell r="I29">
            <v>362.5</v>
          </cell>
          <cell r="J29" t="str">
            <v>Corporate</v>
          </cell>
          <cell r="K29" t="str">
            <v>1 del Missed(07/10) Return-send next week(31/12) Send replacement of Gerbera(30/10) Send on Monday this week(20/03) Return- hold package(08/07) Today returned-send next week(02/06) HDTNP (19/02)</v>
          </cell>
          <cell r="N29" t="str">
            <v>2  del of this cycle   -  0-cycles pmnt   In Process - Collect 0</v>
          </cell>
          <cell r="O29" t="str">
            <v>Mix Alstroemeria ( 12 Inch ) 16     FF Sachet + Grass</v>
          </cell>
          <cell r="P29" t="str">
            <v>P n W Glad ( 14 Inch ) 16     Grass</v>
          </cell>
          <cell r="Q29" t="str">
            <v>Pur n P Car ( 14 inch ) 16     FF Sachet + Grass</v>
          </cell>
          <cell r="R29" t="str">
            <v>Rajni ( 14 Inch ) 16     Grass</v>
          </cell>
          <cell r="S29" t="str">
            <v>P n W Glad ( 14 Inch ) 16     Grass</v>
          </cell>
          <cell r="T29" t="str">
            <v>P n W Car ( 14 Inch ) 16     FF Sachet + Grass</v>
          </cell>
        </row>
        <row r="30">
          <cell r="A30">
            <v>3071</v>
          </cell>
          <cell r="B30" t="str">
            <v>Divya Rawat</v>
          </cell>
          <cell r="C30">
            <v>8390310325</v>
          </cell>
          <cell r="D30" t="str">
            <v>D-13/14, 1st Floor, DLF Exclusive Floor</v>
          </cell>
          <cell r="E30" t="str">
            <v>DLF Phase 5</v>
          </cell>
          <cell r="F30" t="str">
            <v>Thursday</v>
          </cell>
          <cell r="G30" t="str">
            <v>9 AM - 12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Return today (04/12) Hold today (05/03) Returned today (28/05) HDTNP (25/06)</v>
          </cell>
          <cell r="N30" t="str">
            <v>4  del of this cycle   -  0-cycles pmnt   Completed - Collect 0</v>
          </cell>
          <cell r="O30" t="str">
            <v>Pur Eustoma ( 14 Inch ) 2 Pur n P Car ( 14 Inch ) 7   FF Sachet + Grass</v>
          </cell>
          <cell r="P30" t="str">
            <v>P Spray Daisy ( 14 Inch ) 3 Mix Alstroemeria ( 12 Inch ) 7   FF Sachet + Grass</v>
          </cell>
          <cell r="Q30" t="str">
            <v>Sunflower ( 12 Inch ) 2 P n W Glad ( 14 Inch ) 7   FF Sachet + Grass</v>
          </cell>
          <cell r="R30" t="e">
            <v>#N/A</v>
          </cell>
          <cell r="S30" t="str">
            <v>P Asiatic ( 14 Inch ) 2 Rajni ( 14 Inch ) 7  Collect Payment Grass</v>
          </cell>
          <cell r="T30" t="str">
            <v>P Spray Daisy ( 14 Inch ) 3 P n W Car ( 14 Inch ) 7   FF Sachet + Grass</v>
          </cell>
        </row>
        <row r="31">
          <cell r="A31">
            <v>3273</v>
          </cell>
          <cell r="B31" t="str">
            <v>Sharmishtha Jhulka</v>
          </cell>
          <cell r="C31">
            <v>9810010615</v>
          </cell>
          <cell r="D31" t="str">
            <v>817-B, The Camelias</v>
          </cell>
          <cell r="E31" t="str">
            <v>Golf Course Road</v>
          </cell>
          <cell r="F31" t="str">
            <v>Thursday</v>
          </cell>
          <cell r="G31" t="str">
            <v>9 AM to 2 PM</v>
          </cell>
          <cell r="H31">
            <v>5800</v>
          </cell>
          <cell r="I31">
            <v>1450</v>
          </cell>
          <cell r="J31" t="str">
            <v>Customized</v>
          </cell>
          <cell r="K31" t="str">
            <v>send on 19th, 26th Mar, 23rd April and may 26 // Now start from 18th June (15/05) 10 Asiatic Lilies // 20 Spray Daisies // 10 Sunflowers// 10 Eustoma Pack (20/05) No Sunflowers ( 02/07)</v>
          </cell>
          <cell r="L31" t="str">
            <v>Sunflower</v>
          </cell>
          <cell r="N31" t="str">
            <v>3  del of this cycle   -  0-cycles pmnt   Completed - Collect 0</v>
          </cell>
          <cell r="O31" t="str">
            <v xml:space="preserve">Pur n P Eustoma ( 12 Inch ) 10     </v>
          </cell>
          <cell r="P31" t="e">
            <v>#N/A</v>
          </cell>
          <cell r="Q31" t="str">
            <v xml:space="preserve">P n Y Spray Daisy ( 14 Inch ) 20     </v>
          </cell>
          <cell r="R31" t="str">
            <v>O n W Asiatic ( 14 Inch ) 10     3 Areca Palm + 2 Limonium</v>
          </cell>
          <cell r="S31" t="str">
            <v>Sunflower ( 12 Inch ) 10     2 Gypsola</v>
          </cell>
          <cell r="T31" t="str">
            <v xml:space="preserve">P n W Spray Daisy ( 14 Inch ) 10     </v>
          </cell>
        </row>
        <row r="32">
          <cell r="A32">
            <v>1140</v>
          </cell>
          <cell r="B32" t="str">
            <v>Nidhi Singh</v>
          </cell>
          <cell r="C32" t="str">
            <v>8383036664//9899389873</v>
          </cell>
          <cell r="D32" t="str">
            <v>D-8/3, Ground Floor DLF Exclusive Floors</v>
          </cell>
          <cell r="E32" t="str">
            <v>DLF Phase 5</v>
          </cell>
          <cell r="F32" t="str">
            <v>Thursday</v>
          </cell>
          <cell r="G32" t="str">
            <v>9 AM - 12 PM</v>
          </cell>
          <cell r="H32">
            <v>2300</v>
          </cell>
          <cell r="I32">
            <v>287.5</v>
          </cell>
          <cell r="J32" t="str">
            <v>Felicity</v>
          </cell>
          <cell r="K32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32" t="str">
            <v>ROSE</v>
          </cell>
          <cell r="N32" t="str">
            <v>3  del of this cycle   -  0-cycles pmnt   Completed - Collect 0</v>
          </cell>
          <cell r="O32" t="str">
            <v>P Spray Daisy ( 14 Inch ) 3     FF Sachet + Grass</v>
          </cell>
          <cell r="P32" t="str">
            <v>Pur Eustoma ( 12 Inch ) 3     FF Sachet + Grass</v>
          </cell>
          <cell r="Q32" t="str">
            <v>Rajni ( 14 Inch ) 11     Grass</v>
          </cell>
          <cell r="R32" t="str">
            <v>P n W Glad ( 14 Inch ) 11     Grass</v>
          </cell>
          <cell r="S32" t="str">
            <v>Pur n P Car ( 14 Inch ) 11     FF Sachet + Grass</v>
          </cell>
          <cell r="T32" t="str">
            <v>Rajni ( 14 Inch ) 11     Grass</v>
          </cell>
        </row>
        <row r="33">
          <cell r="A33">
            <v>179</v>
          </cell>
          <cell r="B33" t="str">
            <v>Sarita Dosaj</v>
          </cell>
          <cell r="C33">
            <v>9810077026</v>
          </cell>
          <cell r="D33" t="str">
            <v>B-24, Trinity Towers</v>
          </cell>
          <cell r="E33" t="str">
            <v>DLF Phase 5</v>
          </cell>
          <cell r="F33" t="str">
            <v>Thursday</v>
          </cell>
          <cell r="G33" t="str">
            <v>9 AM - 12 PM</v>
          </cell>
          <cell r="H33">
            <v>1450</v>
          </cell>
          <cell r="I33">
            <v>362.5</v>
          </cell>
          <cell r="J33" t="str">
            <v>Bliss</v>
          </cell>
          <cell r="K33" t="str">
            <v>One Color Flower ( 06/06) HDTNP (25/06)</v>
          </cell>
          <cell r="M33" t="str">
            <v>One Color Flower ( 06/06)</v>
          </cell>
          <cell r="N33" t="str">
            <v>4  del of this cycle   -  0-cycles pmnt   Completed - Collect 0</v>
          </cell>
          <cell r="O33" t="str">
            <v>P n W Spray Daisy ( 14 Inch ) 5     FF Sachet + Grass</v>
          </cell>
          <cell r="P33" t="str">
            <v>P Glad ( 14 Inch ) 16 One Color Flower Only    Grass</v>
          </cell>
          <cell r="Q33" t="str">
            <v>O Asiatic ( 14 Inch ) 3 Collect Cash Collect Cash    Grass</v>
          </cell>
          <cell r="R33" t="e">
            <v>#N/A</v>
          </cell>
          <cell r="S33" t="str">
            <v>Sunflower ( 12 Inch ) 4    Collect payment FF Sachet + Grass</v>
          </cell>
          <cell r="T33" t="str">
            <v>P n W Car ( 14 Inch ) 16     FF Sachet + Grass</v>
          </cell>
        </row>
        <row r="34">
          <cell r="A34">
            <v>237</v>
          </cell>
          <cell r="B34" t="str">
            <v>Mayom Hospital</v>
          </cell>
          <cell r="C34">
            <v>8860079525</v>
          </cell>
          <cell r="D34" t="str">
            <v>Mayom Hospital, D block south city 1</v>
          </cell>
          <cell r="H34">
            <v>3000</v>
          </cell>
          <cell r="I34">
            <v>750</v>
          </cell>
          <cell r="J34" t="str">
            <v>Corporate</v>
          </cell>
          <cell r="T34" t="str">
            <v>P n W Car ( 14 Inch ) 16     FF Sachet + Grass</v>
          </cell>
        </row>
        <row r="35">
          <cell r="A35">
            <v>14</v>
          </cell>
          <cell r="B35" t="str">
            <v>Ms. Neelam Bhalla </v>
          </cell>
          <cell r="C35">
            <v>9810546046</v>
          </cell>
          <cell r="D35" t="str">
            <v>H4, 4th Floor, Olive Residency, Mayfield Garden, Sec 57</v>
          </cell>
          <cell r="E35" t="str">
            <v>Artemis</v>
          </cell>
          <cell r="F35" t="str">
            <v>Thursday</v>
          </cell>
          <cell r="G35" t="str">
            <v>9 AM - 12 PM</v>
          </cell>
          <cell r="H35">
            <v>1950</v>
          </cell>
          <cell r="I35">
            <v>487.5</v>
          </cell>
          <cell r="J35" t="str">
            <v>Joy</v>
          </cell>
          <cell r="K35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35" t="str">
            <v>GLAD n BOP n GERBERA</v>
          </cell>
          <cell r="N35" t="str">
            <v>4  del of this cycle   -  0-cycles pmnt   Completed - Collect 0</v>
          </cell>
          <cell r="O35" t="str">
            <v>P n W Car ( 14 Inch ) 22     FF Sachet + Grass</v>
          </cell>
          <cell r="P35" t="str">
            <v>Pur n P Eustoma ( 12 Inch ) 4     FF Sachet + Grass</v>
          </cell>
          <cell r="Q35" t="e">
            <v>#N/A</v>
          </cell>
          <cell r="R35" t="str">
            <v>Pur n P Eustoma ( 12 Inch ) 4     FF Sachet + Grass</v>
          </cell>
          <cell r="S35" t="str">
            <v>Sunflower ( 12 Inch ) 5     FF Sachet + Grass</v>
          </cell>
          <cell r="T35" t="str">
            <v>Rajni ( 14 Inch ) 22     Grass</v>
          </cell>
        </row>
        <row r="36">
          <cell r="A36">
            <v>1098</v>
          </cell>
          <cell r="B36" t="str">
            <v>Rahul Sehgal</v>
          </cell>
          <cell r="C36">
            <v>9810022182</v>
          </cell>
          <cell r="D36" t="str">
            <v>418-A, Hamilton Court</v>
          </cell>
          <cell r="E36" t="str">
            <v>DLF Phase 4</v>
          </cell>
          <cell r="F36" t="str">
            <v>Thursday</v>
          </cell>
          <cell r="G36" t="str">
            <v>4 Pm to 7 PM</v>
          </cell>
          <cell r="H36">
            <v>1950</v>
          </cell>
          <cell r="I36">
            <v>487.5</v>
          </cell>
          <cell r="J36" t="str">
            <v>Joy</v>
          </cell>
          <cell r="K36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36" t="str">
            <v>ROSE n RAJNI</v>
          </cell>
          <cell r="N36" t="str">
            <v>4  del of this cycle   -  0-cycles pmnt   Completed - Collect 0</v>
          </cell>
          <cell r="O36" t="str">
            <v>Sunflower ( 12 Inch ) 5     FF Sachet + Grass</v>
          </cell>
          <cell r="P36" t="str">
            <v>Pur n P Car ( 14 inch ) 22     FF Sachet + Grass</v>
          </cell>
          <cell r="Q36" t="str">
            <v>P n W Spray Daisy ( 14 Inch ) 7     FF Sachet + Grass</v>
          </cell>
          <cell r="R36" t="str">
            <v>O Asiatic ( 14 Inch ) 4     Grass</v>
          </cell>
          <cell r="S36" t="str">
            <v>P n W Glad ( 14 Inch ) 22     Grass</v>
          </cell>
          <cell r="T36" t="str">
            <v>Mix Alstroemeria ( 12Inch ) 22     FF Sachet + Grass</v>
          </cell>
        </row>
        <row r="37">
          <cell r="A37">
            <v>2294</v>
          </cell>
          <cell r="B37" t="str">
            <v>Sonal Verma</v>
          </cell>
          <cell r="C37">
            <v>9711499808</v>
          </cell>
          <cell r="D37" t="str">
            <v>H. No. 19, 1st Floor, Cedar Crest</v>
          </cell>
          <cell r="E37" t="str">
            <v>Nirvana Country</v>
          </cell>
          <cell r="F37" t="str">
            <v>Thursday</v>
          </cell>
          <cell r="G37" t="str">
            <v>9 AM - 12 PM</v>
          </cell>
          <cell r="H37">
            <v>1450</v>
          </cell>
          <cell r="I37">
            <v>362.5</v>
          </cell>
          <cell r="J37" t="str">
            <v>Collection Only</v>
          </cell>
          <cell r="K37" t="str">
            <v>Skip 1 week (11/03) Skip 1 week (21/05) Pls skip 1 week (18/06) Sent one del today (10/12) Hold due to non payment (29/01) Hold due to non payment (04/02) HDTNP (19/02) HDTNP (26/02) HDTNP (21/05) HDTNP (28/05) HDTNP (04/06) HDTNP (11/06) HDTNP (18/06) HDTNP (25/06)</v>
          </cell>
          <cell r="N37" t="str">
            <v>3  del of this cycle   -  1-cycles pmnt   Pending - Collect 1450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str">
            <v xml:space="preserve">Collect Rs 725 Carry Reciept Book     </v>
          </cell>
          <cell r="T37" t="str">
            <v xml:space="preserve">Collect 725  Carry Receipt Bookl     </v>
          </cell>
        </row>
        <row r="38">
          <cell r="A38">
            <v>1455</v>
          </cell>
          <cell r="B38" t="str">
            <v>Gagan Ahluwalia</v>
          </cell>
          <cell r="C38">
            <v>9811105056</v>
          </cell>
          <cell r="D38" t="str">
            <v>C-82, The Summit</v>
          </cell>
          <cell r="E38" t="str">
            <v>Golf Course Road</v>
          </cell>
          <cell r="F38" t="str">
            <v>Thursday</v>
          </cell>
          <cell r="G38" t="str">
            <v>9 AM - 12 PM</v>
          </cell>
          <cell r="H38">
            <v>2300</v>
          </cell>
          <cell r="I38">
            <v>287.5</v>
          </cell>
          <cell r="J38" t="str">
            <v>Felicity</v>
          </cell>
          <cell r="K38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38" t="str">
            <v>1  del of this cycle   -  1-cycles pmnt   Pending - Collect 2300</v>
          </cell>
          <cell r="O38" t="str">
            <v>P n W Glad ( 14 Inch ) 11     Grass</v>
          </cell>
          <cell r="P38" t="str">
            <v>Rajni ( 14 Inch ) 11     Grass</v>
          </cell>
          <cell r="Q38" t="str">
            <v>Pur n P Car ( 14 inch ) 11     FF Sachet + Grass</v>
          </cell>
          <cell r="R38" t="str">
            <v>P Spray Daisy ( 14 Inch ) 3     FF Sachet + Grass</v>
          </cell>
          <cell r="S38" t="str">
            <v>Sunflower ( 12 Inch ) 3     FF Sachet + Grass</v>
          </cell>
          <cell r="T38" t="str">
            <v>P Asiatic ( 14 Inch ) 2     Grass</v>
          </cell>
        </row>
        <row r="39">
          <cell r="A39">
            <v>3107</v>
          </cell>
          <cell r="B39" t="str">
            <v>Richa -- Icon</v>
          </cell>
          <cell r="C39">
            <v>9811394916</v>
          </cell>
          <cell r="D39" t="str">
            <v>B-173, the Icon</v>
          </cell>
          <cell r="E39" t="str">
            <v>DLF Phase 5</v>
          </cell>
          <cell r="F39" t="str">
            <v>Thursday</v>
          </cell>
          <cell r="G39" t="str">
            <v>10 AM to 2:30 PM</v>
          </cell>
          <cell r="H39">
            <v>1450</v>
          </cell>
          <cell r="I39">
            <v>362.5</v>
          </cell>
          <cell r="J39" t="str">
            <v>Bliss</v>
          </cell>
          <cell r="K39" t="str">
            <v>Paytm From Ankit Gupta (01/11) Skip 08th and 15th Jan (16/12) Hold till 16th Jan (19/12) Skip 1 week (12/02) Skip 1 week (11/03) Skip 1 week (01/04) Hold n strat from 02nd July (28/05)</v>
          </cell>
          <cell r="N39" t="str">
            <v>2  del of this cycle   -  0-cycles pmnt   Completed - Collect 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str">
            <v>Pur n P Car ( 14 Inch ) 16     FF Sachet + Grass</v>
          </cell>
          <cell r="T39" t="str">
            <v>P Asiatic ( 14 Inch ) 3     Grass</v>
          </cell>
        </row>
        <row r="40">
          <cell r="A40">
            <v>2307</v>
          </cell>
          <cell r="B40" t="str">
            <v>Alpna Jain</v>
          </cell>
          <cell r="C40">
            <v>9599336609</v>
          </cell>
          <cell r="D40" t="str">
            <v>C-64, The Icon</v>
          </cell>
          <cell r="E40" t="str">
            <v>DLF Phase 5</v>
          </cell>
          <cell r="F40" t="str">
            <v>Thursday</v>
          </cell>
          <cell r="G40" t="str">
            <v>10 AM to 2:30 PM</v>
          </cell>
          <cell r="H40">
            <v>3000</v>
          </cell>
          <cell r="I40">
            <v>375</v>
          </cell>
          <cell r="J40" t="str">
            <v>Charm</v>
          </cell>
          <cell r="K40" t="str">
            <v>Thursday n Sunday // Hold today (08/02) Keep flowers outside of Door (17/05)</v>
          </cell>
          <cell r="M40" t="str">
            <v>Keep flowers outside of door always</v>
          </cell>
          <cell r="N40" t="str">
            <v>6  del of this cycle   -  0-cycles pmnt   Completed - Collect 0</v>
          </cell>
          <cell r="O40" t="str">
            <v>Mix Alstroemeria ( 12 Inch ) 15 ( 12 Inch ) Leave outside of door don’t ring bell and no call   FF Sachet + Grass</v>
          </cell>
          <cell r="P40" t="str">
            <v>Sunflower ( 12 Inch ) 4 Leave Outside of door-- Don’t Call and Don’t Ring Bell    FF Sachet + Grass</v>
          </cell>
          <cell r="Q40" t="str">
            <v>Pur n P Eustoma ( 12 Inch ) 4 Leave Outside of door -- Don’t call n don’t ring bell    FF Sachet + Grass</v>
          </cell>
          <cell r="R40" t="str">
            <v>Pur n P Car ( 14 Inch ) 15 Keep Flowers at door-- Don’t call or don’t ring Bell    FF Sachet + Grass</v>
          </cell>
          <cell r="S40" t="str">
            <v>B Daisy ( 12 Inch ) 15    Collect Payment Grass</v>
          </cell>
          <cell r="T40" t="str">
            <v>Sunflower ( 12 Inch ) 3 Keep Flowers at Door -- Don’t call or Ring the bell    FF Sachet + Grass</v>
          </cell>
        </row>
        <row r="41">
          <cell r="A41" t="str">
            <v>G-00015</v>
          </cell>
          <cell r="B41" t="str">
            <v>Harsh  - Unikon</v>
          </cell>
          <cell r="C41">
            <v>9015463811</v>
          </cell>
          <cell r="D41" t="str">
            <v>AR-903B, 3rd Floor, Aralias</v>
          </cell>
          <cell r="E41" t="str">
            <v>Golf Course Road</v>
          </cell>
          <cell r="F41" t="str">
            <v>Thursday</v>
          </cell>
          <cell r="G41" t="str">
            <v>4 Pm to 7 PM</v>
          </cell>
          <cell r="H41">
            <v>2750</v>
          </cell>
          <cell r="I41">
            <v>687.5</v>
          </cell>
          <cell r="J41" t="str">
            <v>Elation</v>
          </cell>
          <cell r="K41" t="str">
            <v>From Deep Bajaj // Message = Your boyfriend:p (05/11) Paytm from Simran Dhawan (04/03) Send 1 delivery tomorrow (17/03) Skip 1 week (10/04) Add change request from Jasjit -- 9560611229</v>
          </cell>
          <cell r="M41" t="str">
            <v>One time Single n One Time Mixed</v>
          </cell>
          <cell r="N41" t="str">
            <v>2  del of this cycle   -  0-cycles pmnt   In Process - Collect 0</v>
          </cell>
          <cell r="O41" t="str">
            <v>Sunflower ( 12 Inch ) 4 Mix Alstroemeria ( 12 Inch ) 16   2 Gypsola + FF Sachet</v>
          </cell>
          <cell r="P41" t="str">
            <v>Pur n P Eustoma ( 12 Inch ) 4 P n W Glad ( 14 Inch ) 16   2 Limonium + FF Sachet</v>
          </cell>
          <cell r="Q41" t="str">
            <v>P n W Spray Daisy ( 14 Inch ) 5 Pur n P Car ( 14 Inch ) 16   2 Gypsola + FF Sachet</v>
          </cell>
          <cell r="R41" t="str">
            <v>P Asiatic ( 14 Inch ) 3 B Daisy ( 12 Inch ) 16   2 Limonium</v>
          </cell>
          <cell r="S41" t="str">
            <v xml:space="preserve">Eustoma 4 Rajni ( 14 Inch ) 16   2 Gypsola + FF Sachet </v>
          </cell>
          <cell r="T41" t="str">
            <v>Sunflower ( 12 Inch ) 4 B Daisy ( 12 Inch ) 16   2 Limonium + FF Sachet</v>
          </cell>
        </row>
        <row r="42">
          <cell r="A42">
            <v>3241</v>
          </cell>
          <cell r="B42" t="str">
            <v>Sunanda</v>
          </cell>
          <cell r="C42">
            <v>8800994226</v>
          </cell>
          <cell r="D42" t="str">
            <v>C-084, The Icon</v>
          </cell>
          <cell r="E42" t="str">
            <v>DLF Phase 5</v>
          </cell>
          <cell r="F42" t="str">
            <v>Thursday</v>
          </cell>
          <cell r="G42" t="str">
            <v>9 AM - 12 PM</v>
          </cell>
          <cell r="H42">
            <v>1450</v>
          </cell>
          <cell r="I42">
            <v>362.5</v>
          </cell>
          <cell r="J42" t="str">
            <v>Bliss</v>
          </cell>
          <cell r="K42" t="str">
            <v>One Kind // Skip 1 week (13/01) HDTNP (26/02) HDTNP (04/03) HDTNP (12/03)</v>
          </cell>
          <cell r="M42" t="str">
            <v>One Kind</v>
          </cell>
          <cell r="N42" t="str">
            <v>3  del of this cycle   -  0-cycles pmnt   Completed - Collect 0</v>
          </cell>
          <cell r="O42" t="str">
            <v>P n W Glad ( 14 Inch ) 16     Grass</v>
          </cell>
          <cell r="P42" t="str">
            <v>Pur Eustoma ( 12 Inch ) 3     FF Sachet + Grass</v>
          </cell>
          <cell r="Q42" t="str">
            <v>Pur n P Car ( 14 inch ) 16     FF Sachet + Grass</v>
          </cell>
          <cell r="R42" t="str">
            <v>O Asiatic ( 14 Inch ) 3     Grass</v>
          </cell>
          <cell r="S42" t="str">
            <v>Sunflower ( 12 Inch ) 4    Collect Payment FF Sachet + Grass</v>
          </cell>
          <cell r="T42" t="str">
            <v>Rajni ( 14 Inch ) 16     Grass</v>
          </cell>
        </row>
        <row r="43">
          <cell r="A43">
            <v>2076</v>
          </cell>
          <cell r="B43" t="str">
            <v>Divya Jain Midas</v>
          </cell>
          <cell r="C43">
            <v>9910172233</v>
          </cell>
          <cell r="D43" t="str">
            <v>Midas Touch, 1st Floor, A Block, Nirvana Courtyard</v>
          </cell>
          <cell r="E43" t="str">
            <v>Nirvana Country</v>
          </cell>
          <cell r="F43" t="str">
            <v>Thursday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43" t="str">
            <v>3  del of this cycle   -  0-cycles pmnt   CompletedNO COLLECTION-we have extra money - Collect -50</v>
          </cell>
          <cell r="O43" t="str">
            <v>P n W Glad ( 14 Inch ) 16     Grass</v>
          </cell>
          <cell r="P43" t="str">
            <v>P n Y Spray Daisy ( 14 Inch ) 5     FF Sachet + Grass</v>
          </cell>
          <cell r="Q43" t="str">
            <v>Sunflower ( 12 Inch ) 4     FF Sachet + Grass</v>
          </cell>
          <cell r="R43" t="str">
            <v>Pur Eustoma ( 12 Inch ) 3     FF Sachet + Grass</v>
          </cell>
          <cell r="S43" t="str">
            <v>O Asiatic ( 14 Inch ) 3     Grass</v>
          </cell>
          <cell r="T43" t="str">
            <v>Rajni ( 14 Inch ) 16     Grass</v>
          </cell>
        </row>
        <row r="44">
          <cell r="A44">
            <v>2779</v>
          </cell>
          <cell r="B44" t="str">
            <v>Riddhi Desai</v>
          </cell>
          <cell r="C44">
            <v>8130497969</v>
          </cell>
          <cell r="D44" t="str">
            <v>D-71, The Icon</v>
          </cell>
          <cell r="E44" t="str">
            <v>Golf Course Road</v>
          </cell>
          <cell r="F44" t="str">
            <v>Sunday</v>
          </cell>
          <cell r="G44" t="str">
            <v>9 AM to 2 PM</v>
          </cell>
          <cell r="H44">
            <v>1600</v>
          </cell>
          <cell r="I44">
            <v>200</v>
          </cell>
          <cell r="J44" t="str">
            <v>Bloom</v>
          </cell>
          <cell r="K44" t="str">
            <v>Send this week on Saturday (14/08) Skip 1 week (21/12) Hold till 2nd June (20/05)</v>
          </cell>
          <cell r="N44" t="str">
            <v>8  del of this cycle   -  0-cycles pmnt   Completed - Collect 0</v>
          </cell>
          <cell r="O44" t="str">
            <v>P n W Car ( 14 Inch ) 7     FF Sachet + Grass</v>
          </cell>
          <cell r="P44" t="str">
            <v>Y Spray Daisy ( 14 Inch ) 2     Grass</v>
          </cell>
          <cell r="Q44" t="str">
            <v>Sunflower ( 12 Inch ) 2     FF Sachet + Grass</v>
          </cell>
          <cell r="R44" t="str">
            <v>Rajni ( 14 Inch ) 7     Grass</v>
          </cell>
          <cell r="S44" t="str">
            <v>Pur n P Car ( 14 Inch ) 7     FF Sachet + Grass</v>
          </cell>
          <cell r="T44" t="str">
            <v>P Spray Daisy ( 14 Inch ) 2     FF Sachet + Grass</v>
          </cell>
        </row>
        <row r="45">
          <cell r="A45">
            <v>326</v>
          </cell>
          <cell r="B45" t="str">
            <v>Radhika Surana-- Before 10</v>
          </cell>
          <cell r="C45">
            <v>9871132800</v>
          </cell>
          <cell r="D45" t="str">
            <v>1204, The Magnolias</v>
          </cell>
          <cell r="E45" t="str">
            <v>Golf Course Road</v>
          </cell>
          <cell r="F45" t="str">
            <v>Thursday</v>
          </cell>
          <cell r="G45" t="str">
            <v>9 AM - 12 PM</v>
          </cell>
          <cell r="H45">
            <v>2750</v>
          </cell>
          <cell r="I45">
            <v>687.5</v>
          </cell>
          <cell r="J45" t="str">
            <v>Elation</v>
          </cell>
          <cell r="K45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45" t="str">
            <v>BOP n ORCHID</v>
          </cell>
          <cell r="N45" t="str">
            <v>2  del of this cycle   -  1-cycles pmnt   Pending - Collect 2750</v>
          </cell>
          <cell r="O45" t="e">
            <v>#N/A</v>
          </cell>
          <cell r="P45" t="e">
            <v>#N/A</v>
          </cell>
          <cell r="Q45" t="str">
            <v>Pur n P Car ( 14 inch ) 32     2 Gypsola + FF Sachet</v>
          </cell>
          <cell r="R45" t="str">
            <v>P n W Glad ( 14 Inch ) 32     2 Limonium</v>
          </cell>
          <cell r="S45" t="str">
            <v>Pur n P Car ( 14 Inch ) 32     2 Gypsola</v>
          </cell>
          <cell r="T45" t="str">
            <v>P Asiatic ( 14 Inch ) 6  Gate Pass Wahab Ke Pass Hai Collect Payment Collect Payment 2 Limonium</v>
          </cell>
        </row>
        <row r="46">
          <cell r="A46">
            <v>2774</v>
          </cell>
          <cell r="B46" t="str">
            <v>Vandana Thakran</v>
          </cell>
          <cell r="C46">
            <v>9899589964</v>
          </cell>
          <cell r="D46" t="str">
            <v>H. No. 35, Cedar Crest</v>
          </cell>
          <cell r="E46" t="str">
            <v>Nirvana Country</v>
          </cell>
          <cell r="F46" t="str">
            <v>Sunday</v>
          </cell>
          <cell r="G46" t="str">
            <v>9 AM - 12 PM</v>
          </cell>
          <cell r="H46">
            <v>1600</v>
          </cell>
          <cell r="I46">
            <v>200</v>
          </cell>
          <cell r="J46" t="str">
            <v>Bloom</v>
          </cell>
          <cell r="N46" t="str">
            <v>4  del of this cycle   -  0-cycles pmnt   Completed - Collect 0</v>
          </cell>
          <cell r="O46" t="str">
            <v>P Spray Daisy ( 14 Inch ) 2     FF Sachet + Grass</v>
          </cell>
          <cell r="P46" t="str">
            <v>Sunflower ( 12 Inch ) 2     FF Sachet + Grass</v>
          </cell>
          <cell r="Q46" t="str">
            <v>Pur n P Car ( 14 inch ) 7     FF Sachet + Grass</v>
          </cell>
          <cell r="R46" t="str">
            <v>P n W Glad ( 14 Inch ) 7     Grass</v>
          </cell>
          <cell r="S46" t="str">
            <v>Rajni ( 14 Inch ) 7     Grass</v>
          </cell>
          <cell r="T46" t="str">
            <v>P n W Car ( 14 Inch ) 7     FF Sachet + Grass</v>
          </cell>
        </row>
        <row r="47">
          <cell r="A47">
            <v>884</v>
          </cell>
          <cell r="B47" t="str">
            <v>Bhavna Taneja</v>
          </cell>
          <cell r="C47">
            <v>9811192021</v>
          </cell>
          <cell r="D47" t="str">
            <v>F-214, DLF The Crest,Sec-54</v>
          </cell>
          <cell r="E47" t="str">
            <v>Golf Course Road</v>
          </cell>
          <cell r="F47" t="str">
            <v>Thursday</v>
          </cell>
          <cell r="G47" t="str">
            <v>9:30 AM to 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47" t="str">
            <v>GULDAWARI n BOP n GERBERA</v>
          </cell>
          <cell r="M47" t="str">
            <v>Mixed Now</v>
          </cell>
          <cell r="N47" t="str">
            <v>3  del of this cycle   -  0-cycles pmnt   CompletedNO COLLECTION-we have extra money - Collect -50</v>
          </cell>
          <cell r="O47" t="str">
            <v>P n W Spray Daisy ( 14 Inch ) 5     FF Sachet + Grass</v>
          </cell>
          <cell r="P47" t="str">
            <v>P n W Glad ( 14 Inch ) 16     Grass</v>
          </cell>
          <cell r="Q47" t="e">
            <v>#N/A</v>
          </cell>
          <cell r="R47" t="str">
            <v>Pur n P Car ( 14 Inch ) 16     FF Sachet + Grass</v>
          </cell>
          <cell r="S47" t="str">
            <v>Sunflower ( 12 Inch ) 4    Collect Payment FF Sachet + Grass</v>
          </cell>
          <cell r="T47" t="str">
            <v>Rajni ( 14 Inch ) 16     Grass</v>
          </cell>
        </row>
        <row r="48">
          <cell r="A48">
            <v>1438</v>
          </cell>
          <cell r="B48" t="str">
            <v>Aishwarya G Aiyar</v>
          </cell>
          <cell r="C48">
            <v>9884857311</v>
          </cell>
          <cell r="D48" t="str">
            <v>A-173, The Pinnacle</v>
          </cell>
          <cell r="E48" t="str">
            <v>DLF Phase 5</v>
          </cell>
          <cell r="F48" t="str">
            <v>Thursday</v>
          </cell>
          <cell r="G48" t="str">
            <v>9 AM - 12 PM</v>
          </cell>
          <cell r="H48">
            <v>1600</v>
          </cell>
          <cell r="I48">
            <v>200</v>
          </cell>
          <cell r="J48" t="str">
            <v>Bloom</v>
          </cell>
          <cell r="K48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48" t="str">
            <v>3  del of this cycle   -  1-cycles pmnt   Pending - Collect 1600</v>
          </cell>
          <cell r="O48" t="str">
            <v>Mix Alstroemeria ( 12 Inch ) 7     FF Sachet + Grass</v>
          </cell>
          <cell r="P48" t="str">
            <v>P n W Glad ( 14 Inch ) 7     Grass</v>
          </cell>
          <cell r="Q48" t="e">
            <v>#N/A</v>
          </cell>
          <cell r="R48" t="str">
            <v>P n W Car ( 14 inch ) 7     FF Sachet + Grass</v>
          </cell>
          <cell r="S48" t="str">
            <v>P n W Glad ( 14 Inch ) 7     Grass</v>
          </cell>
          <cell r="T48" t="str">
            <v>Rajni ( 14 Inch ) 7   Collect Payment Collect Payment Grass</v>
          </cell>
        </row>
        <row r="49">
          <cell r="A49">
            <v>2246</v>
          </cell>
          <cell r="B49" t="str">
            <v>Amita Gupta</v>
          </cell>
          <cell r="C49">
            <v>9811985450</v>
          </cell>
          <cell r="D49" t="str">
            <v>146, Cedar Crest</v>
          </cell>
          <cell r="E49" t="str">
            <v>Nirvana Country</v>
          </cell>
          <cell r="F49" t="str">
            <v>Thursday</v>
          </cell>
          <cell r="G49" t="str">
            <v>9 AM - 12 PM</v>
          </cell>
          <cell r="H49">
            <v>1600</v>
          </cell>
          <cell r="I49">
            <v>200</v>
          </cell>
          <cell r="J49" t="str">
            <v>Bloom</v>
          </cell>
          <cell r="K49" t="str">
            <v>Return today (03/10) Change to bliss (23/10) No Orchid (24/10) Send a vase tom (20/08) Upgrade to bliss (17/12)</v>
          </cell>
          <cell r="L49" t="str">
            <v>Orchid</v>
          </cell>
          <cell r="M49" t="str">
            <v>1 Vase Tom (20/08)</v>
          </cell>
          <cell r="N49" t="str">
            <v>3  del of this cycle   -   0 -cycles pmnt  Completed - Collect 0</v>
          </cell>
          <cell r="O49" t="str">
            <v>Mix Alstroemeria ( 12 Inch ) 7     FF Sachet + Grass</v>
          </cell>
          <cell r="P49" t="str">
            <v>Pur n P Car ( 14 inch ) 7     FF Sachet + Grass</v>
          </cell>
          <cell r="Q49" t="str">
            <v>Sunflower ( 12 Inch ) 2     FF Sachet + Grass</v>
          </cell>
          <cell r="R49" t="str">
            <v>P n W Glad ( 14 Inch ) 7     Grass</v>
          </cell>
          <cell r="S49" t="str">
            <v>P n W Car ( 14 Inch ) 7     FF Sachet + Grass</v>
          </cell>
          <cell r="T49" t="str">
            <v>Sunflower ( 12 Inch ) 2     FF Sachet + Grass</v>
          </cell>
        </row>
        <row r="50">
          <cell r="A50">
            <v>1898</v>
          </cell>
          <cell r="B50" t="str">
            <v>Shipra</v>
          </cell>
          <cell r="C50">
            <v>8447778677</v>
          </cell>
          <cell r="D50" t="str">
            <v xml:space="preserve">C-94 Trinity </v>
          </cell>
          <cell r="E50" t="str">
            <v>DLF Phase 5</v>
          </cell>
          <cell r="F50" t="str">
            <v>Saturday</v>
          </cell>
          <cell r="G50" t="str">
            <v>4 Pm to 7 PM</v>
          </cell>
          <cell r="H50">
            <v>1600</v>
          </cell>
          <cell r="I50">
            <v>200</v>
          </cell>
          <cell r="J50" t="str">
            <v>Bloom</v>
          </cell>
          <cell r="K50" t="str">
    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    </cell>
          <cell r="N50" t="str">
            <v>2  del of this cycle   -  1-cycles pmnt   Pending - Collect 1600</v>
          </cell>
          <cell r="O50" t="str">
            <v>Mix Alstroemeria ( 12 Inch ) 7     FF Sachet + Grass</v>
          </cell>
          <cell r="P50" t="str">
            <v>Rajni ( 14 Inch ) 7     Grass</v>
          </cell>
          <cell r="Q50" t="e">
            <v>#N/A</v>
          </cell>
          <cell r="R50" t="str">
            <v>Sunflower ( 12 Inch) 2     FF Sachet + Grass</v>
          </cell>
          <cell r="S50" t="str">
            <v>Rajni ( 14 Inch ) 7     Grass</v>
          </cell>
          <cell r="T50" t="str">
            <v>Sunflower ( 12 Inch ) 2   Collect Payment Collect Payment Grass</v>
          </cell>
        </row>
        <row r="51">
          <cell r="A51">
            <v>3326</v>
          </cell>
          <cell r="B51" t="str">
            <v>Ms. Rani</v>
          </cell>
          <cell r="C51">
            <v>9313104941</v>
          </cell>
          <cell r="D51" t="str">
            <v>J-151, Park Place</v>
          </cell>
          <cell r="E51" t="str">
            <v>DLF Phase 5</v>
          </cell>
          <cell r="F51" t="str">
            <v>Thursday</v>
          </cell>
          <cell r="G51" t="str">
            <v>9 AM to 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Start From July (06/06)</v>
          </cell>
          <cell r="N51" t="str">
            <v>2  del of this cycle   -  1-cycles pmnt   Pending - Collect 1450</v>
          </cell>
          <cell r="O51" t="str">
            <v>P n Y Spray Dausy ( 14 Inch ) 5     FF Sachet + Grass</v>
          </cell>
          <cell r="P51" t="e">
            <v>#N/A</v>
          </cell>
          <cell r="Q51" t="e">
            <v>#N/A</v>
          </cell>
          <cell r="R51" t="e">
            <v>#N/A</v>
          </cell>
          <cell r="S51" t="str">
            <v>Pur n P Car ( 14 Inch ) 16     FF Sachet + Grass</v>
          </cell>
          <cell r="T51" t="str">
            <v>W Asiatic ( 14 Inch ) 3   Collect Payment Collect Payment Grass</v>
          </cell>
        </row>
        <row r="52">
          <cell r="A52">
            <v>870</v>
          </cell>
          <cell r="B52" t="str">
            <v>Himabindu Kanchan</v>
          </cell>
          <cell r="C52">
            <v>9892501292</v>
          </cell>
          <cell r="D52" t="str">
            <v xml:space="preserve">D -13, Pinnacle Dlf Phase - 5 </v>
          </cell>
          <cell r="E52" t="str">
            <v>DLF Phase 5</v>
          </cell>
          <cell r="F52" t="str">
            <v>Thursday</v>
          </cell>
          <cell r="G52" t="str">
            <v>9 AM - 12 PM</v>
          </cell>
          <cell r="H52">
            <v>1600</v>
          </cell>
          <cell r="I52">
            <v>200</v>
          </cell>
          <cell r="J52" t="str">
            <v>Bloom</v>
          </cell>
          <cell r="K52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52" t="str">
            <v>6  del of this cycle   -  0-cycles pmnt   Completed - Collect 0</v>
          </cell>
          <cell r="O52" t="str">
            <v>P n W Glad ( 14 Inch ) 7     Grass</v>
          </cell>
          <cell r="P52" t="str">
            <v>Pur n P Car ( 14 inch ) 7     FF Sachet + Grass</v>
          </cell>
          <cell r="Q52" t="str">
            <v>Sunflower ( 12 Inch ) 2     FF Sachet + Grass</v>
          </cell>
          <cell r="R52" t="str">
            <v>Rajni ( 14 Inch ) 7     Grass</v>
          </cell>
          <cell r="S52" t="str">
            <v>P n W Car ( 14 Inch ) 7     FF Sachet + Grass</v>
          </cell>
          <cell r="T52" t="str">
            <v>Y Spray Daisy ( 14 Inch ) 2     FF Sachet + Grass</v>
          </cell>
        </row>
        <row r="53">
          <cell r="A53">
            <v>571</v>
          </cell>
          <cell r="B53" t="str">
            <v>Mrs. Singh</v>
          </cell>
          <cell r="C53">
            <v>9873099320</v>
          </cell>
          <cell r="D53" t="str">
            <v>D 42, pinnacle, Dlf ph 5, Golf course road</v>
          </cell>
          <cell r="E53" t="str">
            <v>DLF Phase 5</v>
          </cell>
          <cell r="F53" t="str">
            <v>Thursday</v>
          </cell>
          <cell r="G53" t="str">
            <v>9 AM - 12 PM</v>
          </cell>
          <cell r="H53">
            <v>1600</v>
          </cell>
          <cell r="I53">
            <v>200</v>
          </cell>
          <cell r="J53" t="str">
            <v>Bloom</v>
          </cell>
          <cell r="K53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53" t="str">
            <v>8  del of this cycle   -  0-cycles pmnt   Completed - Collect 0</v>
          </cell>
          <cell r="O53" t="str">
            <v>Mix Alstroemeria ( 12 Inch ) 7     FF Sachet + Grass</v>
          </cell>
          <cell r="P53" t="str">
            <v>Pur n P Car ( 14 inch ) 7     FF Sachet + Grass</v>
          </cell>
          <cell r="Q53" t="str">
            <v>Sunflower ( 12 Inch ) 2     FF Sachet + Grass</v>
          </cell>
          <cell r="R53" t="str">
            <v>P n W Glad ( 14 Inch ) 7     Grass</v>
          </cell>
          <cell r="S53" t="str">
            <v>P n W Car ( 14 Inch ) 7     FF Sachet + Grass</v>
          </cell>
          <cell r="T53" t="str">
            <v>O Asiatic ( ( 14 inch ) 2     Grass</v>
          </cell>
        </row>
        <row r="54">
          <cell r="A54">
            <v>58</v>
          </cell>
          <cell r="B54" t="str">
            <v>Ms. Anupma Chandna</v>
          </cell>
          <cell r="C54">
            <v>8130077970</v>
          </cell>
          <cell r="D54" t="str">
            <v>32, aspen greens, nirvana</v>
          </cell>
          <cell r="E54" t="str">
            <v>Nirvana Country</v>
          </cell>
          <cell r="F54" t="str">
            <v>Thursday</v>
          </cell>
          <cell r="G54" t="str">
            <v>9 AM - 12 PM</v>
          </cell>
          <cell r="H54">
            <v>1950</v>
          </cell>
          <cell r="I54">
            <v>487.5</v>
          </cell>
          <cell r="J54" t="str">
            <v>Joy</v>
          </cell>
          <cell r="K54" t="str">
            <v>No Rose // Hold n start from 04th Dec (03/11) No Greens</v>
          </cell>
          <cell r="L54" t="str">
            <v>Rose</v>
          </cell>
          <cell r="M54" t="str">
            <v>No Greens</v>
          </cell>
          <cell r="N54" t="str">
            <v>1  del of this cycle   -  1-cycles pmnt   Pending - Collect 1950</v>
          </cell>
          <cell r="O54" t="str">
            <v>W Asiatic ( 14 Inch ) 2 Mix Alstroemeria ( 12 Inch ) 11   Grass</v>
          </cell>
          <cell r="P54" t="str">
            <v>Pur Eustoma ( 12 Inch ) 3 P n W Glad ( 14 Inch ) 11   FF Sachet + Grass</v>
          </cell>
          <cell r="Q54" t="str">
            <v>Sunflower ( 12 Inch ) 3 Pur n P Car ( 14 Inch ) 11   FF Sachet + Grass</v>
          </cell>
          <cell r="R54" t="str">
            <v>P Asiatic ( 14 Inch ) 2 B Daisy ( 12 Inch ) 11   Grass</v>
          </cell>
          <cell r="S54" t="str">
            <v>P n Y Spray Daisy ( 14 Inch ) 5 Rajni ( 14 Inch ) 16   FF Sachet + Grass</v>
          </cell>
          <cell r="T54" t="str">
            <v>BOP ( 15 Inch ) 2 Mix Alstroemeria ( 12 Inch ) 11   FF Sachet + Grass</v>
          </cell>
        </row>
        <row r="55">
          <cell r="A55">
            <v>3393</v>
          </cell>
          <cell r="B55" t="str">
            <v>Runul Vashishtha</v>
          </cell>
          <cell r="C55">
            <v>9871812384</v>
          </cell>
          <cell r="D55" t="str">
            <v>C-84, DLF Park Place, Park Drive, GCR</v>
          </cell>
          <cell r="E55" t="str">
            <v>Golf Course Road</v>
          </cell>
          <cell r="F55" t="str">
            <v>Thursday</v>
          </cell>
          <cell r="G55" t="str">
            <v>9 AM to 2 PM</v>
          </cell>
          <cell r="H55">
            <v>1450</v>
          </cell>
          <cell r="I55">
            <v>362.5</v>
          </cell>
          <cell r="J55" t="str">
            <v>Bliss</v>
          </cell>
          <cell r="N55" t="str">
            <v>2  del of this cycle   -  0-cycles pmnt   Completed - Collect 0</v>
          </cell>
          <cell r="O55" t="e">
            <v>#N/A</v>
          </cell>
          <cell r="P55" t="e">
            <v>#N/A</v>
          </cell>
          <cell r="Q55" t="e">
            <v>#N/A</v>
          </cell>
          <cell r="R55" t="e">
            <v>#N/A</v>
          </cell>
          <cell r="S55" t="str">
            <v>Pur n P Car ( 14 Inch ) 16     FF Sachet + Grass</v>
          </cell>
          <cell r="T55" t="str">
            <v>P Asiatic ( 14 Inch ) 3     Grass</v>
          </cell>
        </row>
        <row r="56">
          <cell r="A56">
            <v>3063</v>
          </cell>
          <cell r="B56" t="str">
            <v>Shinjini Mehrotra</v>
          </cell>
          <cell r="C56">
            <v>9810198315</v>
          </cell>
          <cell r="D56" t="str">
            <v>F-109, 2nd Floor, Suncity</v>
          </cell>
          <cell r="E56" t="str">
            <v>Golf Course Road</v>
          </cell>
          <cell r="F56" t="str">
            <v>Thursday</v>
          </cell>
          <cell r="G56" t="str">
            <v>9 AM - 12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Hold 4 Weeks (04/12) Skip 1 week (14/02) Skip 2 week (28/02) Skip 1 week  (01/04) Hold till 29th Apr (06/04)</v>
          </cell>
          <cell r="N56" t="str">
            <v>1  del of this cycle   -  1-cycles pmnt   Pending - Collect 1400</v>
          </cell>
          <cell r="O56" t="str">
            <v>R n W Car ( 14 inch ) 16     FF Sachet + Grass</v>
          </cell>
          <cell r="P56" t="str">
            <v>Pur Eustoma ( 12 Inch ) 3     FF Sachet + Grass</v>
          </cell>
          <cell r="Q56" t="str">
            <v>Sunflower ( 12 Inch ) 4     FF Sachet + Grass</v>
          </cell>
          <cell r="R56" t="str">
            <v>P n W Glad ( 14 Inch ) 16     Grass</v>
          </cell>
          <cell r="S56" t="str">
            <v>P Asiatic ( 14 Inch ) 3     Grass</v>
          </cell>
          <cell r="T56" t="str">
            <v>Rajni ( 14 Inch ) 16     Grass</v>
          </cell>
        </row>
        <row r="57">
          <cell r="A57">
            <v>826</v>
          </cell>
          <cell r="B57" t="str">
            <v>Anuradha M Agarwal</v>
          </cell>
          <cell r="C57">
            <v>9811201606</v>
          </cell>
          <cell r="D57" t="str">
            <v>A-82, Westend Heights</v>
          </cell>
          <cell r="E57" t="str">
            <v>DLF Phase 5</v>
          </cell>
          <cell r="F57" t="str">
            <v>Thursday</v>
          </cell>
          <cell r="G57" t="str">
            <v>9 AM to 2 PM</v>
          </cell>
          <cell r="H57">
            <v>999</v>
          </cell>
          <cell r="I57">
            <v>249.75</v>
          </cell>
          <cell r="J57" t="str">
            <v>Delight</v>
          </cell>
          <cell r="K57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57" t="str">
            <v>4  del of this cycle   -  0-cycles pmnt   Completed - Collect 0</v>
          </cell>
          <cell r="O57" t="str">
            <v>P Spray Daisy ( 14 Inch ) 3     FF Sachet + Grass</v>
          </cell>
          <cell r="P57" t="str">
            <v>P n W Glad ( 14 Inch ) 9     Gras</v>
          </cell>
          <cell r="Q57" t="str">
            <v>O Asiatic ( 14 Inch ) 3     Grass</v>
          </cell>
          <cell r="R57" t="str">
            <v>B Daisy ( 12 Inch ) 9     Grass</v>
          </cell>
          <cell r="S57" t="str">
            <v>P n W Car ( 14 Inch ) 9     FF Sachet + Grass</v>
          </cell>
          <cell r="T57" t="str">
            <v>Rajni ( 14 Inch ) 9     Grass</v>
          </cell>
        </row>
        <row r="58">
          <cell r="A58">
            <v>921</v>
          </cell>
          <cell r="B58" t="str">
            <v>Anumeha</v>
          </cell>
          <cell r="C58" t="str">
            <v>9899901949// 9953511987</v>
          </cell>
          <cell r="D58" t="str">
            <v>T-04/1701, South Close</v>
          </cell>
          <cell r="E58" t="str">
            <v>Nirvana Country</v>
          </cell>
          <cell r="F58" t="str">
            <v>Thursday</v>
          </cell>
          <cell r="G58" t="str">
            <v>9 AM - 12 PM</v>
          </cell>
          <cell r="H58">
            <v>1450</v>
          </cell>
          <cell r="I58">
            <v>362.5</v>
          </cell>
          <cell r="J58" t="str">
            <v>Bliss</v>
          </cell>
          <cell r="K58" t="str">
            <v>Pls send Orchid 1st del(20/11)Send a replacement tom(25/11) Only Rajni,Asiatic and Roses(28/12) Lilies next(01/01) Lilies next(22/01) Lily Next(19/10) Send Replacement on Thursday(05/11) Lilies next-- Orange Or Yellow(17/11) Last Del Missed-Sending Tom(12/12) Returned-send from next week(16/12) Send Gerbera Tom(19/01) Daisy Next(01/02) Roses Tom(16/02) Received 50 today(02/03) Gerbera Next(08/03) Gerbera Tom(22/01) Lilies twice in cycle and Daisy/ Rajnigandha Only// Lily Next (01/02) O Asiatic Next(14/02) NO DAISY// NO SPRAY DAISY(06/03) Yel Gerbera Next(17/03) Spray Daisy with Purple in centre tom in evening slot(09/04) send on 3rd now(02/05) W n Yellow Gerbera Tom(02/03) Gpay from Lallan Singh(17/03) Recieved payment from Anumeha account today(07/04) Received Gpay from Joy Deep(28/04) Paytm From Joydeep Mukherjee(08/09) Hold for 3 weeks (19/12) Hold for 2 weeks (25/01) Skip 1 week (02/03) No rajni till oct (31/08) Send replacement tom (01/11) Skip tom (10/12) Skip 5th Del (28/02) Today Hold (28/05)</v>
          </cell>
          <cell r="M58" t="str">
            <v>No rajni till Oct (31/08)</v>
          </cell>
          <cell r="N58" t="str">
            <v>1  del of this cycle   -  1-cycles pmnt   Pending - Collect 1450</v>
          </cell>
          <cell r="O58" t="str">
            <v>P n W Glad ( 14 Inch ) 16     Grass</v>
          </cell>
          <cell r="P58" t="str">
            <v>P n W Spray Daisy ( 14 Inch ) 5     FF Sachet + Grass</v>
          </cell>
          <cell r="Q58" t="str">
            <v>Sunflower ( 12 Inch ) 4     FF Sachet + Grass</v>
          </cell>
          <cell r="R58" t="str">
            <v>Pur n P Car ( 14 Inch ) 16     FF Sachet + Grass</v>
          </cell>
          <cell r="S58" t="str">
            <v>O Asiatic ( 14 Inch ) 3     Grass</v>
          </cell>
          <cell r="T58" t="str">
            <v>P n Y Gerbera ( 12 Inch ) 16     FF Sachet + Grass</v>
          </cell>
        </row>
        <row r="59">
          <cell r="A59">
            <v>484</v>
          </cell>
          <cell r="B59" t="str">
            <v>Deepti Chhabra</v>
          </cell>
          <cell r="C59">
            <v>9811230451</v>
          </cell>
          <cell r="D59" t="str">
            <v>A-061, Westend Heights</v>
          </cell>
          <cell r="E59" t="str">
            <v>DLF Phase 5</v>
          </cell>
          <cell r="F59" t="str">
            <v>Thursday</v>
          </cell>
          <cell r="G59" t="str">
            <v>4 PM to 7PM</v>
          </cell>
          <cell r="H59">
            <v>1950</v>
          </cell>
          <cell r="I59">
            <v>487.5</v>
          </cell>
          <cell r="J59" t="str">
            <v>Joy</v>
          </cell>
          <cell r="K59" t="str">
            <v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v>
          </cell>
          <cell r="L59" t="str">
            <v>ROSE</v>
          </cell>
          <cell r="N59" t="str">
            <v>2  del of this cycle   -  1-cycles pmnt   Pending - Collect 1950</v>
          </cell>
          <cell r="O59" t="str">
            <v>P n Y Spray Dausy ( 14 Inch ) 7     FF Sachet + Grass</v>
          </cell>
          <cell r="P59" t="e">
            <v>#N/A</v>
          </cell>
          <cell r="Q59" t="e">
            <v>#N/A</v>
          </cell>
          <cell r="R59" t="e">
            <v>#N/A</v>
          </cell>
          <cell r="S59" t="str">
            <v>Pur n P Car ( 14 Inch ) 22     FF Sachet + Grass</v>
          </cell>
          <cell r="T59" t="str">
            <v>Rajni ( 14 Inch ) 22   Collect Payment Collect Payment Grass</v>
          </cell>
        </row>
        <row r="60">
          <cell r="A60">
            <v>2104</v>
          </cell>
          <cell r="B60" t="str">
            <v>Arun Gupta</v>
          </cell>
          <cell r="C60">
            <v>9999072697</v>
          </cell>
          <cell r="D60" t="str">
            <v>C-22m Arc Stationary</v>
          </cell>
          <cell r="E60" t="str">
            <v>Nirvana Country</v>
          </cell>
          <cell r="F60" t="str">
            <v>Thursday</v>
          </cell>
          <cell r="G60" t="str">
            <v>9 AM to 2 PM</v>
          </cell>
          <cell r="H60">
            <v>400</v>
          </cell>
          <cell r="I60">
            <v>100</v>
          </cell>
          <cell r="J60" t="str">
            <v>Customized</v>
          </cell>
          <cell r="K60" t="str">
            <v>4 Flowers at both Shop</v>
          </cell>
          <cell r="N60" t="str">
            <v>2  del of this cycle   -  0-cycles pmnt   In Process - Collect 0</v>
          </cell>
          <cell r="O60" t="str">
            <v>Broken Flowers  5 1 Shop    Grass</v>
          </cell>
          <cell r="P60" t="str">
            <v>Broken Flowers  5 1 Shop    Grass</v>
          </cell>
          <cell r="Q60" t="str">
            <v xml:space="preserve">      </v>
          </cell>
          <cell r="R60" t="str">
            <v xml:space="preserve">Broken Flowers  5 1 Shop    </v>
          </cell>
          <cell r="S60" t="str">
            <v xml:space="preserve">Broken Flowers  5     </v>
          </cell>
          <cell r="T60" t="str">
            <v xml:space="preserve">Broken Flowers  5 1 Shop    </v>
          </cell>
        </row>
        <row r="61">
          <cell r="A61">
            <v>3128</v>
          </cell>
          <cell r="B61" t="str">
            <v>Shikha Malhotra</v>
          </cell>
          <cell r="C61">
            <v>9873498869</v>
          </cell>
          <cell r="D61" t="str">
            <v>M-254, Park Place</v>
          </cell>
          <cell r="E61" t="str">
            <v>Golf Course Road</v>
          </cell>
          <cell r="F61" t="str">
            <v>Thursday</v>
          </cell>
          <cell r="G61" t="str">
            <v>4 PM to 7 PM</v>
          </cell>
          <cell r="H61">
            <v>1450</v>
          </cell>
          <cell r="I61">
            <v>362.5</v>
          </cell>
          <cell r="J61" t="str">
            <v>Bliss</v>
          </cell>
          <cell r="K61" t="str">
            <v>Skip 2 week after 13th (07/11) Today Hold (04/12) Paytm From Vivek Malhotra //</v>
          </cell>
          <cell r="N61" t="str">
            <v>4  del of this cycle   -  0-cycles pmnt   Completed - Collect 0</v>
          </cell>
          <cell r="O61" t="e">
            <v>#N/A</v>
          </cell>
          <cell r="P61" t="e">
            <v>#N/A</v>
          </cell>
          <cell r="Q61" t="str">
            <v>Pur n P Car ( 14 inch ) 16     FF Sachet + Grass</v>
          </cell>
          <cell r="R61" t="str">
            <v>P Asiatic ( 14 Inch ) 3  Collect Payment Collect Payment Collect Payment Grass</v>
          </cell>
          <cell r="S61" t="str">
            <v>Rajni ( 14 Inch ) 16     Grass</v>
          </cell>
          <cell r="T61" t="str">
            <v>P n Y Spray Daisy ( 14 Inch ) 5     FF Sachet + Grass</v>
          </cell>
        </row>
        <row r="62">
          <cell r="A62">
            <v>2578</v>
          </cell>
          <cell r="B62" t="str">
            <v>Suchit Agarwal</v>
          </cell>
          <cell r="C62">
            <v>9999404880</v>
          </cell>
          <cell r="D62" t="str">
            <v>T-A/702, Kanchanjunga Towers, Sec 56</v>
          </cell>
          <cell r="E62" t="str">
            <v>Sector 56</v>
          </cell>
          <cell r="F62" t="str">
            <v>Thursday</v>
          </cell>
          <cell r="G62" t="str">
            <v>4 Pm to 7 PM</v>
          </cell>
          <cell r="H62">
            <v>999</v>
          </cell>
          <cell r="I62">
            <v>249.75</v>
          </cell>
          <cell r="J62" t="str">
            <v>Delight</v>
          </cell>
          <cell r="K62" t="str">
            <v>Paytm From Richa Handa (20/06) Skip Thursday and send on Sunday (23/02) Skip tom n send on Sunday this week (01/04) HDTNP (25/06)</v>
          </cell>
          <cell r="N62" t="str">
            <v>3  del of this cycle   -  0-cycles pmnt   Completed - Collect 0</v>
          </cell>
          <cell r="O62" t="str">
            <v>P n W Glad ( 14 Inch ) 9     Grass</v>
          </cell>
          <cell r="P62" t="str">
            <v>Mix Alstroemeria ( 12 Inch ) 9     Grass</v>
          </cell>
          <cell r="Q62" t="str">
            <v>Sunflower ( 12 Inch ) 2     FF Sachet + Grass</v>
          </cell>
          <cell r="R62" t="e">
            <v>#N/A</v>
          </cell>
          <cell r="S62" t="str">
            <v xml:space="preserve">Collect 500 n Close      </v>
          </cell>
          <cell r="T62" t="str">
            <v>Pur n P Car ( 14 Inch ) 9     FF Sachet + Grass</v>
          </cell>
        </row>
        <row r="63">
          <cell r="A63">
            <v>2666</v>
          </cell>
          <cell r="B63" t="str">
            <v>Gunjan Malhotra</v>
          </cell>
          <cell r="C63">
            <v>9971518253</v>
          </cell>
          <cell r="D63" t="str">
            <v>H. No. 298C, 1st Floor, Block G, Sushant Lok-2</v>
          </cell>
          <cell r="E63" t="str">
            <v>Artemis</v>
          </cell>
          <cell r="F63" t="str">
            <v>Thursday</v>
          </cell>
          <cell r="G63" t="str">
            <v>4 PM to 7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Paytm From Gunjan Malhotra // Hold n start from 04th Sep (02/08) Change day to Thursday (31/08) Do not count last Del (20/12) Skip 1 week (02/02) Skip 1 week (25/03)</v>
          </cell>
          <cell r="N63" t="str">
            <v>4  del of this cycle   -  0-cycles pmnt   Completed - Collect 0</v>
          </cell>
          <cell r="O63" t="str">
            <v>P n W Glad ( 14 Inch ) 9     Grass</v>
          </cell>
          <cell r="P63" t="str">
            <v>Pur n P Car ( 14 inch ) 9     Grass</v>
          </cell>
          <cell r="Q63" t="str">
            <v>Mix Alstroemeria ( 12 Inch ) 16     FF Sachet + Grass</v>
          </cell>
          <cell r="R63" t="str">
            <v>Pur Eustoma ( 12 Inch ) 3     FF Sachet + Grass</v>
          </cell>
          <cell r="S63" t="str">
            <v>P Asiatic ( 14 Inch ) 3     Grass</v>
          </cell>
          <cell r="T63" t="str">
            <v>Rajni ( 14 Inch ) 16     Grass</v>
          </cell>
        </row>
        <row r="64">
          <cell r="A64">
            <v>2716</v>
          </cell>
          <cell r="B64" t="str">
            <v>Simmi Chopra</v>
          </cell>
          <cell r="C64">
            <v>9891744488</v>
          </cell>
          <cell r="D64" t="str">
            <v>B/145, Suncity, Golf Course Road</v>
          </cell>
          <cell r="E64" t="str">
            <v>Golf Course Road</v>
          </cell>
          <cell r="F64" t="str">
            <v>Thursday</v>
          </cell>
          <cell r="G64" t="str">
            <v>9 AM - 12 PM</v>
          </cell>
          <cell r="H64">
            <v>2750</v>
          </cell>
          <cell r="I64">
            <v>687.5</v>
          </cell>
          <cell r="J64" t="str">
            <v>Elation</v>
          </cell>
          <cell r="K64" t="str">
            <v>Upgrade to Elation (27/08) Send 10 B daisy next extra (04/10) Today Hold (04/12) Send one Del Tom (30/12)</v>
          </cell>
          <cell r="M64" t="str">
            <v>Send on del tom and no del on 1st Jan (30/12)</v>
          </cell>
          <cell r="N64" t="str">
            <v>3  del of this cycle   -  0-cycles pmnt   Completed - Collect 0</v>
          </cell>
          <cell r="O64" t="str">
            <v>P n Y Spray Dausy ( 14 Inch ) 5 P n W Car  ( 14 Inch ) 16   2 Gypsola + FF Sachet</v>
          </cell>
          <cell r="P64" t="str">
            <v>Sunflower ( 12 Inch ) 4 Mix Alstroemeria ( 12 Inch ) 16   2 Limonium + FF Sachet</v>
          </cell>
          <cell r="Q64" t="str">
            <v xml:space="preserve">P Asiatic ( 14 Inch ) 3 P n W Glad ( 14 Inch ) 16   2 Gypsola </v>
          </cell>
          <cell r="R64" t="str">
            <v>Pur n P Eustoma ( 12 Inch ) 4 Pur n P Car ( 14 Inch ) 16   2 Limonium + FF Sachet</v>
          </cell>
          <cell r="S64" t="str">
            <v xml:space="preserve">P n W Spray Daisy ( 14 Inch ) 5 Rajni ( 14 Inch ) 16   2 Gypsola + FF Sachet </v>
          </cell>
          <cell r="T64" t="str">
            <v>Sunflower ( 12 Inch ) 4 Mix Alstroemeria ( 12 Inch ) 16   2 Limonium + FF Sachet</v>
          </cell>
        </row>
        <row r="65">
          <cell r="A65">
            <v>442</v>
          </cell>
          <cell r="B65" t="str">
            <v>Ruchi Mathure--Before 10:30 AM</v>
          </cell>
          <cell r="C65">
            <v>9871265555</v>
          </cell>
          <cell r="D65" t="str">
            <v>D-013, Westend height, DLF-5</v>
          </cell>
          <cell r="E65" t="str">
            <v>DLF Phase 5</v>
          </cell>
          <cell r="F65" t="str">
            <v>Thursday</v>
          </cell>
          <cell r="G65" t="str">
            <v>9 AM - 12 PM</v>
          </cell>
          <cell r="H65">
            <v>1450</v>
          </cell>
          <cell r="I65">
            <v>362.5</v>
          </cell>
          <cell r="J65" t="str">
            <v>Bliss</v>
          </cell>
          <cell r="K65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65" t="str">
            <v>Sunflower</v>
          </cell>
          <cell r="M65" t="str">
            <v>No White even in mixed // Skip 23rd and sned on 26th (20/04)</v>
          </cell>
          <cell r="N65" t="str">
            <v>2  del of this cycle   -  0-cycles pmnt   Completed - Collect 0</v>
          </cell>
          <cell r="O65" t="str">
            <v>W Asiatic ( 14 Inch ) 3     Grass</v>
          </cell>
          <cell r="P65" t="str">
            <v>P Glad ( 14 Inch ) 16 No White     Grass</v>
          </cell>
          <cell r="Q65" t="str">
            <v>P n Y Spray Daisy ( 14 Inch ) 5 No White Flower  No White Flower   FF Sachet + Grass</v>
          </cell>
          <cell r="R65" t="str">
            <v>Pur n P Car ( 14 Inch ) 16     FF Sachet + Grass</v>
          </cell>
          <cell r="S65" t="str">
            <v>Pur Eustoma ( 12 Inch ) 3     FF Sachet + Grass</v>
          </cell>
          <cell r="T65" t="str">
            <v>Rajni ( 14 Inch ) 16     Grass</v>
          </cell>
        </row>
        <row r="66">
          <cell r="A66">
            <v>19</v>
          </cell>
          <cell r="B66" t="str">
            <v>Mrs. Geeta Chopra</v>
          </cell>
          <cell r="C66">
            <v>9811373448</v>
          </cell>
          <cell r="D66" t="str">
            <v>E-64,Ground Floor,Suncity,Sec-54</v>
          </cell>
          <cell r="E66" t="str">
            <v>Golf Course Road</v>
          </cell>
          <cell r="F66" t="str">
            <v>Thursday</v>
          </cell>
          <cell r="G66" t="str">
            <v>9 AM - 12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66" t="str">
            <v>4  del of this cycle   -  0-cycles pmnt   Completed - Collect 0</v>
          </cell>
          <cell r="O66" t="str">
            <v>P n W Glad ( 14 Inch ) 16     Grass</v>
          </cell>
          <cell r="P66" t="str">
            <v>Mix Alstroemeria ( 12 Inch ) 16     FF Sachet + Grass</v>
          </cell>
          <cell r="Q66" t="str">
            <v>O Asiatic ( 14 Inch ) 3     Grass</v>
          </cell>
          <cell r="R66" t="str">
            <v>B Daisy ( 12 Inch ) 16  Collect Payment Collect Payment Collect Payment Grass</v>
          </cell>
          <cell r="S66" t="str">
            <v>Pur n P Car ( 14 Inch ) 16    Collect Payment FF Sachet + Grass</v>
          </cell>
          <cell r="T66" t="str">
            <v>Sunflower ( 12 Inch ) 4     FF Sachet + Grass</v>
          </cell>
        </row>
        <row r="67">
          <cell r="A67">
            <v>2868</v>
          </cell>
          <cell r="B67" t="str">
            <v>Group Captain Prabal Bir Singh</v>
          </cell>
          <cell r="C67">
            <v>7827468667</v>
          </cell>
          <cell r="D67" t="str">
            <v>603, Shivshakti CGHS, Plot-94, Near Ati Chowk</v>
          </cell>
          <cell r="E67" t="str">
            <v>DLF Phase 5</v>
          </cell>
          <cell r="F67" t="str">
            <v>Thursday</v>
          </cell>
          <cell r="G67" t="str">
            <v>9 AM to 2 PM</v>
          </cell>
          <cell r="H67">
            <v>1450</v>
          </cell>
          <cell r="I67">
            <v>362.5</v>
          </cell>
          <cell r="J67" t="str">
            <v>Bliss</v>
          </cell>
          <cell r="N67" t="str">
            <v>1  del of this cycle   -  0-cycles pmnt   Completed - Collect 0</v>
          </cell>
          <cell r="O67" t="str">
            <v>R n W Car ( 14 inch ) 9     FF Sachet + Grass</v>
          </cell>
          <cell r="P67" t="str">
            <v>P n W Glad ( 14 Inch ) 9     Gras</v>
          </cell>
          <cell r="Q67" t="str">
            <v>Sunflower ( 12 Inch ) 2     FF Sachet + Grass</v>
          </cell>
          <cell r="R67" t="str">
            <v>Rajni ( 14 Inch ) 9     Grass</v>
          </cell>
          <cell r="S67" t="str">
            <v>P Asiatic ( 14 Inch ) 2     Grass</v>
          </cell>
          <cell r="T67" t="str">
            <v>P n W Car ( 14 Inch ) 16     FF Sachet + Grass</v>
          </cell>
        </row>
        <row r="68">
          <cell r="A68">
            <v>849</v>
          </cell>
          <cell r="B68" t="str">
            <v>Shalini Sharma</v>
          </cell>
          <cell r="C68">
            <v>7838500808</v>
          </cell>
          <cell r="D68" t="str">
            <v>208, Espace</v>
          </cell>
          <cell r="E68" t="str">
            <v>Nirvana Country</v>
          </cell>
          <cell r="F68" t="str">
            <v>Thursday</v>
          </cell>
          <cell r="G68" t="str">
            <v>9:30 Am to 2 PM</v>
          </cell>
          <cell r="H68">
            <v>1450</v>
          </cell>
          <cell r="I68">
            <v>362.5</v>
          </cell>
          <cell r="J68" t="str">
            <v>Bliss</v>
          </cell>
          <cell r="K68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68" t="str">
            <v>GULDAWARI n ORCHID</v>
          </cell>
          <cell r="M68" t="str">
            <v>Lilies Next (20/05)</v>
          </cell>
          <cell r="N68" t="str">
            <v>4  del of this cycle   -  0-cycles pmnt   Completed - Collect 0</v>
          </cell>
          <cell r="O68" t="str">
            <v>P n W Glad ( 14 Inch ) 16     Grass</v>
          </cell>
          <cell r="P68" t="str">
            <v>P Asiatic ( 14 Inch )  3     Grass</v>
          </cell>
          <cell r="Q68" t="str">
            <v>P n Y Spray Daisy ( 14 Inch ) 5     FF Sachet + Grass</v>
          </cell>
          <cell r="R68" t="str">
            <v>Pur n P Car ( 14 Inch ) 16  Collect Payment Collect Payment Collect Payment FF Sachet + Grass</v>
          </cell>
          <cell r="S68" t="str">
            <v>Sunflower ( 12 Inch ) 4     FF Sachet + Grass</v>
          </cell>
          <cell r="T68" t="str">
            <v>Rajni ( 14 Inch ) 16     Grass</v>
          </cell>
        </row>
        <row r="69">
          <cell r="A69">
            <v>2250</v>
          </cell>
          <cell r="B69" t="str">
            <v>Saloni Gupta</v>
          </cell>
          <cell r="C69">
            <v>9810796682</v>
          </cell>
          <cell r="D69" t="str">
            <v>338, 3rd Floor, Espace</v>
          </cell>
          <cell r="E69" t="str">
            <v>Nirvana Country</v>
          </cell>
          <cell r="F69" t="str">
            <v>Sunday</v>
          </cell>
          <cell r="G69" t="str">
            <v>9 AM - 12 PM</v>
          </cell>
          <cell r="H69">
            <v>3088</v>
          </cell>
          <cell r="I69">
            <v>386</v>
          </cell>
          <cell r="J69" t="str">
            <v>Cutsomized-Biweekly</v>
          </cell>
          <cell r="K69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</v>
          </cell>
          <cell r="N69" t="str">
            <v>5  del of this cycle   -  0-cycles pmnt   Completed - Collect 0</v>
          </cell>
          <cell r="O69" t="e">
            <v>#N/A</v>
          </cell>
          <cell r="P69" t="e">
            <v>#N/A</v>
          </cell>
          <cell r="Q69" t="e">
            <v>#N/A</v>
          </cell>
          <cell r="R69" t="str">
            <v>W Asiatic ( 14 Inch ) 3     Grass</v>
          </cell>
          <cell r="S69" t="str">
            <v>O Asiatic ( 14 Inch ) 3     Grass</v>
          </cell>
          <cell r="T69" t="str">
            <v>P Asiatic ( 14 Inch ) 2     Grass</v>
          </cell>
        </row>
        <row r="70">
          <cell r="A70">
            <v>2569</v>
          </cell>
          <cell r="B70" t="str">
            <v>Mrs. Verma</v>
          </cell>
          <cell r="C70">
            <v>9971135993</v>
          </cell>
          <cell r="D70" t="str">
            <v>A1/192, 1st Floor, Sec 55, Sushant Lok-2, Near Orchid International School</v>
          </cell>
          <cell r="E70" t="str">
            <v>Sector 56</v>
          </cell>
          <cell r="F70" t="str">
            <v>Thursday</v>
          </cell>
          <cell r="G70" t="str">
            <v>9 AM - 12 PM</v>
          </cell>
          <cell r="H70">
            <v>1450</v>
          </cell>
          <cell r="I70">
            <v>362.5</v>
          </cell>
          <cell r="J70" t="str">
            <v>Bliss</v>
          </cell>
          <cell r="K70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70" t="str">
            <v>Sunflower</v>
          </cell>
          <cell r="N70" t="str">
            <v>2  del of this cycle   -  0-cycles pmnt   CompletedNO COLLECTION-we have extra money - Collect -100</v>
          </cell>
          <cell r="O70" t="str">
            <v>W Asiatic ( 14 Inch ) 2 Mix Alstroemeria ( 12 Inch ) 7   Grass</v>
          </cell>
          <cell r="P70" t="str">
            <v>Pur Eustoma ( 12 Inch ) 2 Pur n P Car ( 14 inch ) 7   FF Sachet + Grass</v>
          </cell>
          <cell r="Q70" t="str">
            <v>Sunflower ( 12 Inch ) 2 P n W Glad ( 14 Inch ) 7   FF Sachet + Grass</v>
          </cell>
          <cell r="R70" t="str">
            <v>O Asiatic ( 14 Inch ) 2 B Daisy ( 12 Inch ) 7   Grass</v>
          </cell>
          <cell r="S70" t="str">
            <v>P Spray Daisy ( 14 Inch ) 3 Rajni ( 14 Inch ) 7   FF Sachet + Grass</v>
          </cell>
          <cell r="T70" t="str">
            <v>Sunflower ( 12 Inch ) 2 P n W Car ( 14 Inch ) 7   FF Sachet + Grass</v>
          </cell>
        </row>
        <row r="71">
          <cell r="A71" t="str">
            <v>B56121</v>
          </cell>
          <cell r="B71" t="str">
            <v> 95996 97063‬</v>
          </cell>
          <cell r="C71" t="str">
            <v> 95996 97063‬</v>
          </cell>
          <cell r="D71" t="str">
            <v>M23 B, Adani Samsara 
Sector 60 , Gurgaon
Opp ireo skyon</v>
          </cell>
          <cell r="H71">
            <v>600</v>
          </cell>
          <cell r="J71" t="str">
            <v>Bouquet</v>
          </cell>
          <cell r="K71" t="str">
            <v>Send today 
15 Rajnigandha with greens to 
Poonam Sriram 
+91 95996 97063</v>
          </cell>
          <cell r="T71" t="str">
            <v>Rajnigandha  15     Arica+Grass</v>
          </cell>
        </row>
        <row r="72">
          <cell r="A72">
            <v>3212</v>
          </cell>
          <cell r="B72" t="str">
            <v>Sheeba Rana</v>
          </cell>
          <cell r="C72">
            <v>9958849523</v>
          </cell>
          <cell r="D72" t="str">
            <v>T-14/1202, The Close North</v>
          </cell>
          <cell r="E72" t="str">
            <v>Nirvana Country</v>
          </cell>
          <cell r="F72" t="str">
            <v>Thursday</v>
          </cell>
          <cell r="G72" t="str">
            <v>4 Pm to 7 PM</v>
          </cell>
          <cell r="H72">
            <v>1450</v>
          </cell>
          <cell r="I72">
            <v>1450</v>
          </cell>
          <cell r="J72" t="str">
            <v>Bliss</v>
          </cell>
          <cell r="K72" t="str">
            <v>Skip 1 week (31/12)</v>
          </cell>
          <cell r="N72" t="str">
            <v>3  del of this cycle   -  0-cycles pmnt   Completed - Collect 0</v>
          </cell>
          <cell r="O72" t="str">
            <v>R n W Car ( 14 inch ) 9     FF Sachet + Grass</v>
          </cell>
          <cell r="P72" t="str">
            <v>P n W Glad ( 14 Inch ) 9     Gras</v>
          </cell>
          <cell r="Q72" t="str">
            <v>P Asiatic ( 14 Inch ) 2     Grass</v>
          </cell>
          <cell r="R72" t="str">
            <v>Pur n P Car ( 14 Inch ) 16     FF Sachet + Grass</v>
          </cell>
          <cell r="S72" t="str">
            <v>P n Y Spray Daisy ( 14 Inch ) 5     FF Sachet + Grass</v>
          </cell>
          <cell r="T72" t="str">
            <v>Rajni ( 14 Inch ) 16     Grass</v>
          </cell>
        </row>
        <row r="73">
          <cell r="A73">
            <v>3122</v>
          </cell>
          <cell r="B73" t="str">
            <v>Abha Ghosh</v>
          </cell>
          <cell r="C73">
            <v>9650001674</v>
          </cell>
          <cell r="D73" t="str">
            <v>6A, Galicia, Raisina Residency, Sec 59</v>
          </cell>
          <cell r="E73" t="str">
            <v>Ghata</v>
          </cell>
          <cell r="F73" t="str">
            <v>Thursday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Returned yesterday (07/11)</v>
          </cell>
          <cell r="N73" t="str">
            <v>4  del of this cycle   -  0-cycles pmnt   Completed - Collect 0</v>
          </cell>
          <cell r="O73" t="str">
            <v>P n W Glad ( 14 Inch ) 16     Grass</v>
          </cell>
          <cell r="P73" t="str">
            <v>Pur n P Car ( 14 inch ) 16     FF Sachet + Grass</v>
          </cell>
          <cell r="Q73" t="str">
            <v>Sunflower ( 12 Inch ) 4     FF Sachet + Grass</v>
          </cell>
          <cell r="R73" t="str">
            <v>B Daisy ( 12 Inch ) 16     Grass</v>
          </cell>
          <cell r="S73" t="str">
            <v>P Asiatic ( 14 Inch ) 3     Grass</v>
          </cell>
          <cell r="T73" t="str">
            <v>Rajni ( 14 Inch ) 16     Grass</v>
          </cell>
        </row>
        <row r="74">
          <cell r="A74">
            <v>2205</v>
          </cell>
          <cell r="B74" t="str">
            <v>Shubhra Gupta</v>
          </cell>
          <cell r="C74">
            <v>9811981626</v>
          </cell>
          <cell r="D74" t="str">
            <v>ES-245, Espace</v>
          </cell>
          <cell r="E74" t="str">
            <v>Nirvana Country</v>
          </cell>
          <cell r="F74" t="str">
            <v>Thursday</v>
          </cell>
          <cell r="G74" t="str">
            <v>9 AM - 12 PM</v>
          </cell>
          <cell r="H74">
            <v>1450</v>
          </cell>
          <cell r="I74">
            <v>362.5</v>
          </cell>
          <cell r="J74" t="str">
            <v>Bliss</v>
          </cell>
          <cell r="K74" t="str">
            <v>Paytm From 9811656524 // No Orchids // Skip 1 week (01/10) Same flowers from last  2weeks, pls Check (06/11) Paytm from Gaurav Gupta (0703)</v>
          </cell>
          <cell r="L74" t="str">
            <v>ORCHID</v>
          </cell>
          <cell r="M74" t="str">
            <v>Same Flowers from 2 week, Pls Check (06/11)</v>
          </cell>
          <cell r="N74" t="str">
            <v>2  del of this cycle   -  0-cycles pmnt   Completed - Collect 0</v>
          </cell>
          <cell r="O74" t="str">
            <v>P n W Glad ( 14 Inch ) 16     Grass</v>
          </cell>
          <cell r="P74" t="str">
            <v>Pur n P Car ( 14 inch ) 16     FF Sachet + Grass</v>
          </cell>
          <cell r="Q74" t="str">
            <v>P n W Spray Daisy ( 14 Inch ) 5     FF Sachet + Grass</v>
          </cell>
          <cell r="R74" t="str">
            <v>B Daisy ( 12 Inch ) 16     Grass</v>
          </cell>
          <cell r="S74" t="str">
            <v>P Asiatic ( 14 Inch ) 3     Grass</v>
          </cell>
          <cell r="T74" t="str">
            <v>Rajni ( 14 Inch ) 16     Grass</v>
          </cell>
        </row>
        <row r="75">
          <cell r="A75">
            <v>949</v>
          </cell>
          <cell r="B75" t="str">
            <v>Meenu Amrith-- Evening Only</v>
          </cell>
          <cell r="C75">
            <v>9891350735</v>
          </cell>
          <cell r="D75" t="str">
            <v>H. No. 579, Ground Floor,Near Dell-- Sec-43</v>
          </cell>
          <cell r="E75" t="str">
            <v>DLF Phase 5</v>
          </cell>
          <cell r="F75" t="str">
            <v>Thursday</v>
          </cell>
          <cell r="G75" t="str">
            <v>10 AM to 2:30 PM</v>
          </cell>
          <cell r="H75">
            <v>1450</v>
          </cell>
          <cell r="I75">
            <v>362.5</v>
          </cell>
          <cell r="J75" t="str">
            <v>Bliss</v>
          </cell>
          <cell r="K75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5" t="str">
            <v>4  del of this cycle   -  0-cycles pmnt   Completed - Collect 0</v>
          </cell>
          <cell r="O75" t="str">
            <v>P n Y Spray Dausy ( 14 Inch ) 5     FF Sachet + Grass</v>
          </cell>
          <cell r="P75" t="str">
            <v>P Asiatic ( 14 Inch )  3     Grass</v>
          </cell>
          <cell r="Q75" t="str">
            <v>Pur n P Car ( 14 inch ) 16     FF Sachet + Grass</v>
          </cell>
          <cell r="R75" t="str">
            <v>Pur Eustoma ( 12 Inch ) 3     FF Sachet + Grass</v>
          </cell>
          <cell r="S75" t="str">
            <v>P n W Glad ( 14 Inch ) 16     Grass</v>
          </cell>
          <cell r="T75" t="str">
            <v>Sunflower ( 12 Inch ) 4     FF Sachet + Grass</v>
          </cell>
        </row>
        <row r="76">
          <cell r="A76">
            <v>172</v>
          </cell>
          <cell r="B76" t="str">
            <v>Rachna Rathee</v>
          </cell>
          <cell r="C76">
            <v>9811779661</v>
          </cell>
          <cell r="D76" t="str">
            <v xml:space="preserve">DX-106 flat no,Kendriya vihar Sector 56
</v>
          </cell>
          <cell r="E76" t="str">
            <v>Sector 56</v>
          </cell>
          <cell r="F76" t="str">
            <v>Thursday</v>
          </cell>
          <cell r="G76" t="str">
            <v>9 AM - 12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v>
          </cell>
          <cell r="L76" t="str">
            <v>BLUE ORCHID n GERBERA</v>
          </cell>
          <cell r="N76" t="str">
            <v>3  del of this cycle   -  0-cycles pmnt   Completed - Collect 0</v>
          </cell>
          <cell r="O76" t="e">
            <v>#N/A</v>
          </cell>
          <cell r="P76" t="e">
            <v>#N/A</v>
          </cell>
          <cell r="Q76" t="e">
            <v>#N/A</v>
          </cell>
          <cell r="R76" t="e">
            <v>#N/A</v>
          </cell>
          <cell r="S76" t="str">
            <v>Pur n P Car ( 14 Inch ) 16     FF Sachet + Grass</v>
          </cell>
          <cell r="T76" t="str">
            <v>Sunflower ( 12 Inch ) 4     FF Sachet + Grass</v>
          </cell>
        </row>
        <row r="77">
          <cell r="A77">
            <v>2481</v>
          </cell>
          <cell r="B77" t="str">
            <v>Puneet Mahajan</v>
          </cell>
          <cell r="C77">
            <v>9810110847</v>
          </cell>
          <cell r="D77" t="str">
            <v>D-19, 4th Floor, Siuth City -2, Opp Arcadia Mall</v>
          </cell>
          <cell r="E77" t="str">
            <v>Nirvana Country</v>
          </cell>
          <cell r="F77" t="str">
            <v>Sunday</v>
          </cell>
          <cell r="G77" t="str">
            <v>9 AM - 12 PM</v>
          </cell>
          <cell r="H77">
            <v>2300</v>
          </cell>
          <cell r="I77">
            <v>287.5</v>
          </cell>
          <cell r="J77" t="str">
            <v>Felicity</v>
          </cell>
          <cell r="K77" t="str">
            <v>Send Sponge// Day Changed to Sunday (16/04) Paytm From Sri Sai makers (20/04) Change to felicity (17/05)</v>
          </cell>
          <cell r="N77" t="str">
            <v>8  del of this cycle   -  0-cycles pmnt   Completed - Collect 0</v>
          </cell>
          <cell r="O77" t="str">
            <v>Mix Alstroemeria ( 12 Inch ) 11     FF Sachet + Grass</v>
          </cell>
          <cell r="P77" t="str">
            <v>Pur n P Car ( 14 inch ) 11     FF Sachet + Grass</v>
          </cell>
          <cell r="Q77" t="str">
            <v>P Spray Daisy ( 14 Inch ) 3     FF Sachet + Grass</v>
          </cell>
          <cell r="R77" t="str">
            <v>P Asiatic ( 14 Inch ) 2     Grass</v>
          </cell>
          <cell r="S77" t="str">
            <v>Sunflower ( 12 Inch ) 3     FF Sachet + Grass</v>
          </cell>
          <cell r="T77" t="str">
            <v>Rajni ( 14 Inch ) 11     Grass</v>
          </cell>
        </row>
        <row r="78">
          <cell r="A78">
            <v>2406</v>
          </cell>
          <cell r="B78" t="str">
            <v>Vermeen Kapoor</v>
          </cell>
          <cell r="C78">
            <v>9873458198</v>
          </cell>
          <cell r="D78" t="str">
            <v>B-59, South City 2</v>
          </cell>
          <cell r="E78" t="str">
            <v>Nirvana Country</v>
          </cell>
          <cell r="F78" t="str">
            <v>Thursday</v>
          </cell>
          <cell r="G78" t="str">
            <v>9:30 Am to 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Referred by Swati Khandelwal?/ Mixed Flowers // Send replace,ent tom (19/02) Day Changed to Thursday (08/04) today returned-send tom (24/07)</v>
          </cell>
          <cell r="M78" t="str">
            <v>Mixed Flowers</v>
          </cell>
          <cell r="N78" t="str">
            <v>3  del of this cycle   -  0-cycles pmnt   Completed - Collect 0</v>
          </cell>
          <cell r="O78" t="str">
            <v>W Asiatic ( 14 Inch ) 2 Mix Alstroemeria ( 12 Inch ) 7   Grass</v>
          </cell>
          <cell r="P78" t="str">
            <v>Pur Eustoma ( 12 Inch ) 2 Pur n P Car ( 14 inch ) 7   FF Sachet + Grass</v>
          </cell>
          <cell r="Q78" t="str">
            <v>Sunflower ( 12 Inch ) 2 P n W Glad ( 14 Inch ) 7   FF Sachet + Grass</v>
          </cell>
          <cell r="R78" t="str">
            <v>P Asiatic ( 14 Inch ) 2 B Daisy ( 12 Inch ) 7   Grass</v>
          </cell>
          <cell r="S78" t="str">
            <v>P Spray Daisy ( 14 Inch ) 3 Rajni ( 14 Inch ) 7   FF Sachet + Grass</v>
          </cell>
          <cell r="T78" t="str">
            <v>Sunflower ( 12 Inch ) 2 P n W Car ( 14 Inch ) 7   FF Sachet + Grass</v>
          </cell>
        </row>
        <row r="79">
          <cell r="A79">
            <v>244</v>
          </cell>
          <cell r="B79" t="str">
            <v>Garima jain</v>
          </cell>
          <cell r="C79">
            <v>9958581403</v>
          </cell>
          <cell r="D79" t="str">
            <v xml:space="preserve"> G-901, Central Park 1, Golf Course Road    Sec 42 Gurgaon  122002</v>
          </cell>
          <cell r="E79" t="str">
            <v>Golf Course Road</v>
          </cell>
          <cell r="F79" t="str">
            <v>Thursday</v>
          </cell>
          <cell r="G79" t="str">
            <v>9 AM - 12 PM</v>
          </cell>
          <cell r="H79">
            <v>1450</v>
          </cell>
          <cell r="I79">
            <v>1450</v>
          </cell>
          <cell r="J79" t="str">
            <v>Bliss</v>
          </cell>
          <cell r="K79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79" t="str">
            <v>3  del of this cycle   -  0-cycles pmnt   Completed - Collect 0</v>
          </cell>
          <cell r="O79" t="str">
            <v>P Asiatic ( 14 Inch ) 2 Pls Insure Collection    Grass</v>
          </cell>
          <cell r="P79" t="str">
            <v>Mix Alstroemeria ( 12 Inch ) 9 Pls Collect Cash     Grass</v>
          </cell>
          <cell r="Q79" t="str">
            <v>Pur n P Car ( 14 inch ) 9     Grass</v>
          </cell>
          <cell r="R79" t="str">
            <v>Pur Eustoma ( 12 Inch ) 3     FF Sachet + Grass</v>
          </cell>
          <cell r="S79" t="str">
            <v>Rajni ( 14 Inch ) 16     Grass</v>
          </cell>
          <cell r="T79" t="str">
            <v>O Asiatic ( 14 Inch ) 3     Grass</v>
          </cell>
        </row>
        <row r="80">
          <cell r="A80">
            <v>61</v>
          </cell>
          <cell r="B80" t="str">
            <v>Megha Manchanda -- Bliss Pack</v>
          </cell>
          <cell r="C80">
            <v>9871919500</v>
          </cell>
          <cell r="D80" t="str">
            <v>T-3/302, Unitech Harmony</v>
          </cell>
          <cell r="E80" t="str">
            <v>Nirvana Country</v>
          </cell>
          <cell r="F80" t="str">
            <v>Thursday</v>
          </cell>
          <cell r="G80" t="str">
            <v>9 AM - 12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v>
          </cell>
          <cell r="N80" t="str">
            <v>1  del of this cycle   -  1-cycles pmnt   Pending - Collect 1450</v>
          </cell>
          <cell r="O80" t="str">
            <v>Y Asiatic ( 14 Inch ) 2     Grass</v>
          </cell>
          <cell r="P80" t="str">
            <v>Pur n P Car ( 14 inch ) 9     Grass</v>
          </cell>
          <cell r="Q80" t="str">
            <v>Sunflower ( 12 Inch ) 2     FF Sachet + Grass</v>
          </cell>
          <cell r="R80" t="e">
            <v>#N/A</v>
          </cell>
          <cell r="S80" t="str">
            <v>Rajni ( 14 Inch ) 9     Grass</v>
          </cell>
          <cell r="T80" t="str">
            <v>P Asiatic ( 14 Inch ) 3     Grass</v>
          </cell>
        </row>
        <row r="81">
          <cell r="A81">
            <v>2644</v>
          </cell>
          <cell r="B81" t="str">
            <v>Sanjeet Kaur</v>
          </cell>
          <cell r="C81">
            <v>7889438209</v>
          </cell>
          <cell r="D81" t="str">
            <v>601, Emerald Green, Sector 52</v>
          </cell>
          <cell r="E81" t="str">
            <v>Artemis</v>
          </cell>
          <cell r="F81" t="str">
            <v>Thursday</v>
          </cell>
          <cell r="G81" t="str">
            <v>9:30 Am to 2 PM</v>
          </cell>
          <cell r="H81">
            <v>1450</v>
          </cell>
          <cell r="I81">
            <v>362.5</v>
          </cell>
          <cell r="J81" t="str">
            <v>Bliss</v>
          </cell>
          <cell r="K81" t="str">
            <v>1 Gypsola in each Del (16/05) Paytm From Arshia Kaur (13/06) Paytm From Yogpal Singh (20/12) Do not count todays delivery (30/04)</v>
          </cell>
          <cell r="M81" t="str">
            <v>1 Gyposla in each Del</v>
          </cell>
          <cell r="N81" t="str">
            <v>1  del of this cycle   -  1-cycles pmnt   Pending - Collect 1450</v>
          </cell>
          <cell r="O81" t="str">
            <v>R n W Car ( 14 inch ) 9     FF Sachet + Grass</v>
          </cell>
          <cell r="P81" t="str">
            <v>P n W Glad ( 14 Inch ) 9     Gras</v>
          </cell>
          <cell r="Q81" t="str">
            <v>Y Spray Daisy ( 14 Inch ) 3     1 Gypsola + FF Sachet</v>
          </cell>
          <cell r="R81" t="str">
            <v>B Daisy ( 12 Inch ) 9     Grass</v>
          </cell>
          <cell r="S81" t="str">
            <v>P Asiatic ( 14 Inch ) 2     Grass</v>
          </cell>
          <cell r="T81" t="str">
            <v>Pur n P Car ( 14 Inch ) 16     FF Sachet + Grass</v>
          </cell>
        </row>
        <row r="82">
          <cell r="A82">
            <v>3133</v>
          </cell>
          <cell r="B82" t="str">
            <v>Anastasiia Liapicheva</v>
          </cell>
          <cell r="C82" t="str">
            <v>7678659573 // '+79029329098</v>
          </cell>
          <cell r="D82" t="str">
            <v>B1/602, Palm Groove Heights, Ardee City Sec 52</v>
          </cell>
          <cell r="E82" t="str">
            <v>Sushant Estate</v>
          </cell>
          <cell r="F82" t="str">
            <v>Thursday</v>
          </cell>
          <cell r="G82" t="str">
            <v>9 AM - 12 PM</v>
          </cell>
          <cell r="H82">
            <v>1450</v>
          </cell>
          <cell r="I82">
            <v>362.5</v>
          </cell>
          <cell r="J82" t="str">
            <v>Bliss</v>
          </cell>
          <cell r="K82" t="str">
            <v>No Lilies (02/11) No White Greens (02/12) Skip 1 week (07/01) skip 1 week (27/01) No Sunflower (06/03) Skip 1 week (06/06)</v>
          </cell>
          <cell r="L82" t="str">
            <v>Lily n Sunflower n White Greens</v>
          </cell>
          <cell r="M82" t="str">
            <v>No White Greens n Mixed Flowers</v>
          </cell>
          <cell r="N82" t="str">
            <v>1  del of this cycle   -  1-cycles pmnt   Pending - Collect 1450</v>
          </cell>
          <cell r="O82" t="str">
            <v>Pur Eustoma ( 14 Inch ) 2 Mix Alstroemeria ( 12 Inch ) 7   FF Sachet + Grass</v>
          </cell>
          <cell r="P82" t="e">
            <v>#N/A</v>
          </cell>
          <cell r="Q82" t="str">
            <v>O Asiatic ( 14 Inch ) 2 P n W Glad ( 14 Inch ) 7   Grass</v>
          </cell>
          <cell r="R82" t="str">
            <v>Y Spray Daisy 3 P n W Car ( 14 Inch ) 7   FF Sachet + Grass</v>
          </cell>
          <cell r="S82" t="str">
            <v>P Eustoma ( 12 Inch ) 2 Rajni ( 14 Inch ) 7   FF Sachet + Grass</v>
          </cell>
          <cell r="T82" t="str">
            <v>W Asiatic ( 14 Inch ) 2 Mix Alstroemeria ( 12 Inch ) 7   Grass</v>
          </cell>
        </row>
        <row r="83">
          <cell r="A83">
            <v>2200</v>
          </cell>
          <cell r="B83" t="str">
            <v>Naina Gandhi</v>
          </cell>
          <cell r="C83">
            <v>9811188863</v>
          </cell>
          <cell r="D83" t="str">
            <v>K2/105, Central Park -1</v>
          </cell>
          <cell r="E83" t="str">
            <v>Golf Course Road</v>
          </cell>
          <cell r="F83" t="str">
            <v>Thursday</v>
          </cell>
          <cell r="G83" t="str">
            <v>9 AM - 12 PM</v>
          </cell>
          <cell r="H83">
            <v>2300</v>
          </cell>
          <cell r="I83">
            <v>287.5</v>
          </cell>
          <cell r="J83" t="str">
            <v>Felicity</v>
          </cell>
          <cell r="K83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v>
          </cell>
          <cell r="L83" t="str">
            <v>SPRAY DAISY</v>
          </cell>
          <cell r="M83" t="str">
            <v>Check for Bi weekly package</v>
          </cell>
          <cell r="N83" t="str">
            <v>3  del of this cycle   -  0-cycles pmnt   Completed - Collect 0</v>
          </cell>
          <cell r="O83" t="e">
            <v>#N/A</v>
          </cell>
          <cell r="P83" t="e">
            <v>#N/A</v>
          </cell>
          <cell r="Q83" t="str">
            <v>P n W Glad ( 14 Inch ) 11     Grass</v>
          </cell>
          <cell r="R83" t="e">
            <v>#N/A</v>
          </cell>
          <cell r="S83" t="str">
            <v>Pur n P Car ( 14 Inch ) 11     FF Sachet + Grass</v>
          </cell>
          <cell r="T83" t="str">
            <v>B Daisy ( 12 Inch ) 11     Grass</v>
          </cell>
        </row>
        <row r="84">
          <cell r="A84">
            <v>2961</v>
          </cell>
          <cell r="B84" t="str">
            <v>Vishal Sagar</v>
          </cell>
          <cell r="C84">
            <v>9990720203</v>
          </cell>
          <cell r="D84" t="str">
            <v>E-002, The Residency, Aardee City, Gate No. 2</v>
          </cell>
          <cell r="E84" t="str">
            <v>Sushant Estate</v>
          </cell>
          <cell r="F84" t="str">
            <v>Thursday</v>
          </cell>
          <cell r="G84" t="str">
            <v>9 AM to 2 PM</v>
          </cell>
          <cell r="H84">
            <v>999</v>
          </cell>
          <cell r="I84">
            <v>249.75</v>
          </cell>
          <cell r="J84" t="str">
            <v>Collection Only</v>
          </cell>
          <cell r="K84" t="str">
            <v>Paytm From Vasudha Rana (26/02) Send 4 FF Sachet Next (27/02) HDTNP (21/05) Send on sat this week (22/05) HDTNP (25/06)</v>
          </cell>
          <cell r="M84" t="str">
            <v>4 FF Next (27/02)</v>
          </cell>
          <cell r="N84" t="str">
            <v>3  del of this cycle   -  1-cycles pmnt   Pending - Collect 999</v>
          </cell>
          <cell r="O84" t="str">
            <v>Y Spray Daisy ( 15 Inch ) 3     FF Sachet + Grass</v>
          </cell>
          <cell r="P84" t="str">
            <v>P n W Glad ( 14 Inch ) 9     Gras</v>
          </cell>
          <cell r="Q84" t="str">
            <v>Sunflower ( 12 Inch ) 2     FF Sachet + Grass</v>
          </cell>
          <cell r="R84" t="e">
            <v>#N/A</v>
          </cell>
          <cell r="S84" t="str">
            <v xml:space="preserve">Collect 500 n Close      </v>
          </cell>
          <cell r="T84" t="str">
            <v xml:space="preserve">Collect 500  n Close Carry Receipt Book     </v>
          </cell>
        </row>
        <row r="85">
          <cell r="A85" t="str">
            <v>CP00001</v>
          </cell>
          <cell r="B85" t="str">
            <v>Nidhi Sharma Malhotra -- BPTP -- Centra 1</v>
          </cell>
          <cell r="C85">
            <v>9999016333</v>
          </cell>
          <cell r="D85" t="str">
            <v>BPTP, Sec 61</v>
          </cell>
          <cell r="E85" t="str">
            <v>Ghata</v>
          </cell>
          <cell r="F85" t="str">
            <v>Thursday</v>
          </cell>
          <cell r="G85" t="str">
            <v>By 5 PM</v>
          </cell>
          <cell r="H85">
            <v>24600</v>
          </cell>
          <cell r="I85">
            <v>24600</v>
          </cell>
          <cell r="J85" t="str">
            <v>Corporate</v>
          </cell>
          <cell r="T85" t="str">
            <v xml:space="preserve">Hydrangea + W Asiatic       </v>
          </cell>
        </row>
        <row r="86">
          <cell r="A86">
            <v>1978</v>
          </cell>
          <cell r="B86" t="str">
            <v>Anu-- After 6 PM</v>
          </cell>
          <cell r="C86" t="str">
            <v>98103 39602</v>
          </cell>
          <cell r="D86" t="str">
            <v xml:space="preserve">Tower 6, 901 Fresco </v>
          </cell>
          <cell r="E86" t="str">
            <v>Nirvana Country</v>
          </cell>
          <cell r="F86" t="str">
            <v>Thursday</v>
          </cell>
          <cell r="G86" t="str">
            <v>4 Pm to 7 PM</v>
          </cell>
          <cell r="H86">
            <v>4850</v>
          </cell>
          <cell r="I86">
            <v>606.25</v>
          </cell>
          <cell r="J86" t="str">
            <v>Poise</v>
          </cell>
          <cell r="K86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86" t="str">
            <v>ROSE n RAJNI n HELICONIA n BOP</v>
          </cell>
          <cell r="M86" t="str">
            <v>after 6 pm on 19th (16/04)</v>
          </cell>
          <cell r="N86" t="str">
            <v>8  del of this cycle   -  0-cycles pmnt   Completed - Collect 0</v>
          </cell>
          <cell r="O86" t="str">
            <v>P Asiatic ( 14 Inch ) 2 P n W Spray Dausy ( 14 Inch ) 4 P n W Glad ( 14 Inch ) 12 Grass</v>
          </cell>
          <cell r="P86" t="str">
            <v>Y Asiatic ( 14 Inch ) 2 Mix Eustoma ( 12 Inch ) 4 P n W Car ( 14 Inch ) 12 Grass</v>
          </cell>
          <cell r="Q86" t="str">
            <v>P Asiatic ( 14 Inch ) 2 Mix Alstroemeria ( 12 inch )  8 P n W Glad ( 14 Inch ) 8 Grass</v>
          </cell>
          <cell r="R86" t="str">
            <v>W Asiatic ( 14 Inch ) 2 P n Y Spray Daisy ( 14 Inch ) 4 Rajni ( 14 Inch ) 12 Grass</v>
          </cell>
          <cell r="S86" t="str">
            <v>O Asiatic ( 14 Inch ) 2 Sunflower ( 12 Inch ) 4 Pur n P Car ( 14 Inch ) 12 Grass</v>
          </cell>
          <cell r="T86" t="str">
            <v>W Asiatic ( 14 Inch ) 2 Mix Alstroemeria ( 12 Inch ) 8 B Daisy 10 Grass</v>
          </cell>
        </row>
        <row r="87">
          <cell r="A87" t="str">
            <v>B56397</v>
          </cell>
          <cell r="B87" t="str">
            <v>Preeti Khosla</v>
          </cell>
          <cell r="C87">
            <v>9873156750</v>
          </cell>
          <cell r="D87" t="str">
            <v>H-702, Ireo Grand Arch</v>
          </cell>
          <cell r="E87" t="str">
            <v>Ghata</v>
          </cell>
          <cell r="F87" t="str">
            <v>Thursday</v>
          </cell>
          <cell r="G87" t="str">
            <v>By 6 PM</v>
          </cell>
          <cell r="H87">
            <v>600</v>
          </cell>
          <cell r="I87">
            <v>600</v>
          </cell>
          <cell r="J87" t="str">
            <v>Bouquet</v>
          </cell>
          <cell r="T87" t="str">
            <v xml:space="preserve">Yel Alstroemeria 10     </v>
          </cell>
        </row>
        <row r="88">
          <cell r="B88" t="str">
            <v xml:space="preserve">Sameeksha jain </v>
          </cell>
          <cell r="C88" t="str">
            <v>99300 32211‬</v>
          </cell>
          <cell r="D88" t="str">
            <v>Tower 5 flat no 602
Tata Primanti sector 72 
Gurgaon  122101</v>
          </cell>
          <cell r="G88" t="str">
            <v>Before 2 Pm</v>
          </cell>
          <cell r="H88">
            <v>1325</v>
          </cell>
          <cell r="J88" t="str">
            <v>Bouquet</v>
          </cell>
          <cell r="K88" t="str">
            <v>Sameeksha jain 
Tower 5 flat no 602
Tata Primanti sector 72 
Gurgaon  122101
Happy Anniversary Sameeksha nd Neeraj
From
Preeti n Vinod
Send today from —‪+91 99300 32211‬ before 2pm</v>
          </cell>
          <cell r="T88" t="str">
            <v xml:space="preserve">P Car+ B Orchid  Fish Bowl Arrangement Message   </v>
          </cell>
        </row>
        <row r="89">
          <cell r="A89">
            <v>2135</v>
          </cell>
          <cell r="B89" t="str">
            <v>Ritika- Ireo</v>
          </cell>
          <cell r="C89">
            <v>9711196560</v>
          </cell>
          <cell r="D89" t="str">
            <v>B-2701, Ireo Victory Valley, Sec 67</v>
          </cell>
          <cell r="G89" t="str">
            <v xml:space="preserve"> Before 8</v>
          </cell>
          <cell r="H89">
            <v>1450</v>
          </cell>
          <cell r="J89" t="str">
            <v>Bouquet</v>
          </cell>
          <cell r="K89" t="str">
            <v>Send a bouquet before 8 of Asiatic lilies and carnations to Ritika Ireo
+91 97111 96560</v>
          </cell>
          <cell r="T89" t="str">
            <v xml:space="preserve">Asiatic +  Car  + Rose  + Spary Daisy  3 + 6+ 6+5 Walkin Tissue Wrap     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2">
          <cell r="A2">
            <v>3396</v>
          </cell>
          <cell r="B2" t="str">
            <v>Shivani Gogia</v>
          </cell>
          <cell r="C2">
            <v>7838568324</v>
          </cell>
          <cell r="D2" t="str">
            <v>A-105, 1st Floor, Siushant Lok 3, Sec 57</v>
          </cell>
          <cell r="E2" t="str">
            <v>Sector 56</v>
          </cell>
          <cell r="F2" t="str">
            <v>Thursday</v>
          </cell>
          <cell r="G2" t="str">
            <v>9:30 Am to 2 PM</v>
          </cell>
          <cell r="H2">
            <v>1450</v>
          </cell>
          <cell r="I2">
            <v>362.5</v>
          </cell>
          <cell r="J2" t="str">
            <v>Customized</v>
          </cell>
          <cell r="K2" t="str">
            <v>14 rajni</v>
          </cell>
          <cell r="N2" t="str">
            <v>3  del of this cycle   -  0-cycles pmnt   Completed - Collect 0</v>
          </cell>
          <cell r="O2" t="e">
            <v>#N/A</v>
          </cell>
          <cell r="P2" t="e">
            <v>#N/A</v>
          </cell>
          <cell r="Q2" t="e">
            <v>#N/A</v>
          </cell>
          <cell r="R2" t="str">
            <v>Rajni ( 14 Inch ) 14     Grass</v>
          </cell>
          <cell r="S2" t="str">
            <v>O Asiatic ( ( 14 inch ) 3     FF Sachet + Grass</v>
          </cell>
          <cell r="T2" t="str">
            <v>G n W Car ( 14 Inch ) 16     FF Sachet + Grass</v>
          </cell>
        </row>
        <row r="3">
          <cell r="A3">
            <v>3410</v>
          </cell>
          <cell r="B3" t="str">
            <v>Tarishka Gupta</v>
          </cell>
          <cell r="C3">
            <v>9870128711</v>
          </cell>
          <cell r="D3" t="str">
            <v>A1/804, Unitech The Residences</v>
          </cell>
          <cell r="E3" t="str">
            <v>Sohna Road 2</v>
          </cell>
          <cell r="F3" t="str">
            <v>Thursday</v>
          </cell>
          <cell r="G3" t="str">
            <v>4 PM to 7 PM</v>
          </cell>
          <cell r="H3">
            <v>1450</v>
          </cell>
          <cell r="I3">
            <v>362.5</v>
          </cell>
          <cell r="J3" t="str">
            <v>Bliss</v>
          </cell>
          <cell r="N3" t="str">
            <v>1  del of this cycle   -  0-cycles pmnt   Completed - Collect 0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 t="e">
            <v>#N/A</v>
          </cell>
          <cell r="T3" t="str">
            <v>G n W Car ( 14 Inch ) 16     FF Sachet + Grass</v>
          </cell>
        </row>
        <row r="4">
          <cell r="A4">
            <v>401</v>
          </cell>
          <cell r="B4" t="str">
            <v>Nameesha Verma -- Before 12PM</v>
          </cell>
          <cell r="C4">
            <v>9899240454</v>
          </cell>
          <cell r="D4" t="str">
            <v>D-4/102, Parsvanath Exotica</v>
          </cell>
          <cell r="E4" t="str">
            <v>DLF Phase 5</v>
          </cell>
          <cell r="F4" t="str">
            <v>Thursday</v>
          </cell>
          <cell r="G4" t="str">
            <v>Before 12 PM</v>
          </cell>
          <cell r="H4">
            <v>1600</v>
          </cell>
          <cell r="I4">
            <v>200</v>
          </cell>
          <cell r="J4" t="str">
            <v>Bloom</v>
          </cell>
          <cell r="K4" t="str">
    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    </cell>
          <cell r="M4" t="str">
            <v>3 Car extra next (20/03)</v>
          </cell>
          <cell r="N4" t="str">
            <v>6  del of this cycle   -  0-cycles pmnt   Completed - Collect 0</v>
          </cell>
          <cell r="O4" t="e">
            <v>#N/A</v>
          </cell>
          <cell r="P4" t="str">
            <v>P Spray Daisy ( 14 Inch ) 2     FF Sachet + Grass</v>
          </cell>
          <cell r="Q4" t="str">
            <v>Sunflower ( 12 Inch) 2     Grass</v>
          </cell>
          <cell r="R4" t="str">
            <v>P n W Car ( 14 Inch ) 7    Collect Payment FF Sachet + Grass</v>
          </cell>
          <cell r="S4" t="str">
            <v>Mix Alstroemeria ( 12Inch ) 7     FF Sachet + Grass</v>
          </cell>
          <cell r="T4" t="str">
            <v>Rajni ( 14 Inch ) 7     Grass</v>
          </cell>
        </row>
        <row r="5">
          <cell r="A5">
            <v>2761</v>
          </cell>
          <cell r="B5" t="str">
            <v>Gyan</v>
          </cell>
          <cell r="C5">
            <v>9560719191</v>
          </cell>
          <cell r="D5" t="str">
            <v>J7, 2nd Floor, Signature Global City, Sec 37 D</v>
          </cell>
          <cell r="E5" t="str">
            <v>Dwarka Expressway</v>
          </cell>
          <cell r="F5" t="str">
            <v>Thursday</v>
          </cell>
          <cell r="G5" t="str">
            <v>4 PM to 7 PM</v>
          </cell>
          <cell r="H5">
            <v>1450</v>
          </cell>
          <cell r="I5">
            <v>362.5</v>
          </cell>
          <cell r="J5" t="str">
            <v>Bliss</v>
          </cell>
          <cell r="K5" t="str">
            <v>Upgraded as per scheme to Bliss for 5 Deliveries (22/08) No delivered today-send tom (02/10) Skip 1 week (26/11) Skip 2 week (28/01) Skip 2 week (10/03) No Sunflower ( 17/06)</v>
          </cell>
          <cell r="L5" t="str">
            <v>Sunflower</v>
          </cell>
          <cell r="N5" t="str">
            <v>1  del of this cycle   -  1-cycles pmnt   Pending - Collect 1450</v>
          </cell>
          <cell r="O5" t="str">
            <v>Sunflower ( 12 Inch ) 2 P n W Glad ( 14 Inch ) 7   FF Sachet + Grass</v>
          </cell>
          <cell r="P5" t="str">
            <v>P Asiatic ( 14 Inch ) 2 Pur n P Car ( 14 Inch ) 7   Grass</v>
          </cell>
          <cell r="Q5" t="str">
            <v>Pur Eustoma ( 12 Inch ) 2 Rajni ( 14 Inch ) 7   FF Sachet + Grass</v>
          </cell>
          <cell r="R5" t="str">
            <v>Spray Daisy 3 B Daisy ( 12 Inch ) 7   FF Sachet + Grass</v>
          </cell>
          <cell r="S5" t="str">
            <v>O Asiatic ( ( 14 inch ) 2 Mix Car 7   Grass</v>
          </cell>
          <cell r="T5" t="str">
            <v>P Spray Daisy ( 14 Inch ) 3 P n W Glad ( 14 Inch ) 7   FF Sachet + Grass</v>
          </cell>
        </row>
        <row r="6">
          <cell r="A6">
            <v>2355</v>
          </cell>
          <cell r="B6" t="str">
            <v>Convinience Enterprises-Veena Anand</v>
          </cell>
          <cell r="C6">
            <v>9810031208</v>
          </cell>
          <cell r="D6" t="str">
            <v>307, Aralyas, DLF 5</v>
          </cell>
          <cell r="E6" t="str">
            <v>Golf Course Road</v>
          </cell>
          <cell r="F6" t="str">
            <v>Thursday</v>
          </cell>
          <cell r="G6" t="str">
            <v>By 10 AM</v>
          </cell>
          <cell r="H6">
            <v>2750</v>
          </cell>
          <cell r="I6">
            <v>687.5</v>
          </cell>
          <cell r="J6" t="str">
            <v>Corporate</v>
          </cell>
          <cell r="K6" t="str">
            <v>Skip this Thursday and send on Sunday (20/11)Hold and send on 12th Now (31/12) Do Not count last Del (02/07) Skip 1 week (10/09) Skip 2 week (18/05)</v>
          </cell>
          <cell r="N6" t="str">
            <v>3  del of this cycle   -  0-cycles pmnt   In Process - Collect 0</v>
          </cell>
          <cell r="O6" t="str">
            <v>Pur n P Car ( 14 inch ) 32     2 Limonium + FF Sachet</v>
          </cell>
          <cell r="P6" t="str">
            <v xml:space="preserve">O Asiatic ( 14 Inch ) 6     2 Gypsola </v>
          </cell>
          <cell r="Q6" t="e">
            <v>#N/A</v>
          </cell>
          <cell r="R6" t="e">
            <v>#N/A</v>
          </cell>
          <cell r="S6" t="str">
            <v>Rajni ( 14 Inch ) 32     2 Limonium</v>
          </cell>
          <cell r="T6" t="str">
            <v>P n Y Spray Daisy ( 14 Inch ) 10     2 Gypsola + FF Sachet</v>
          </cell>
        </row>
        <row r="7">
          <cell r="A7" t="str">
            <v>G-00066</v>
          </cell>
          <cell r="B7" t="str">
            <v>Aastha Vernma</v>
          </cell>
          <cell r="C7">
            <v>8581860035</v>
          </cell>
          <cell r="D7" t="str">
            <v>T-3/604, Takshila Heights, Sec 37 C</v>
          </cell>
          <cell r="E7" t="str">
            <v>Old Gurgaon</v>
          </cell>
          <cell r="F7" t="str">
            <v>Thursday</v>
          </cell>
          <cell r="G7" t="str">
            <v>4 PM to 7PM</v>
          </cell>
          <cell r="H7">
            <v>1450</v>
          </cell>
          <cell r="I7">
            <v>362.5</v>
          </cell>
          <cell r="J7" t="str">
            <v>Bliss</v>
          </cell>
          <cell r="K7" t="str">
            <v>From Srishti Verma</v>
          </cell>
          <cell r="N7" t="str">
            <v>1  del of this cycle   -  0-cycles pmnt   Completed - Collect 0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 t="e">
            <v>#N/A</v>
          </cell>
          <cell r="T7" t="str">
            <v>G n W Car ( 14 Inch ) 16     FF Sachet + Grass</v>
          </cell>
        </row>
        <row r="8">
          <cell r="A8">
            <v>326</v>
          </cell>
          <cell r="B8" t="str">
            <v>Radhika Surana-- Before 10</v>
          </cell>
          <cell r="C8">
            <v>9871132800</v>
          </cell>
          <cell r="D8" t="str">
            <v>1204, The Magnolias</v>
          </cell>
          <cell r="E8" t="str">
            <v>Golf Course Road</v>
          </cell>
          <cell r="F8" t="str">
            <v>Thursday</v>
          </cell>
          <cell r="G8" t="str">
            <v>9 AM - 12 PM</v>
          </cell>
          <cell r="H8">
            <v>2750</v>
          </cell>
          <cell r="I8">
            <v>687.5</v>
          </cell>
          <cell r="J8" t="str">
            <v>Elation</v>
          </cell>
          <cell r="K8" t="str">
    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    </cell>
          <cell r="L8" t="str">
            <v>BOP n ORCHID</v>
          </cell>
          <cell r="N8" t="str">
            <v>3  del of this cycle   -  1-cycles pmnt   Pending - Collect 5800</v>
          </cell>
          <cell r="O8" t="e">
            <v>#N/A</v>
          </cell>
          <cell r="P8" t="str">
            <v>Pur n P Car ( 14 inch ) 32     2 Gypsola + FF Sachet</v>
          </cell>
          <cell r="Q8" t="str">
            <v>P n W Glad ( 14 Inch ) 32     2 Limonium</v>
          </cell>
          <cell r="R8" t="str">
            <v>Pur n P Car ( 14 Inch ) 32     2 Gypsola</v>
          </cell>
          <cell r="S8" t="str">
            <v>P Asiatic ( 14 Inch ) 6  Gate Pass Wahab Ke Pass Hai Collect Payment Collect Payment 2 Limonium</v>
          </cell>
          <cell r="T8" t="str">
            <v>P n W Spray Daisy ( 14 Inch ) 10     2 Gypsola + FF Sachet</v>
          </cell>
        </row>
        <row r="9">
          <cell r="A9" t="str">
            <v>G-00036</v>
          </cell>
          <cell r="B9" t="str">
            <v>Aanchal Boora</v>
          </cell>
          <cell r="C9">
            <v>9654700022</v>
          </cell>
          <cell r="D9" t="str">
            <v>Flat - 1171, Ats Triumph, Wing B, Tower 1, 17th Floor, Sec 104</v>
          </cell>
          <cell r="E9" t="str">
            <v>Dwarka Expressway</v>
          </cell>
          <cell r="F9" t="str">
            <v>Thursday</v>
          </cell>
          <cell r="G9" t="str">
            <v>4 Pm to 7 PM</v>
          </cell>
          <cell r="H9">
            <v>1450</v>
          </cell>
          <cell r="I9">
            <v>362.5</v>
          </cell>
          <cell r="J9" t="str">
            <v>Bliss</v>
          </cell>
          <cell r="K9" t="str">
            <v>From Avni Ahuja // Skip tom (10/12) Paytm From Nitin Kunka // No Orchids (27/01) Skip 1 week (27/02) No Sunflowers (02/05)</v>
          </cell>
          <cell r="L9" t="str">
            <v xml:space="preserve">Orchid n Sunflowers </v>
          </cell>
          <cell r="M9" t="str">
            <v>One Kind</v>
          </cell>
          <cell r="N9" t="str">
            <v>4  del of this cycle   -  0-cycles pmnt   Completed - Collect 0</v>
          </cell>
          <cell r="O9" t="e">
            <v>#N/A</v>
          </cell>
          <cell r="P9" t="e">
            <v>#N/A</v>
          </cell>
          <cell r="Q9" t="e">
            <v>#N/A</v>
          </cell>
          <cell r="R9" t="str">
            <v>P Asiatic ( 14 Inch ) 3    Collect Payment Grass</v>
          </cell>
          <cell r="S9" t="str">
            <v>Rajni ( 14 Inch ) 16     Grass</v>
          </cell>
          <cell r="T9" t="str">
            <v>P n Y Spray Daisy ( 14 Inch ) 5     FF Sachet + Grass</v>
          </cell>
        </row>
        <row r="10">
          <cell r="A10">
            <v>2024</v>
          </cell>
          <cell r="B10" t="str">
            <v>Priyanka Katyal</v>
          </cell>
          <cell r="C10">
            <v>9958565556</v>
          </cell>
          <cell r="D10" t="str">
            <v>1487, Saraswati Kunj, Sector 53</v>
          </cell>
          <cell r="E10" t="str">
            <v>DLF Phase 5</v>
          </cell>
          <cell r="F10" t="str">
            <v>Thursday</v>
          </cell>
          <cell r="G10" t="str">
            <v>9 AM - 12 PM</v>
          </cell>
          <cell r="H10">
            <v>1950</v>
          </cell>
          <cell r="I10">
            <v>487.5</v>
          </cell>
          <cell r="J10" t="str">
            <v>Joy</v>
          </cell>
          <cell r="K10" t="str">
            <v>Sunday n Thursday//NO Oriental and Guldawari (29/12) Paytm From Sanjay Katyal (28/03) Hold till 8th June-- she will confirm the package (24/05)' Shift to felicity// Today hold --send tom (09/07) Lilies Tom (08/11) Paytm From Ace Promoters and Developers Pvt. Ltd (26/01) Send Replacement tom (17/02) Skip 1 week (10/07) Couldn't deliver due to water logging-send on sunday (29/08) Paytm from Sanjay Katyal (20/10) Skip 2 week (21/05) Hold till 13th Aiug (26/07) Premium Flwer extra Next (09/01)</v>
          </cell>
          <cell r="L10" t="str">
            <v>ORIENTAL n GULDAWARI</v>
          </cell>
          <cell r="M10" t="str">
            <v>Premium Flwer extra Next (09/01)</v>
          </cell>
          <cell r="N10" t="str">
            <v>1  del of this cycle   -  1-cycles pmnt   Pending - Collect 1950</v>
          </cell>
          <cell r="O10" t="str">
            <v>P n W Glad ( 14 Inch ) 22     Grass</v>
          </cell>
          <cell r="P10" t="str">
            <v>P n W Spray Daisy ( 14 Inch ) 7     FF Sachet + Grass</v>
          </cell>
          <cell r="Q10" t="str">
            <v>O Asiatic ( 14 Inch ) 4     Grass</v>
          </cell>
          <cell r="R10" t="str">
            <v>P n W Car ( 14 Inch ) 22     FF Sachet + Grass</v>
          </cell>
          <cell r="S10" t="str">
            <v>Rajni ( 14 Inch ) 22     Grass</v>
          </cell>
          <cell r="T10" t="str">
            <v>Mix Alstroemeria ( 12 Inch ) 22     FF Sachet + Grass</v>
          </cell>
        </row>
        <row r="11">
          <cell r="A11">
            <v>1181</v>
          </cell>
          <cell r="B11" t="str">
            <v>Parul Sharma --Elation</v>
          </cell>
          <cell r="C11">
            <v>8800895944</v>
          </cell>
          <cell r="D11" t="str">
            <v>Villa-27, The Legend</v>
          </cell>
          <cell r="E11" t="str">
            <v>Artemis</v>
          </cell>
          <cell r="F11" t="str">
            <v>Thursday</v>
          </cell>
          <cell r="G11" t="str">
            <v>9 AM to 2 PM</v>
          </cell>
          <cell r="H11">
            <v>1950</v>
          </cell>
          <cell r="I11">
            <v>487.5</v>
          </cell>
          <cell r="J11" t="str">
            <v>Joy</v>
          </cell>
          <cell r="K11" t="str">
            <v>Tuesday and Thursday//Change day to Thursday(21/12) Car Next(18/01) NO ORCHIDS(20/01) Car Next(02/02) Sending on 20th instaed of 21st,bcoz of Holi(18/03) Today FF Sent(11/04) Paytm from ritu Kaur(12/04) Send replacement(12/04) Send Special Pack(08/05) Received payment of special pack(10/05) Hold n start from 2nd week of july(04/060 Inform Before sending(01/07) Start from next week(10/07) Sending on 14th instrad of 15th Aug(13/08) Today Hold-send tom(26/09) Send double del tom(23/10) R car Tom(15/01) Send Replacement tom(27/02) Hold n start from 3rd week of April(18/03) NO Rose n NO Orchids----Send R Car Next(21/12) Rajnigandha Next(12/01) Replace ment next and send Flower food(10/04) Recvd 250 from Gpay(15/07) Return-not at home(14/09) Shift to Elation(18/10) Skip 1 week(27/06) Hold n start from July (12/06) Hold due to non Payment (15/01) Paytm From Vinay Deopujari (26/02)</v>
          </cell>
          <cell r="M11" t="str">
            <v>Before 11:30 AM</v>
          </cell>
          <cell r="N11" t="str">
            <v>2  del of this cycle   -  1-cycles pmnt   Pending - Collect 1950</v>
          </cell>
          <cell r="O11" t="str">
            <v>Pur n P Eustoma ( 12 Inch ) 4     FF Sachet + Grass</v>
          </cell>
          <cell r="P11" t="str">
            <v>P n Y Spray Daisy ( 14 Inch ) 7     FF Sachet + Grass</v>
          </cell>
          <cell r="Q11" t="str">
            <v>P n W Car ( 14 inch ) 22     FF Sachet + Grass</v>
          </cell>
          <cell r="R11" t="str">
            <v>Sunflower ( 12 Inch ) 5     FF Sachet + Grass</v>
          </cell>
          <cell r="S11" t="str">
            <v>W Asiatic ( 14 Inch ) 4     Grass</v>
          </cell>
          <cell r="T11" t="str">
            <v>Mix Alstroemeria ( 12 Inch ) 22     FF Sachet + Grass</v>
          </cell>
        </row>
        <row r="12">
          <cell r="A12">
            <v>14</v>
          </cell>
          <cell r="B12" t="str">
            <v>Ms. Neelam Bhalla </v>
          </cell>
          <cell r="C12">
            <v>9810546046</v>
          </cell>
          <cell r="D12" t="str">
            <v>H4, 4th Floor, Olive Residency, Mayfield Garden, Sec 57</v>
          </cell>
          <cell r="E12" t="str">
            <v>Artemis</v>
          </cell>
          <cell r="F12" t="str">
            <v>Thursday</v>
          </cell>
          <cell r="G12" t="str">
            <v>9 AM - 12 PM</v>
          </cell>
          <cell r="H12">
            <v>1950</v>
          </cell>
          <cell r="I12">
            <v>487.5</v>
          </cell>
          <cell r="J12" t="str">
            <v>Joy</v>
          </cell>
          <cell r="K12" t="str">
            <v>No Glad (19/05) Pls send Daisy in next del with Asiatic(11/12)  Orchids Next(26/06) Send Gerbera Next with Flower Food902/07)  Orchids next(21/11)  Oriental next(20/03) Y Spray Daisy tom(25/03) Only 1 kind of flowers now(20/05) S NO GLAD n BOP (30/12) Today returned-send tom (21/01) Skip 2 weeks (27/01) Send 1 Flower Food next (13/06) Skip 1 week (06/07) Skip 1 week (20/08) Aster in Del (19/10) Hold today -send tom (03/11) Skip 1 week (01/02) Skip 1 week (29/02) Hold till 1st July (15/06) Skip 1 week (24/07) Skip 29th (26/11) Skip tom (23/01) Skip tom (27/02) Skip 1 week (11/03) Skip 1 week (17/06) Skip 1 week (20/01) Skip 1 week (04/02) Skip thursday (24/02) Skip 1 week (16/06)</v>
          </cell>
          <cell r="L12" t="str">
            <v>GLAD n BOP n GERBERA</v>
          </cell>
          <cell r="N12" t="str">
            <v>1  del of this cycle   -  1-cycles pmnt   Pending - Collect 1950</v>
          </cell>
          <cell r="O12" t="str">
            <v>Pur n P Eustoma ( 12 Inch ) 4     FF Sachet + Grass</v>
          </cell>
          <cell r="P12" t="e">
            <v>#N/A</v>
          </cell>
          <cell r="Q12" t="str">
            <v>Pur n P Eustoma ( 12 Inch ) 4     FF Sachet + Grass</v>
          </cell>
          <cell r="R12" t="str">
            <v>Sunflower ( 12 Inch ) 5     FF Sachet + Grass</v>
          </cell>
          <cell r="S12" t="str">
            <v>Rajni ( 14 Inch ) 22     Grass</v>
          </cell>
          <cell r="T12" t="str">
            <v>G n W Car ( 14 Inch ) 22     FF Sachet + Grass</v>
          </cell>
        </row>
        <row r="13">
          <cell r="A13">
            <v>2294</v>
          </cell>
          <cell r="B13" t="str">
            <v>Sonal Verma</v>
          </cell>
          <cell r="C13">
            <v>9711499808</v>
          </cell>
          <cell r="D13" t="str">
            <v>H. No. 19, 1st Floor, Cedar Crest</v>
          </cell>
          <cell r="E13" t="str">
            <v>Nirvana Country</v>
          </cell>
          <cell r="F13" t="str">
            <v>Thursday</v>
          </cell>
          <cell r="G13" t="str">
            <v>9 AM - 12 PM</v>
          </cell>
          <cell r="H13">
            <v>1450</v>
          </cell>
          <cell r="I13">
            <v>362.5</v>
          </cell>
          <cell r="J13" t="str">
            <v>Bliss</v>
          </cell>
          <cell r="K13" t="str">
            <v>Skip 1 week (11/03) Skip 1 week (21/05) Pls skip 1 week (18/06) Sent one del today (10/12) Hold due to non payment (29/01) Hold due to non payment (04/02) HDTNP (19/02) HDTNP (26/02) HDTNP (21/05) HDTNP (28/05) HDTNP (04/06) HDTNP (11/06) HDTNP (18/06) HDTNP (25/06) HDTNP (02/07) Paytm From Sandeep Verma (09/07)</v>
          </cell>
          <cell r="N13" t="str">
            <v>3  del of this cycle   -  0-cycles pmnt   Completed - Collect 0</v>
          </cell>
          <cell r="O13" t="e">
            <v>#N/A</v>
          </cell>
          <cell r="P13" t="e">
            <v>#N/A</v>
          </cell>
          <cell r="Q13" t="e">
            <v>#N/A</v>
          </cell>
          <cell r="R13" t="str">
            <v xml:space="preserve">Collect Rs 725 Carry Reciept Book     </v>
          </cell>
          <cell r="S13" t="str">
            <v xml:space="preserve">Collect 725  Carry Receipt Bookl     </v>
          </cell>
          <cell r="T13" t="str">
            <v>G n W Car ( 14 Inch ) 16     FF Sachet + Grass</v>
          </cell>
        </row>
        <row r="14">
          <cell r="A14">
            <v>1998</v>
          </cell>
          <cell r="B14" t="str">
            <v>Shivani Katyal</v>
          </cell>
          <cell r="C14">
            <v>9811053756</v>
          </cell>
          <cell r="D14" t="str">
            <v>H. No. 1486, Sarsawati Kunj</v>
          </cell>
          <cell r="E14" t="str">
            <v>DLF Phase 5</v>
          </cell>
          <cell r="F14" t="str">
            <v>Thursday</v>
          </cell>
          <cell r="G14" t="str">
            <v>9:30 Am to 2 PM</v>
          </cell>
          <cell r="H14">
            <v>1950</v>
          </cell>
          <cell r="I14">
            <v>487.5</v>
          </cell>
          <cell r="J14" t="str">
            <v>Joy</v>
          </cell>
          <cell r="K14" t="str">
            <v>Rose//Orchid//Asiatic//Anthurium//Heliconia//BOP (28/10) NO Guldawari n Anthurium (09/02) Paytm From Manish K M K (08/09) Paytm from Manish Katyal // Gpay From Palak Katyal (22/03) No Glad Also (18/04) Couldn't deliver due to watrelogging--send on Sunday (29/08) Skip n send on sunday (01/10)</v>
          </cell>
          <cell r="L14" t="str">
            <v>GULDAWARI n ANTHURIUM n GLAD</v>
          </cell>
          <cell r="N14" t="str">
            <v>2  del of this cycle   -  0-cycles pmnt   CompletedNO COLLECTION-we have extra money - Collect -100</v>
          </cell>
          <cell r="O14" t="str">
            <v>Pur n P Car ( 14 inch ) 22     FF Sachet + Grass</v>
          </cell>
          <cell r="P14" t="str">
            <v>Mix Alstroemeria ( 12 Inch ) 22     FF Sachet + Grass</v>
          </cell>
          <cell r="Q14" t="str">
            <v>P n W Spray Daisy 7     FF Sachet + Grass</v>
          </cell>
          <cell r="R14" t="str">
            <v>P Asiatic ( 14 Inch ) 4     Grass</v>
          </cell>
          <cell r="S14" t="str">
            <v>Rajni ( 14 Inch ) 22     Grass</v>
          </cell>
          <cell r="T14" t="str">
            <v>G n W Car ( 14 Inch ) 22     FF Sachet + Grass</v>
          </cell>
        </row>
        <row r="15">
          <cell r="A15">
            <v>2774</v>
          </cell>
          <cell r="B15" t="str">
            <v>Vandana Thakran</v>
          </cell>
          <cell r="C15">
            <v>9899589964</v>
          </cell>
          <cell r="D15" t="str">
            <v>H. No. 35, Cedar Crest</v>
          </cell>
          <cell r="E15" t="str">
            <v>Nirvana Country</v>
          </cell>
          <cell r="F15" t="str">
            <v>Sunday</v>
          </cell>
          <cell r="G15" t="str">
            <v>9 AM - 12 PM</v>
          </cell>
          <cell r="H15">
            <v>1600</v>
          </cell>
          <cell r="I15">
            <v>200</v>
          </cell>
          <cell r="J15" t="str">
            <v>Bloom</v>
          </cell>
          <cell r="N15" t="str">
            <v>6  del of this cycle   -  0-cycles pmnt   Completed - Collect 0</v>
          </cell>
          <cell r="O15" t="str">
            <v>Sunflower ( 12 Inch ) 2     FF Sachet + Grass</v>
          </cell>
          <cell r="P15" t="str">
            <v>Pur n P Car ( 14 inch ) 7     FF Sachet + Grass</v>
          </cell>
          <cell r="Q15" t="str">
            <v>P n W Glad ( 14 Inch ) 7     Grass</v>
          </cell>
          <cell r="R15" t="str">
            <v>Rajni ( 14 Inch ) 7     Grass</v>
          </cell>
          <cell r="S15" t="str">
            <v>P n W Car ( 14 Inch ) 7     FF Sachet + Grass</v>
          </cell>
          <cell r="T15" t="str">
            <v>Mix Alstroemeria ( 12 Inch ) 7     FF Sachet + Grass</v>
          </cell>
        </row>
        <row r="16">
          <cell r="A16">
            <v>3273</v>
          </cell>
          <cell r="B16" t="str">
            <v>Sharmishtha Jhulka</v>
          </cell>
          <cell r="C16">
            <v>9810010615</v>
          </cell>
          <cell r="D16" t="str">
            <v>817-B, The Camelias</v>
          </cell>
          <cell r="E16" t="str">
            <v>Golf Course Road</v>
          </cell>
          <cell r="F16" t="str">
            <v>Thursday</v>
          </cell>
          <cell r="G16" t="str">
            <v>9 AM to 2 PM</v>
          </cell>
          <cell r="H16">
            <v>5800</v>
          </cell>
          <cell r="I16">
            <v>1450</v>
          </cell>
          <cell r="J16" t="str">
            <v>Customized</v>
          </cell>
          <cell r="K16" t="str">
            <v>send on 19th, 26th Mar, 23rd April and may 26 // Now start from 18th June (15/05) 10 Asiatic Lilies // 20 Spray Daisies // 10 Sunflowers// 10 Eustoma Pack (20/05) No Sunflowers ( 02/07) 6 Bright Oriental Next (09/07)</v>
          </cell>
          <cell r="L16" t="str">
            <v>Sunflower</v>
          </cell>
          <cell r="M16" t="str">
            <v>Bright 6 P Orientel Next (09/07)</v>
          </cell>
          <cell r="N16" t="str">
            <v>4  del of this cycle   -  0-cycles pmnt   Completed - Collect 0</v>
          </cell>
          <cell r="O16" t="e">
            <v>#N/A</v>
          </cell>
          <cell r="P16" t="str">
            <v xml:space="preserve">P n Y Spray Daisy ( 14 Inch ) 20     </v>
          </cell>
          <cell r="Q16" t="str">
            <v>O n W Asiatic ( 14 Inch ) 10     3 Areca Palm + 2 Limonium</v>
          </cell>
          <cell r="R16" t="str">
            <v>Sunflower ( 12 Inch ) 10     2 Gypsola</v>
          </cell>
          <cell r="S16" t="str">
            <v xml:space="preserve">P n W Spray Daisy ( 14 Inch ) 10     </v>
          </cell>
          <cell r="T16" t="str">
            <v>Semi Bloom P Oriental 6     3 Limonium</v>
          </cell>
        </row>
        <row r="17">
          <cell r="A17">
            <v>3107</v>
          </cell>
          <cell r="B17" t="str">
            <v>Richa -- Icon</v>
          </cell>
          <cell r="C17">
            <v>9811394916</v>
          </cell>
          <cell r="D17" t="str">
            <v>B-173, the Icon</v>
          </cell>
          <cell r="E17" t="str">
            <v>DLF Phase 5</v>
          </cell>
          <cell r="F17" t="str">
            <v>Thursday</v>
          </cell>
          <cell r="G17" t="str">
            <v>10 AM to 2:30 PM</v>
          </cell>
          <cell r="H17">
            <v>1450</v>
          </cell>
          <cell r="I17">
            <v>362.5</v>
          </cell>
          <cell r="J17" t="str">
            <v>Bliss</v>
          </cell>
          <cell r="K17" t="str">
            <v>Paytm From Ankit Gupta (01/11) Skip 08th and 15th Jan (16/12) Hold till 16th Jan (19/12) Skip 1 week (12/02) Skip 1 week (11/03) Skip 1 week (01/04) Hold n strat from 02nd July (28/05)</v>
          </cell>
          <cell r="N17" t="str">
            <v>3  del of this cycle   -  0-cycles pmnt   Completed - Collect 0</v>
          </cell>
          <cell r="O17" t="e">
            <v>#N/A</v>
          </cell>
          <cell r="P17" t="e">
            <v>#N/A</v>
          </cell>
          <cell r="Q17" t="e">
            <v>#N/A</v>
          </cell>
          <cell r="R17" t="str">
            <v>Pur n P Car ( 14 Inch ) 16     FF Sachet + Grass</v>
          </cell>
          <cell r="S17" t="str">
            <v>P Asiatic ( 14 Inch ) 3     Grass</v>
          </cell>
          <cell r="T17" t="str">
            <v>P n W Glad ( 14 Inch ) 16     Grass</v>
          </cell>
        </row>
        <row r="18">
          <cell r="A18">
            <v>2307</v>
          </cell>
          <cell r="B18" t="str">
            <v>Alpna Jain</v>
          </cell>
          <cell r="C18">
            <v>9599336609</v>
          </cell>
          <cell r="D18" t="str">
            <v>C-64, The Icon</v>
          </cell>
          <cell r="E18" t="str">
            <v>DLF Phase 5</v>
          </cell>
          <cell r="F18" t="str">
            <v>Thursday</v>
          </cell>
          <cell r="G18" t="str">
            <v>10 AM to 2:30 PM</v>
          </cell>
          <cell r="H18">
            <v>3000</v>
          </cell>
          <cell r="I18">
            <v>375</v>
          </cell>
          <cell r="J18" t="str">
            <v>Charm</v>
          </cell>
          <cell r="K18" t="str">
            <v>Thursday n Sunday // Hold today (08/02) Keep flowers outside of Door (17/05)</v>
          </cell>
          <cell r="M18" t="str">
            <v>Keep flowers outside of door always</v>
          </cell>
          <cell r="N18" t="str">
            <v>8  del of this cycle   -  0-cycles pmnt   Completed - Collect 0</v>
          </cell>
          <cell r="O18" t="str">
            <v>Sunflower ( 12 Inch ) 4 Leave Outside of door-- Don’t Call and Don’t Ring Bell    FF Sachet + Grass</v>
          </cell>
          <cell r="P18" t="str">
            <v>Pur n P Eustoma ( 12 Inch ) 4 Leave Outside of door -- Don’t call n don’t ring bell    FF Sachet + Grass</v>
          </cell>
          <cell r="Q18" t="str">
            <v>Pur n P Car ( 14 Inch ) 15 Keep Flowers at door-- Don’t call or don’t ring Bell    FF Sachet + Grass</v>
          </cell>
          <cell r="R18" t="str">
            <v>B Daisy ( 12 Inch ) 15    Collect Payment Grass</v>
          </cell>
          <cell r="S18" t="str">
            <v>Sunflower ( 12 Inch ) 3 Keep Flowers at Door -- Don’t call or Ring the bell    FF Sachet + Grass</v>
          </cell>
          <cell r="T18" t="str">
            <v>P n Y Spray Daisy ( 14 Inch ) 4 Pls Keep at door -- Don’t Call 0r Ring Bell    FF Sachet + Grass</v>
          </cell>
        </row>
        <row r="19">
          <cell r="A19">
            <v>2502</v>
          </cell>
          <cell r="B19" t="str">
            <v>Amrita Sarup</v>
          </cell>
          <cell r="C19">
            <v>7028026940</v>
          </cell>
          <cell r="D19" t="str">
            <v>D1/802, Experion Heartsong, Sec 108</v>
          </cell>
          <cell r="E19" t="str">
            <v>Dwarka Expressway</v>
          </cell>
          <cell r="F19" t="str">
            <v>Thursday</v>
          </cell>
          <cell r="G19" t="str">
            <v>4 Pm to 7 PM</v>
          </cell>
          <cell r="H19">
            <v>1450</v>
          </cell>
          <cell r="I19">
            <v>362.5</v>
          </cell>
          <cell r="J19" t="str">
            <v>Bliss</v>
          </cell>
          <cell r="K19" t="str">
            <v>No Asiatic n Spray Daisy // Today Hold (14/08) Replacement tom (04/12) No Orchid (11/12) No BOP n Orchid (12/12) Today Returned -send on Sunday (18/12) Returned today (01/01/26) Next 3 Deliveries with Premium (11/.04)</v>
          </cell>
          <cell r="L19" t="str">
            <v>BOP n Orchid</v>
          </cell>
          <cell r="M19" t="str">
            <v>Next 3 Deliveries with Premium (11/.04)</v>
          </cell>
          <cell r="N19" t="str">
            <v>3  del of this cycle   -  0-cycles pmnt   Completed - Collect 0</v>
          </cell>
          <cell r="O19" t="e">
            <v>#N/A</v>
          </cell>
          <cell r="P19" t="e">
            <v>#N/A</v>
          </cell>
          <cell r="Q19" t="e">
            <v>#N/A</v>
          </cell>
          <cell r="R19" t="str">
            <v>Pur n P Car ( 14 Inch ) 16     FF Sachet + Grass</v>
          </cell>
          <cell r="S19" t="str">
            <v>O Asiatic ( ( 14 inch ) 3     Grass</v>
          </cell>
          <cell r="T19" t="str">
            <v>Mix Car ( 14 Inch ) 16     Grass</v>
          </cell>
        </row>
        <row r="20">
          <cell r="A20">
            <v>3241</v>
          </cell>
          <cell r="B20" t="str">
            <v>Sunanda</v>
          </cell>
          <cell r="C20">
            <v>8800994226</v>
          </cell>
          <cell r="D20" t="str">
            <v>C-084, The Icon</v>
          </cell>
          <cell r="E20" t="str">
            <v>DLF Phase 5</v>
          </cell>
          <cell r="F20" t="str">
            <v>Thursday</v>
          </cell>
          <cell r="G20" t="str">
            <v>9 AM - 12 PM</v>
          </cell>
          <cell r="H20">
            <v>1450</v>
          </cell>
          <cell r="I20">
            <v>362.5</v>
          </cell>
          <cell r="J20" t="str">
            <v>Bliss</v>
          </cell>
          <cell r="K20" t="str">
            <v>One Kind // Skip 1 week (13/01) HDTNP (26/02) HDTNP (04/03) HDTNP (12/03)</v>
          </cell>
          <cell r="M20" t="str">
            <v>One Kind</v>
          </cell>
          <cell r="N20" t="str">
            <v>4  del of this cycle   -  0-cycles pmnt   Completed - Collect 0</v>
          </cell>
          <cell r="O20" t="str">
            <v>Pur Eustoma ( 12 Inch ) 3     FF Sachet + Grass</v>
          </cell>
          <cell r="P20" t="str">
            <v>Pur n P Car ( 14 inch ) 16     FF Sachet + Grass</v>
          </cell>
          <cell r="Q20" t="str">
            <v>O Asiatic ( 14 Inch ) 3     Grass</v>
          </cell>
          <cell r="R20" t="str">
            <v>Sunflower ( 12 Inch ) 4    Collect Payment FF Sachet + Grass</v>
          </cell>
          <cell r="S20" t="str">
            <v>Rajni ( 14 Inch ) 16     Grass</v>
          </cell>
          <cell r="T20" t="str">
            <v>P n Y Spray Daisy ( 14 Inch ) 5     FF Sachet + Grass</v>
          </cell>
        </row>
        <row r="21">
          <cell r="A21">
            <v>2076</v>
          </cell>
          <cell r="B21" t="str">
            <v>Divya Jain Midas</v>
          </cell>
          <cell r="C21">
            <v>9910172233</v>
          </cell>
          <cell r="D21" t="str">
            <v>Midas Touch, 1st Floor, A Block, Nirvana Courtyard</v>
          </cell>
          <cell r="E21" t="str">
            <v>Nirvana Country</v>
          </cell>
          <cell r="F21" t="str">
            <v>Thursday</v>
          </cell>
          <cell r="G21" t="str">
            <v>9 AM - 12 PM</v>
          </cell>
          <cell r="H21">
            <v>1450</v>
          </cell>
          <cell r="I21">
            <v>362.5</v>
          </cell>
          <cell r="J21" t="str">
            <v>Bliss</v>
          </cell>
          <cell r="K21" t="str">
    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    </cell>
          <cell r="N21" t="str">
            <v>4  del of this cycle   -  0-cycles pmnt   CompletedNO COLLECTION-we have extra money - Collect -50</v>
          </cell>
          <cell r="O21" t="str">
            <v>P n Y Spray Daisy ( 14 Inch ) 5     FF Sachet + Grass</v>
          </cell>
          <cell r="P21" t="str">
            <v>Sunflower ( 12 Inch ) 4     FF Sachet + Grass</v>
          </cell>
          <cell r="Q21" t="str">
            <v>Pur Eustoma ( 12 Inch ) 3     FF Sachet + Grass</v>
          </cell>
          <cell r="R21" t="str">
            <v>O Asiatic ( 14 Inch ) 3     Grass</v>
          </cell>
          <cell r="S21" t="str">
            <v>Rajni ( 14 Inch ) 16     Grass</v>
          </cell>
          <cell r="T21" t="str">
            <v>G n W Car ( 14 Inch ) 16     FF Sachet + Grass</v>
          </cell>
        </row>
        <row r="22">
          <cell r="A22">
            <v>2779</v>
          </cell>
          <cell r="B22" t="str">
            <v>Riddhi Desai</v>
          </cell>
          <cell r="C22">
            <v>8130497969</v>
          </cell>
          <cell r="D22" t="str">
            <v>D-71, The Icon</v>
          </cell>
          <cell r="E22" t="str">
            <v>Golf Course Road</v>
          </cell>
          <cell r="F22" t="str">
            <v>Sunday</v>
          </cell>
          <cell r="G22" t="str">
            <v>9 AM to 2 PM</v>
          </cell>
          <cell r="H22">
            <v>1600</v>
          </cell>
          <cell r="I22">
            <v>200</v>
          </cell>
          <cell r="J22" t="str">
            <v>Bloom</v>
          </cell>
          <cell r="K22" t="str">
            <v>Send this week on Saturday (14/08) Skip 1 week (21/12) Hold till 2nd June (20/05)</v>
          </cell>
          <cell r="N22" t="str">
            <v>2  del of this cycle   -  0-cycles pmnt   Completed - Collect 0</v>
          </cell>
          <cell r="O22" t="str">
            <v>Y Spray Daisy ( 14 Inch ) 2     Grass</v>
          </cell>
          <cell r="P22" t="str">
            <v>Sunflower ( 12 Inch ) 2     FF Sachet + Grass</v>
          </cell>
          <cell r="Q22" t="str">
            <v>Rajni ( 14 Inch ) 7     Grass</v>
          </cell>
          <cell r="R22" t="str">
            <v>Pur n P Car ( 14 Inch ) 7     FF Sachet + Grass</v>
          </cell>
          <cell r="S22" t="str">
            <v>P Spray Daisy ( 14 Inch ) 2     FF Sachet + Grass</v>
          </cell>
          <cell r="T22" t="str">
            <v>P n W Glad ( 14 Inch ) 7     Grass</v>
          </cell>
        </row>
        <row r="23">
          <cell r="A23">
            <v>2246</v>
          </cell>
          <cell r="B23" t="str">
            <v>Amita Gupta</v>
          </cell>
          <cell r="C23">
            <v>9811985450</v>
          </cell>
          <cell r="D23" t="str">
            <v>146, Cedar Crest</v>
          </cell>
          <cell r="E23" t="str">
            <v>Nirvana Country</v>
          </cell>
          <cell r="F23" t="str">
            <v>Thursday</v>
          </cell>
          <cell r="G23" t="str">
            <v>9 AM - 12 PM</v>
          </cell>
          <cell r="H23">
            <v>1600</v>
          </cell>
          <cell r="I23">
            <v>200</v>
          </cell>
          <cell r="J23" t="str">
            <v>Bloom</v>
          </cell>
          <cell r="K23" t="str">
            <v>Return today (03/10) Change to bliss (23/10) No Orchid (24/10) Send a vase tom (20/08) Upgrade to bliss (17/12)</v>
          </cell>
          <cell r="L23" t="str">
            <v>Orchid</v>
          </cell>
          <cell r="M23" t="str">
            <v>1 Vase Tom (20/08)</v>
          </cell>
          <cell r="N23" t="str">
            <v>5  del of this cycle   -  0-cycles pmnt   Completed - Collect 0</v>
          </cell>
          <cell r="O23" t="str">
            <v>Pur n P Car ( 14 inch ) 7     FF Sachet + Grass</v>
          </cell>
          <cell r="P23" t="str">
            <v>Sunflower ( 12 Inch ) 2     FF Sachet + Grass</v>
          </cell>
          <cell r="Q23" t="str">
            <v>P n W Glad ( 14 Inch ) 7     Grass</v>
          </cell>
          <cell r="R23" t="str">
            <v>P n W Car ( 14 Inch ) 7     FF Sachet + Grass</v>
          </cell>
          <cell r="S23" t="str">
            <v>Sunflower ( 12 Inch ) 2     FF Sachet + Grass</v>
          </cell>
          <cell r="T23" t="str">
            <v>P n W Glad ( 14 Inch ) 7     Grass</v>
          </cell>
        </row>
        <row r="24">
          <cell r="A24">
            <v>3247</v>
          </cell>
          <cell r="B24" t="str">
            <v>V P Singh</v>
          </cell>
          <cell r="C24">
            <v>9717986555</v>
          </cell>
          <cell r="D24" t="str">
            <v>WT04/701, Experion Windchantsm Sec 112</v>
          </cell>
          <cell r="E24" t="str">
            <v>Dwarka Expressway</v>
          </cell>
          <cell r="F24" t="str">
            <v>Thursday</v>
          </cell>
          <cell r="G24" t="str">
            <v>4 Pm to 7 PM</v>
          </cell>
          <cell r="H24">
            <v>1450</v>
          </cell>
          <cell r="I24">
            <v>362.5</v>
          </cell>
          <cell r="J24" t="str">
            <v>Bliss</v>
          </cell>
          <cell r="K24" t="str">
            <v>Paytm From Vijay Pratap Singh</v>
          </cell>
          <cell r="N24" t="str">
            <v>4  del of this cycle   -  0-cycles pmnt   Completed - Collect 0</v>
          </cell>
          <cell r="O24" t="str">
            <v>P n W Glad ( 14 Inch ) 16     Grass</v>
          </cell>
          <cell r="P24" t="str">
            <v>Sunflower ( 12 Inch ) 4 With Bouquet in Morning Pls With Bouquet in Morning Pls With Bouquet in Morning Pls  FF Sachet + Grass</v>
          </cell>
          <cell r="Q24" t="str">
            <v>Pur Eustoma ( 12 Inch ) 3     FF Sachet + Grass</v>
          </cell>
          <cell r="R24" t="str">
            <v>O Asiatic ( 14 Inch ) 3     Grass</v>
          </cell>
          <cell r="S24" t="str">
            <v>Rajni ( 14 Inch ) 16     Grass</v>
          </cell>
          <cell r="T24" t="str">
            <v>G n W Car ( 14 Inch ) 16     FF Sachet + Grass</v>
          </cell>
        </row>
        <row r="25">
          <cell r="A25">
            <v>2037</v>
          </cell>
          <cell r="B25" t="str">
            <v>Sharwan Chopra</v>
          </cell>
          <cell r="C25">
            <v>9971066995</v>
          </cell>
          <cell r="D25" t="str">
            <v>A-223, The Belaire</v>
          </cell>
          <cell r="E25" t="str">
            <v>Golf Course Road</v>
          </cell>
          <cell r="F25" t="str">
            <v>Thursday</v>
          </cell>
          <cell r="G25" t="str">
            <v>10 AM to 2:30 PM</v>
          </cell>
          <cell r="H25">
            <v>1950</v>
          </cell>
          <cell r="I25">
            <v>487.5</v>
          </cell>
          <cell r="J25" t="str">
            <v>Joy</v>
          </cell>
          <cell r="K25" t="str">
            <v>NO Car (15/02) Skip 3 Weeks (12/06) Skip 1 week (28/12) Hold all deliveries till 1st July (12/06) Skip 25th Dec (23/12) Hold due to non payment (29/01) Returned today (04/06) Skip 1 week (16/06)</v>
          </cell>
          <cell r="L25" t="str">
            <v>CAR</v>
          </cell>
          <cell r="N25" t="str">
            <v>3  del of this cycle   -  0-cycles pmnt   Completed - Collect 0</v>
          </cell>
          <cell r="O25" t="str">
            <v>P n W Glad ( 14 Inch ) 22     Grass</v>
          </cell>
          <cell r="P25" t="e">
            <v>#N/A</v>
          </cell>
          <cell r="Q25" t="str">
            <v>Pur n P Eustoma ( 12 Inch ) 4     FF Sachet + Grass</v>
          </cell>
          <cell r="R25" t="str">
            <v>Rajni ( 14 Inch ) 22     Grass</v>
          </cell>
          <cell r="S25" t="str">
            <v>O Asiatic ( ( 14 inch ) 4     Grass</v>
          </cell>
          <cell r="T25" t="str">
            <v>P n W Spray Daisy ( 14 Inch ) 7     FF Sachet + Grass</v>
          </cell>
        </row>
        <row r="26">
          <cell r="A26">
            <v>1438</v>
          </cell>
          <cell r="B26" t="str">
            <v>Aishwarya G Aiyar</v>
          </cell>
          <cell r="C26">
            <v>9884857311</v>
          </cell>
          <cell r="D26" t="str">
            <v>A-173, The Pinnacle</v>
          </cell>
          <cell r="E26" t="str">
            <v>DLF Phase 5</v>
          </cell>
          <cell r="F26" t="str">
            <v>Thursday</v>
          </cell>
          <cell r="G26" t="str">
            <v>9 AM - 12 PM</v>
          </cell>
          <cell r="H26">
            <v>1600</v>
          </cell>
          <cell r="I26">
            <v>200</v>
          </cell>
          <cell r="J26" t="str">
            <v>Bloom</v>
          </cell>
          <cell r="K26" t="str">
    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    </cell>
          <cell r="N26" t="str">
            <v>5  del of this cycle   -  0-cycles pmnt   Completed - Collect 0</v>
          </cell>
          <cell r="O26" t="str">
            <v>P n W Glad ( 14 Inch ) 7     Grass</v>
          </cell>
          <cell r="P26" t="e">
            <v>#N/A</v>
          </cell>
          <cell r="Q26" t="str">
            <v>P n W Car ( 14 inch ) 7     FF Sachet + Grass</v>
          </cell>
          <cell r="R26" t="str">
            <v>P n W Glad ( 14 Inch ) 7     Grass</v>
          </cell>
          <cell r="S26" t="str">
            <v>Rajni ( 14 Inch ) 7   Collect Payment Collect Payment Grass</v>
          </cell>
          <cell r="T26" t="str">
            <v>Y Spray Daisy ( 14 Inch ) 2     FF Sachet + Grass</v>
          </cell>
        </row>
        <row r="27">
          <cell r="A27">
            <v>58</v>
          </cell>
          <cell r="B27" t="str">
            <v>Ms. Anupma Chandna</v>
          </cell>
          <cell r="C27">
            <v>8130077970</v>
          </cell>
          <cell r="D27" t="str">
            <v>32, aspen greens, nirvana</v>
          </cell>
          <cell r="E27" t="str">
            <v>Nirvana Country</v>
          </cell>
          <cell r="F27" t="str">
            <v>Thursday</v>
          </cell>
          <cell r="G27" t="str">
            <v>9 AM - 12 PM</v>
          </cell>
          <cell r="H27">
            <v>1950</v>
          </cell>
          <cell r="I27">
            <v>487.5</v>
          </cell>
          <cell r="J27" t="str">
            <v>Joy</v>
          </cell>
          <cell r="K27" t="str">
            <v>No Rose // Hold n start from 04th Dec (03/11) No Greens</v>
          </cell>
          <cell r="L27" t="str">
            <v>Rose</v>
          </cell>
          <cell r="M27" t="str">
            <v>No Greens</v>
          </cell>
          <cell r="N27" t="str">
            <v>2  del of this cycle   -  0-cycles pmnt   Completed - Collect 30</v>
          </cell>
          <cell r="O27" t="str">
            <v>Pur Eustoma ( 12 Inch ) 3 P n W Glad ( 14 Inch ) 11   FF Sachet + Grass</v>
          </cell>
          <cell r="P27" t="str">
            <v>Sunflower ( 12 Inch ) 3 Pur n P Car ( 14 Inch ) 11   FF Sachet + Grass</v>
          </cell>
          <cell r="Q27" t="str">
            <v>P Asiatic ( 14 Inch ) 2 B Daisy ( 12 Inch ) 11   Grass</v>
          </cell>
          <cell r="R27" t="str">
            <v>P n Y Spray Daisy ( 14 Inch ) 5 Rajni ( 14 Inch ) 16   FF Sachet + Grass</v>
          </cell>
          <cell r="S27" t="str">
            <v>BOP ( 15 Inch ) 2 Mix Alstroemeria ( 12 Inch ) 11   FF Sachet + Grass</v>
          </cell>
          <cell r="T27" t="str">
            <v>O Asiatic ( 14 Inch ) 2 G n W Car ( 14 Inch ) 11   Grass</v>
          </cell>
        </row>
        <row r="28">
          <cell r="A28">
            <v>3270</v>
          </cell>
          <cell r="B28" t="str">
            <v>Tanya Sharma</v>
          </cell>
          <cell r="C28">
            <v>7022251818</v>
          </cell>
          <cell r="D28" t="str">
            <v>T-8/202, Chintel Serenity, Sec 109</v>
          </cell>
          <cell r="E28" t="str">
            <v>Dwarka Expressway</v>
          </cell>
          <cell r="F28" t="str">
            <v>Thursday</v>
          </cell>
          <cell r="G28" t="str">
            <v>4 Pm to 7 PM</v>
          </cell>
          <cell r="H28">
            <v>1950</v>
          </cell>
          <cell r="I28">
            <v>487.5</v>
          </cell>
          <cell r="J28" t="str">
            <v>Joy</v>
          </cell>
          <cell r="K28" t="str">
            <v>No Yellow wn Purple // no Rajni (02/02) No ALstroemeria and do not count last del(19/06) Pls Don’t count last del (26/06)</v>
          </cell>
          <cell r="L28" t="str">
            <v>Rajni n Alstroemeria</v>
          </cell>
          <cell r="M28" t="str">
            <v>No Yellow wn Purple // Stock Next (02/03)</v>
          </cell>
          <cell r="N28" t="str">
            <v>1  del of this cycle   -  1-cycles pmnt   Pending - Collect 1950</v>
          </cell>
          <cell r="O28" t="str">
            <v>G n W Spray Daisy ( 14 Inch ) 4 P n W Car ( 14 Inch ) 11   FF Sachet + Grass</v>
          </cell>
          <cell r="P28" t="str">
            <v>P Eustoma ( 12 Inch ) 2 Mix Alstroemeria ( 12 inch )  11   FF Sachet + Grass</v>
          </cell>
          <cell r="Q28" t="str">
            <v>O Asiatic ( 14 Inch ) 2 Rajni ( 14 Inch ) 11   Grass</v>
          </cell>
          <cell r="R28" t="str">
            <v>P n Y Spray Daisy ( 14 Inch ) 4 P n W Glad ( 14 Inch ) 11   FF Sachet + Grass</v>
          </cell>
          <cell r="S28" t="str">
            <v>P Asiatic ( 14 Inch ) 2 P n W Car ( 14 Inch ) 11   Grass</v>
          </cell>
          <cell r="T28" t="str">
            <v>Asiatic  2 Mix Car ( 12 Inch ) 11   FF Sachet + Grass</v>
          </cell>
        </row>
        <row r="29">
          <cell r="A29">
            <v>849</v>
          </cell>
          <cell r="B29" t="str">
            <v>Shalini Sharma</v>
          </cell>
          <cell r="C29">
            <v>7838500808</v>
          </cell>
          <cell r="D29" t="str">
            <v>208, Espace</v>
          </cell>
          <cell r="E29" t="str">
            <v>Nirvana Country</v>
          </cell>
          <cell r="F29" t="str">
            <v>Thursday</v>
          </cell>
          <cell r="G29" t="str">
            <v>9:30 Am to 2 PM</v>
          </cell>
          <cell r="H29">
            <v>1450</v>
          </cell>
          <cell r="I29">
            <v>362.5</v>
          </cell>
          <cell r="J29" t="str">
            <v>Bliss</v>
          </cell>
          <cell r="K29" t="str">
            <v>W n R Car Tom(25/04)  GERBERA NEXT(16/09) NO ORCHIDS(24/01)  Sent a replacement today(17/04) Ros enext (26/11) NO GULDAWARI n ORCHIDS ()6/01) Skip 1 week (05/01) Replacement tom (12/02) Send Tom and skip 30th Mar (25/03) Replacement tom (06/07) Will Pick on 30th -- Dont Send on 02nd Nov (28/10) Send this week del on tuesday 925/01) Send W Asiatic on 11th this week instead of 15th Feb (08/02) Skip 1 week (14/03) Lilies Next (20/05) Hold after current cycle (04/12) Four plus 1 Pack //</v>
          </cell>
          <cell r="L29" t="str">
            <v>GULDAWARI n ORCHID</v>
          </cell>
          <cell r="M29" t="str">
            <v>Lilies Next (20/05)</v>
          </cell>
          <cell r="N29" t="str">
            <v>1  del of this cycle   -  1-cycles pmnt   Pending - Collect 1450</v>
          </cell>
          <cell r="O29" t="str">
            <v>P Asiatic ( 14 Inch )  3     Grass</v>
          </cell>
          <cell r="P29" t="str">
            <v>P n Y Spray Daisy ( 14 Inch ) 5     FF Sachet + Grass</v>
          </cell>
          <cell r="Q29" t="str">
            <v>Pur n P Car ( 14 Inch ) 16  Collect Payment Collect Payment Collect Payment FF Sachet + Grass</v>
          </cell>
          <cell r="R29" t="str">
            <v>Sunflower ( 12 Inch ) 4     FF Sachet + Grass</v>
          </cell>
          <cell r="S29" t="str">
            <v>Rajni ( 14 Inch ) 16     Grass</v>
          </cell>
          <cell r="T29" t="str">
            <v>O Asiatic ( 14 Inch ) 3     Grass</v>
          </cell>
        </row>
        <row r="30">
          <cell r="A30">
            <v>1656</v>
          </cell>
          <cell r="B30" t="str">
            <v>Eva-Pinnacle</v>
          </cell>
          <cell r="C30">
            <v>9560609907</v>
          </cell>
          <cell r="D30" t="str">
            <v>C-93, The Pinnacle</v>
          </cell>
          <cell r="E30" t="str">
            <v>DLF Phase 5</v>
          </cell>
          <cell r="F30" t="str">
            <v>Thursday</v>
          </cell>
          <cell r="G30" t="str">
            <v>9:30 Am to 2 PM</v>
          </cell>
          <cell r="H30">
            <v>1450</v>
          </cell>
          <cell r="I30">
            <v>362.5</v>
          </cell>
          <cell r="J30" t="str">
            <v>Bliss</v>
          </cell>
          <cell r="K30" t="str">
            <v>Paytm From Arvind Pachhapur(24/02) 750 pack-- Car//Guldawari//Rajni//Orchid//Asiatic(23/03) Hold today and send next6 week(14/04) Hold n start from 19th June(16/06) Skip 1 week (05/01) Received one more payment today (26/01) Payment was in process (20/03) Skip 1 week (28/06) Skip 1 week (29/06) Skip 3 week (21/05)</v>
          </cell>
          <cell r="N30" t="str">
            <v>2  del of this cycle   -  0-cycles pmnt   Completed - Collect 0</v>
          </cell>
          <cell r="O30" t="str">
            <v>Pur n P Car ( 14 inch ) 9     Grass</v>
          </cell>
          <cell r="P30" t="str">
            <v>Sunflower ( 12 Inch ) 2     FF Sachet + Grass</v>
          </cell>
          <cell r="Q30" t="str">
            <v>Rajni ( 14 Inch ) 9     Grass</v>
          </cell>
          <cell r="R30" t="str">
            <v>O Asiatic ( 14 Inch ) 2     Grass</v>
          </cell>
          <cell r="S30" t="e">
            <v>#N/A</v>
          </cell>
          <cell r="T30" t="str">
            <v>O Asiatic ( 14 Inch ) 3     Grass</v>
          </cell>
        </row>
        <row r="31">
          <cell r="A31">
            <v>870</v>
          </cell>
          <cell r="B31" t="str">
            <v>Himabindu Kanchan</v>
          </cell>
          <cell r="C31">
            <v>9892501292</v>
          </cell>
          <cell r="D31" t="str">
            <v xml:space="preserve">D -13, Pinnacle Dlf Phase - 5 </v>
          </cell>
          <cell r="E31" t="str">
            <v>DLF Phase 5</v>
          </cell>
          <cell r="F31" t="str">
            <v>Thursday</v>
          </cell>
          <cell r="G31" t="str">
            <v>9 AM - 12 PM</v>
          </cell>
          <cell r="H31">
            <v>1600</v>
          </cell>
          <cell r="I31">
            <v>200</v>
          </cell>
          <cell r="J31" t="str">
            <v>Bloom</v>
          </cell>
          <cell r="K31" t="str">
    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    </cell>
          <cell r="N31" t="str">
            <v>8  del of this cycle   -  0-cycles pmnt   Completed - Collect 0</v>
          </cell>
          <cell r="O31" t="str">
            <v>Pur n P Car ( 14 inch ) 7     FF Sachet + Grass</v>
          </cell>
          <cell r="P31" t="str">
            <v>Sunflower ( 12 Inch ) 2     FF Sachet + Grass</v>
          </cell>
          <cell r="Q31" t="str">
            <v>Rajni ( 14 Inch ) 7     Grass</v>
          </cell>
          <cell r="R31" t="str">
            <v>P n W Car ( 14 Inch ) 7     FF Sachet + Grass</v>
          </cell>
          <cell r="S31" t="str">
            <v>Y Spray Daisy ( 14 Inch ) 2     FF Sachet + Grass</v>
          </cell>
          <cell r="T31" t="str">
            <v>Sunflower ( 12 Inch ) 2     FF Sachet + Grass</v>
          </cell>
        </row>
        <row r="32">
          <cell r="A32">
            <v>2118</v>
          </cell>
          <cell r="B32" t="str">
            <v>Shantanu</v>
          </cell>
          <cell r="C32">
            <v>8800631116</v>
          </cell>
          <cell r="D32" t="str">
            <v>172, 1st Floor, Espace</v>
          </cell>
          <cell r="E32" t="str">
            <v>Nirvana Country</v>
          </cell>
          <cell r="F32" t="str">
            <v>Saturday</v>
          </cell>
          <cell r="G32" t="str">
            <v>9 AM - 12 PM</v>
          </cell>
          <cell r="H32">
            <v>6880</v>
          </cell>
          <cell r="I32">
            <v>1720</v>
          </cell>
          <cell r="J32" t="str">
            <v>Customized</v>
          </cell>
          <cell r="K32" t="str">
            <v>2 Asiatic + 1 Oriental + 1 Sunflower + 10 Guldawari + 10 Roses + 8 Spray Daisy + 10 Stems from Seasonal 0r Nargis ( 07/02) Yesterday Returned (23/02) 2 Asiatic + 1 Oriental + 1 Sunflower + 10 Guldawari + 10 car + 6 Spray Daisy + Seasonal Flower of Rs . 250 (04/03) Today returned-send on 3rd (28/06) No Flowers till 31st Oct (22/10) Today Returned (16/11)</v>
          </cell>
          <cell r="N32" t="str">
            <v>3  del of this cycle   -  1-cycles pmnt   Pending - Collect 6880</v>
          </cell>
          <cell r="O32" t="str">
            <v>P Asiatic + W Oriental + Sunflower  + Glad  + Pur n P Car + P n Y Spray Daisy + Mix Alstroemeria 2 + 1 + 1 + 10 + 10 + 6 + 5     4 Areca Palm + 2 Gypsola + 2 Limonium</v>
          </cell>
          <cell r="P32" t="e">
            <v>#N/A</v>
          </cell>
          <cell r="Q32" t="str">
            <v>O Asiatic + P Oriental + Glad + P n W Car + G n Y Spray Daisy + Mix Alstroemeria 2 + 1 + 10 + 10 + 6 + 5     4 Areca Palm + 2 Gypsola + 2 Limonium</v>
          </cell>
          <cell r="R32" t="e">
            <v>#N/A</v>
          </cell>
          <cell r="S32" t="e">
            <v>#N/A</v>
          </cell>
          <cell r="T32" t="str">
            <v>O Asiatic + P Oriental + Sunflower + Mix Glad + G n W Car + P n W Spray Daisy + Mix Alstroemeria 2 + 1 + 1 + 10 + 10 + 6 + 6 Pls Check With us before sending Pls Check With us before sending   5 Areca Palm + 2 Gypsola + 2 Limonium</v>
          </cell>
        </row>
        <row r="33">
          <cell r="A33">
            <v>2359</v>
          </cell>
          <cell r="B33" t="str">
            <v>Roshni Achpal</v>
          </cell>
          <cell r="C33">
            <v>9711170252</v>
          </cell>
          <cell r="D33" t="str">
            <v>A-102, Belaire</v>
          </cell>
          <cell r="H33">
            <v>1450</v>
          </cell>
          <cell r="J33" t="str">
            <v>Bliss</v>
          </cell>
          <cell r="T33" t="str">
            <v>G n W Car ( 14 Inch ) 16     FF Sachet + Grass</v>
          </cell>
        </row>
        <row r="34">
          <cell r="A34" t="str">
            <v>B56465</v>
          </cell>
          <cell r="B34" t="str">
            <v>Anju Sandhu</v>
          </cell>
          <cell r="C34">
            <v>9997124824</v>
          </cell>
          <cell r="D34" t="str">
            <v>A-402, Connoisseur , Twin Tower, Sec 43</v>
          </cell>
          <cell r="E34" t="str">
            <v>DLF Phase 5</v>
          </cell>
          <cell r="F34" t="str">
            <v>Thursday</v>
          </cell>
          <cell r="G34" t="str">
            <v>By 10:30 AM</v>
          </cell>
          <cell r="H34">
            <v>2100</v>
          </cell>
          <cell r="I34">
            <v>2100</v>
          </cell>
          <cell r="J34" t="str">
            <v>Bouquet</v>
          </cell>
          <cell r="K34" t="str">
            <v>6 P Oriental</v>
          </cell>
          <cell r="T34" t="str">
            <v>P Oriental 6     2 Gypsola</v>
          </cell>
        </row>
        <row r="35">
          <cell r="A35">
            <v>571</v>
          </cell>
          <cell r="B35" t="str">
            <v>Mrs. Singh</v>
          </cell>
          <cell r="C35">
            <v>9873099320</v>
          </cell>
          <cell r="D35" t="str">
            <v>D 42, pinnacle, Dlf ph 5, Golf course road</v>
          </cell>
          <cell r="E35" t="str">
            <v>DLF Phase 5</v>
          </cell>
          <cell r="F35" t="str">
            <v>Thursday</v>
          </cell>
          <cell r="G35" t="str">
            <v>9 AM - 12 PM</v>
          </cell>
          <cell r="H35">
            <v>1600</v>
          </cell>
          <cell r="I35">
            <v>200</v>
          </cell>
          <cell r="J35" t="str">
            <v>Bloom</v>
          </cell>
          <cell r="K35" t="str">
            <v>Thursday n Sunday//Send 3 stems extra in next del(09/10)Return-send Friday(01/01/19) NO CAR(05/06) 1 stick extra next week(11/06) Paytm from Sharad Kumar(13/08) Return-send next week(02/10) Send Tom instead of this week with gerbera(19/10) Return-send next week(31/12) SENDING ON 9TH DUE TO HOLI (08/03) Send on 4th (03/10) Return today (23/10) Do not count last delivery (22/04) Hold ans start after 10th (02/08)</v>
          </cell>
          <cell r="N35" t="str">
            <v>2  del of this cycle   -  1-cycles pmnt   Pending - Collect 1600</v>
          </cell>
          <cell r="O35" t="str">
            <v>Pur n P Car ( 14 inch ) 7     FF Sachet + Grass</v>
          </cell>
          <cell r="P35" t="str">
            <v>Sunflower ( 12 Inch ) 2     FF Sachet + Grass</v>
          </cell>
          <cell r="Q35" t="str">
            <v>P n W Glad ( 14 Inch ) 7     Grass</v>
          </cell>
          <cell r="R35" t="str">
            <v>P n W Car ( 14 Inch ) 7     FF Sachet + Grass</v>
          </cell>
          <cell r="S35" t="str">
            <v>O Asiatic ( ( 14 inch ) 2     Grass</v>
          </cell>
          <cell r="T35" t="str">
            <v>P n W Glad ( 14 Inch ) 7     Grass</v>
          </cell>
        </row>
        <row r="36">
          <cell r="A36">
            <v>2250</v>
          </cell>
          <cell r="B36" t="str">
            <v>Saloni Gupta</v>
          </cell>
          <cell r="C36">
            <v>9810796682</v>
          </cell>
          <cell r="D36" t="str">
            <v>338, 3rd Floor, Espace</v>
          </cell>
          <cell r="E36" t="str">
            <v>Nirvana Country</v>
          </cell>
          <cell r="F36" t="str">
            <v>Sunday</v>
          </cell>
          <cell r="G36" t="str">
            <v>9 AM - 12 PM</v>
          </cell>
          <cell r="H36">
            <v>3088</v>
          </cell>
          <cell r="I36">
            <v>386</v>
          </cell>
          <cell r="J36" t="str">
            <v>Cutsomized-Biweekly</v>
          </cell>
          <cell r="K36" t="str">
    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</v>
          </cell>
          <cell r="N36" t="str">
            <v>7  del of this cycle   -  0-cycles pmnt   Completed - Collect 0</v>
          </cell>
          <cell r="O36" t="e">
            <v>#N/A</v>
          </cell>
          <cell r="P36" t="e">
            <v>#N/A</v>
          </cell>
          <cell r="Q36" t="str">
            <v>W Asiatic ( 14 Inch ) 3     Grass</v>
          </cell>
          <cell r="R36" t="str">
            <v>O Asiatic ( 14 Inch ) 3     Grass</v>
          </cell>
          <cell r="S36" t="str">
            <v>P Asiatic ( 14 Inch ) 2     Grass</v>
          </cell>
          <cell r="T36" t="str">
            <v>O Asiatic ( 14 Inch ) 3     Grass</v>
          </cell>
        </row>
        <row r="37">
          <cell r="A37">
            <v>2665</v>
          </cell>
          <cell r="B37" t="str">
            <v>Shaivya Rai</v>
          </cell>
          <cell r="C37">
            <v>9532096763</v>
          </cell>
          <cell r="D37" t="str">
            <v>4221, ATS Kocoon, Sec 109</v>
          </cell>
          <cell r="E37" t="str">
            <v>Dwarka Expressway</v>
          </cell>
          <cell r="F37" t="str">
            <v>Thursday</v>
          </cell>
          <cell r="G37" t="str">
            <v>4 Pm to 7 PM</v>
          </cell>
          <cell r="H37">
            <v>999</v>
          </cell>
          <cell r="I37">
            <v>249.75</v>
          </cell>
          <cell r="J37" t="str">
            <v>Delight</v>
          </cell>
          <cell r="K37" t="str">
            <v>Received on 25th Aug (25/07) HDTNP (11/06) HDTNP (18/06) HDTNP (25/06)</v>
          </cell>
          <cell r="N37" t="str">
            <v>4  del of this cycle   -  0-cycles pmnt   Completed - Collect 0</v>
          </cell>
          <cell r="O37" t="e">
            <v>#N/A</v>
          </cell>
          <cell r="P37" t="e">
            <v>#N/A</v>
          </cell>
          <cell r="Q37" t="e">
            <v>#N/A</v>
          </cell>
          <cell r="R37" t="str">
            <v xml:space="preserve">Collect 250 n Close      </v>
          </cell>
          <cell r="S37" t="str">
            <v>Pur n P Car ( 14 Inch ) 9     FF Sachet + Grass</v>
          </cell>
          <cell r="T37" t="str">
            <v>P Asiatic ( 14 Inch ) 2     Grass</v>
          </cell>
        </row>
        <row r="38">
          <cell r="A38">
            <v>2104</v>
          </cell>
          <cell r="B38" t="str">
            <v>Arun Gupta</v>
          </cell>
          <cell r="C38">
            <v>9999072697</v>
          </cell>
          <cell r="D38" t="str">
            <v>C-22m Arc Stationary</v>
          </cell>
          <cell r="E38" t="str">
            <v>Nirvana Country</v>
          </cell>
          <cell r="F38" t="str">
            <v>Thursday</v>
          </cell>
          <cell r="G38" t="str">
            <v>9 AM to 2 PM</v>
          </cell>
          <cell r="H38">
            <v>400</v>
          </cell>
          <cell r="I38">
            <v>100</v>
          </cell>
          <cell r="J38" t="str">
            <v>Customized</v>
          </cell>
          <cell r="K38" t="str">
            <v>4 Flowers at both Shop</v>
          </cell>
          <cell r="N38" t="str">
            <v>3  del of this cycle   -  0-cycles pmnt   In Process - Collect 0</v>
          </cell>
          <cell r="O38" t="str">
            <v>Broken Flowers  5 1 Shop    Grass</v>
          </cell>
          <cell r="P38" t="str">
            <v xml:space="preserve">      </v>
          </cell>
          <cell r="Q38" t="str">
            <v xml:space="preserve">Broken Flowers  5 1 Shop    </v>
          </cell>
          <cell r="R38" t="str">
            <v xml:space="preserve">Broken Flowers  5     </v>
          </cell>
          <cell r="S38" t="str">
            <v xml:space="preserve">Broken Flowers  5 1 Shop    </v>
          </cell>
          <cell r="T38" t="str">
            <v xml:space="preserve">Broken Flowers  5 1 Shop    </v>
          </cell>
        </row>
        <row r="39">
          <cell r="A39" t="str">
            <v>B56454</v>
          </cell>
          <cell r="B39" t="str">
            <v>Sharmishtha Jhulka</v>
          </cell>
          <cell r="C39">
            <v>9810010615</v>
          </cell>
          <cell r="D39" t="str">
            <v>817-B, The Camelias</v>
          </cell>
          <cell r="E39" t="str">
            <v>Golf Course Road</v>
          </cell>
          <cell r="F39" t="str">
            <v>Thursday</v>
          </cell>
          <cell r="G39" t="str">
            <v>9 AM to 2 PM</v>
          </cell>
          <cell r="H39">
            <v>2150</v>
          </cell>
          <cell r="I39">
            <v>2150</v>
          </cell>
          <cell r="J39" t="str">
            <v>Bouquet</v>
          </cell>
          <cell r="K39" t="str">
            <v>2 Oriental + 1 Pack Mogra + 4 BOP + 6 Lotus</v>
          </cell>
          <cell r="N39" t="str">
            <v>1  del of this cycle   -  1-cycles pmnt   Pending - Collect 2150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str">
            <v>Srmi Bloom P Oriental + Mogra + BOP + Lotus 2 + 100 Gm + 4 + 6     2 Limonium</v>
          </cell>
        </row>
        <row r="40">
          <cell r="A40">
            <v>396</v>
          </cell>
          <cell r="B40" t="str">
            <v>Dr. Deepa Gupta</v>
          </cell>
          <cell r="C40">
            <v>8860079525</v>
          </cell>
          <cell r="D40" t="str">
            <v>Mayom Hospital, D block south city 1</v>
          </cell>
          <cell r="E40" t="str">
            <v>South City 1</v>
          </cell>
          <cell r="F40" t="str">
            <v>Thursday</v>
          </cell>
          <cell r="G40" t="str">
            <v>4 PM to 7 PM</v>
          </cell>
          <cell r="H40">
            <v>1450</v>
          </cell>
          <cell r="I40">
            <v>362.5</v>
          </cell>
          <cell r="J40" t="str">
            <v>Corporate</v>
          </cell>
          <cell r="K40" t="str">
            <v>1 del Missed(07/10) Return-send next week(31/12) Send replacement of Gerbera(30/10) Send on Monday this week(20/03) Return- hold package(08/07) Today returned-send next week(02/06) HDTNP (19/02)</v>
          </cell>
          <cell r="N40" t="str">
            <v>3  del of this cycle   -  0-cycles pmnt   In Process - Collect 0</v>
          </cell>
          <cell r="O40" t="str">
            <v>P n W Glad ( 14 Inch ) 16     Grass</v>
          </cell>
          <cell r="P40" t="str">
            <v>Pur n P Car ( 14 inch ) 16     FF Sachet + Grass</v>
          </cell>
          <cell r="Q40" t="str">
            <v>Rajni ( 14 Inch ) 16     Grass</v>
          </cell>
          <cell r="R40" t="str">
            <v>P n W Glad ( 14 Inch ) 16     Grass</v>
          </cell>
          <cell r="S40" t="str">
            <v>P n W Car ( 14 Inch ) 16     FF Sachet + Grass</v>
          </cell>
          <cell r="T40" t="str">
            <v>Rajni ( 14 Inch ) 16     Grass</v>
          </cell>
        </row>
        <row r="41">
          <cell r="A41">
            <v>3212</v>
          </cell>
          <cell r="B41" t="str">
            <v>Sheeba Rana</v>
          </cell>
          <cell r="C41">
            <v>9958849523</v>
          </cell>
          <cell r="D41" t="str">
            <v>T-14/1202, The Close North</v>
          </cell>
          <cell r="E41" t="str">
            <v>Nirvana Country</v>
          </cell>
          <cell r="F41" t="str">
            <v>Thursday</v>
          </cell>
          <cell r="G41" t="str">
            <v>4 Pm to 7 PM</v>
          </cell>
          <cell r="H41">
            <v>1450</v>
          </cell>
          <cell r="I41">
            <v>1450</v>
          </cell>
          <cell r="J41" t="str">
            <v>Bliss</v>
          </cell>
          <cell r="K41" t="str">
            <v>Skip 1 week (31/12)</v>
          </cell>
          <cell r="N41" t="str">
            <v>4  del of this cycle   -  0-cycles pmnt   Completed - Collect 0</v>
          </cell>
          <cell r="O41" t="str">
            <v>P n W Glad ( 14 Inch ) 9     Gras</v>
          </cell>
          <cell r="P41" t="str">
            <v>P Asiatic ( 14 Inch ) 2     Grass</v>
          </cell>
          <cell r="Q41" t="str">
            <v>Pur n P Car ( 14 Inch ) 16     FF Sachet + Grass</v>
          </cell>
          <cell r="R41" t="str">
            <v>P n Y Spray Daisy ( 14 Inch ) 5     FF Sachet + Grass</v>
          </cell>
          <cell r="S41" t="str">
            <v>Rajni ( 14 Inch ) 16     Grass</v>
          </cell>
          <cell r="T41" t="str">
            <v>O Asiatic 2     Grass</v>
          </cell>
        </row>
        <row r="42">
          <cell r="A42">
            <v>203</v>
          </cell>
          <cell r="B42" t="str">
            <v>Alok divatia -- After 10 AM</v>
          </cell>
          <cell r="C42">
            <v>9819355743</v>
          </cell>
          <cell r="D42" t="str">
            <v>BLC 263, 26th Floor, Tower C, The Belaire</v>
          </cell>
          <cell r="E42" t="str">
            <v>Golf Course Road</v>
          </cell>
          <cell r="F42" t="str">
            <v>Thursday</v>
          </cell>
          <cell r="G42" t="str">
            <v>9 AM - 12 PM</v>
          </cell>
          <cell r="H42">
            <v>8648</v>
          </cell>
          <cell r="I42">
            <v>2162</v>
          </cell>
          <cell r="J42" t="str">
            <v>Customized</v>
          </cell>
          <cell r="K42" t="str">
    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    </cell>
          <cell r="N42" t="str">
            <v>3  del of this cycle   -  0-cycles pmnt   Completed - Collect 0</v>
          </cell>
          <cell r="O42" t="str">
            <v xml:space="preserve">P n W Asiatic ( 14 Inch ) 14 Pur n P Car ( 14 inch ) 24   </v>
          </cell>
          <cell r="P42" t="str">
            <v xml:space="preserve">O n P Asiatic ( 14 Inch ) 14 P n W Car ( 14 Inch ) 24   </v>
          </cell>
          <cell r="Q42" t="str">
            <v>O n W Asiatic ( 14 Inch ) 14 R n P Car ( 14 Inch ) 24   4 Areca Palm + 2 Gypsola + 2 Limonim</v>
          </cell>
          <cell r="R42" t="str">
            <v>Y n P Asiatic ( 14 Inch ) 14 Pur n W Car ( 14 Inch ) 24   4 Areca Palm + 2 Gypsola + 2 Limonium</v>
          </cell>
          <cell r="S42" t="str">
            <v xml:space="preserve">O n W Asiatic ( 14 inch ) 14 P n W Car ( 14 Inch ) 24   </v>
          </cell>
          <cell r="T42" t="str">
            <v>O n P Asiatic  ( 14 Inch ) 14 G n W Car ( 14 Inch ) 24   4 Areca Palm + 2 Gypsola + 2 Limonium</v>
          </cell>
        </row>
        <row r="43">
          <cell r="A43">
            <v>888</v>
          </cell>
          <cell r="B43" t="str">
            <v>Ankita Mehta</v>
          </cell>
          <cell r="C43">
            <v>9868169896</v>
          </cell>
          <cell r="D43" t="str">
            <v>1B-71, Wellington Estate</v>
          </cell>
          <cell r="E43" t="str">
            <v>DLF Phase 5</v>
          </cell>
          <cell r="F43" t="str">
            <v>Thursday</v>
          </cell>
          <cell r="G43" t="str">
            <v>9 AM - 12 PM</v>
          </cell>
          <cell r="H43">
            <v>1450</v>
          </cell>
          <cell r="I43">
            <v>362.5</v>
          </cell>
          <cell r="J43" t="str">
            <v>Bliss</v>
          </cell>
          <cell r="K43" t="str">
    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 Skip 1 week (03/07)</v>
          </cell>
          <cell r="L43" t="str">
            <v xml:space="preserve">SPRAY DAISY n GULDAWARI </v>
          </cell>
          <cell r="M43" t="str">
            <v>Change to Deligh next (30/01)</v>
          </cell>
          <cell r="N43" t="str">
            <v>4  del of this cycle   -  0-cycles pmnt   Completed - Collect 0</v>
          </cell>
          <cell r="O43" t="str">
            <v>Sunflower ( 12 Inch ) 2     Grass</v>
          </cell>
          <cell r="P43" t="str">
            <v>Mix Alstroemeria ( 12 Inch ) 16     FF Sachet + Grass</v>
          </cell>
          <cell r="Q43" t="str">
            <v>P n W Glad ( 14 Inch ) 16  Collect Payment Collect Payment Collect Payment Grass</v>
          </cell>
          <cell r="R43" t="str">
            <v>P Asiatic ( 14 Inch ) 3     Grass</v>
          </cell>
          <cell r="S43" t="e">
            <v>#N/A</v>
          </cell>
          <cell r="T43" t="str">
            <v>G n W Car ( 14 Inch ) 16     FF Sachet + Grass</v>
          </cell>
        </row>
        <row r="44">
          <cell r="A44">
            <v>221</v>
          </cell>
          <cell r="B44" t="str">
            <v>Convinience Enterprises-Sonali anand</v>
          </cell>
          <cell r="C44">
            <v>9810524040</v>
          </cell>
          <cell r="D44" t="str">
            <v>E-243 belaire apartments</v>
          </cell>
          <cell r="E44" t="str">
            <v>Golf Course Road</v>
          </cell>
          <cell r="F44" t="str">
            <v>Thursday</v>
          </cell>
          <cell r="G44" t="str">
            <v>9 AM - 12 PM</v>
          </cell>
          <cell r="H44">
            <v>2750</v>
          </cell>
          <cell r="I44">
            <v>687.5</v>
          </cell>
          <cell r="J44" t="str">
            <v>Corporate</v>
          </cell>
          <cell r="K44" t="str">
            <v>No Roses (21/06) Pls send red glad to her in next del(07/07) Never send Glad(13/07)  Skip 1 week(01/06) Collect cheque tom(10/06) Send Replacement tom(23/06) Skip this week(23/08) Skip 1 week (16/11) Skip this week and send on 8th (27/12) Don’t send on 9th-send on 13th (07/02) Skip this week and send on Tuesday(26/02) Due to Mar end Cycle broken (20/03) Hold today send on sunday (06/04) Skip 1 week (09/05) Hold till 26th June (07/06) Skip 1 week (24/10) Skip 2 week (21/11) Skip 2 week (02/01) Skip 1 week (26/03) Skip Tom (22/05) No Flowers till 9th July (23/06) Skip 1 week (04/11) Hold n sned on 12th now (31/12) Hold n start from // Skip 1 week (19/08) Skip this thursday and send on sunday (12/11) Skip 1 week (30/03) Next del on 21st and then every thursday (08/06)</v>
          </cell>
          <cell r="N44" t="str">
            <v>1  del of this cycle   -  0-cycles pmnt   In Process - Collect 0</v>
          </cell>
          <cell r="O44" t="e">
            <v>#N/A</v>
          </cell>
          <cell r="P44" t="e">
            <v>#N/A</v>
          </cell>
          <cell r="Q44" t="e">
            <v>#N/A</v>
          </cell>
          <cell r="R44" t="str">
            <v xml:space="preserve">P Asiatic ( 14 Inch ) 6     </v>
          </cell>
          <cell r="S44" t="str">
            <v>R n W Car ( 14 Inch ) 32     2 Limonium + FF Sachet</v>
          </cell>
          <cell r="T44" t="str">
            <v>P n Y Spray Daisy ( 14 Inch ) 10     2 Gypsola + FF Sachet</v>
          </cell>
        </row>
        <row r="45">
          <cell r="A45">
            <v>922</v>
          </cell>
          <cell r="B45" t="str">
            <v>Dr. Deepa Gupta</v>
          </cell>
          <cell r="C45">
            <v>8860079525</v>
          </cell>
          <cell r="D45" t="str">
            <v>Mayom Hospital, D block south city 1</v>
          </cell>
          <cell r="E45" t="str">
            <v>South City 1</v>
          </cell>
          <cell r="F45" t="str">
            <v>Thursday</v>
          </cell>
          <cell r="G45" t="str">
            <v>4 PM to 7 PM</v>
          </cell>
          <cell r="H45">
            <v>1450</v>
          </cell>
          <cell r="I45">
            <v>362.5</v>
          </cell>
          <cell r="J45" t="str">
            <v>Corporate</v>
          </cell>
          <cell r="K45" t="str">
            <v>1 del Missed(07/10) Return-send next week(31/12) Send replacement of Gerbera(30/10) Send on Monday this week(20/03) Return- hold package(08/07) Today returned-send next week(02/06) HDTNP (19/02)</v>
          </cell>
          <cell r="N45" t="str">
            <v>3  del of this cycle   -  0-cycles pmnt   In Process - Collect 0</v>
          </cell>
          <cell r="O45" t="str">
            <v>Y Asiatic ( 14 Inch ) 3     Grass</v>
          </cell>
          <cell r="P45" t="str">
            <v>O Asiatic ( 14 Inch ) 3     Grass</v>
          </cell>
          <cell r="Q45" t="str">
            <v>Pur Eustoma ( 12 Inch ) 3     FF Sachet + Grass</v>
          </cell>
          <cell r="R45" t="str">
            <v>P Asiatic ( 14 Inch ) 3     Grass</v>
          </cell>
          <cell r="S45" t="str">
            <v>W Asiatic ( 14 Inch ) 3     Grass</v>
          </cell>
          <cell r="T45" t="str">
            <v>O Asiatic ( 14 Inch ) 3     Grass</v>
          </cell>
        </row>
        <row r="46">
          <cell r="A46">
            <v>236</v>
          </cell>
          <cell r="B46" t="str">
            <v>Dr. Arti Gupta 1</v>
          </cell>
          <cell r="C46">
            <v>8860079525</v>
          </cell>
          <cell r="D46" t="str">
            <v>Mayom Hospital, D block south city 1</v>
          </cell>
          <cell r="E46" t="str">
            <v>South City 1</v>
          </cell>
          <cell r="F46" t="str">
            <v>Mondau</v>
          </cell>
          <cell r="G46" t="str">
            <v>9 AM - 12 PM</v>
          </cell>
          <cell r="H46">
            <v>1450</v>
          </cell>
          <cell r="I46">
            <v>362.5</v>
          </cell>
          <cell r="J46" t="str">
            <v>Corporate</v>
          </cell>
          <cell r="K46" t="str">
            <v>Pls send a replacement of Asiatic tomorrow(23/08)NO GERBERA(22/09) Start special Pack(13/04) Send Del on Monday this week(20/03) NEVER BUT DAISIES(29/10) Hold today (22/01) HDTNP (19/02) Sent one xtra del today (29/06) Hold today (09/07)</v>
          </cell>
          <cell r="N46" t="str">
            <v>4  del of this cycle   -  0-cycles pmnt   In Process - Collect 0</v>
          </cell>
          <cell r="O46" t="str">
            <v>Pur n P Car ( 14 inch ) 16     FF Sachet + Grass</v>
          </cell>
          <cell r="P46" t="str">
            <v>P n W Glad ( 14 Inch ) 16     Grass</v>
          </cell>
          <cell r="Q46" t="str">
            <v>Rajni ( 14 Inch ) 16     Grass</v>
          </cell>
          <cell r="R46" t="str">
            <v>B Daisy ( 12 Inch ) 10     Grass</v>
          </cell>
          <cell r="S46" t="str">
            <v>P n W Car ( 14 Inch ) 16     FF Sachet + Grass</v>
          </cell>
          <cell r="T46" t="str">
            <v>Rajni ( 14 Inch ) 16     Grass</v>
          </cell>
        </row>
        <row r="47">
          <cell r="A47">
            <v>2205</v>
          </cell>
          <cell r="B47" t="str">
            <v>Shubhra Gupta</v>
          </cell>
          <cell r="C47">
            <v>9811981626</v>
          </cell>
          <cell r="D47" t="str">
            <v>ES-245, Espace</v>
          </cell>
          <cell r="E47" t="str">
            <v>Nirvana Country</v>
          </cell>
          <cell r="F47" t="str">
            <v>Thursday</v>
          </cell>
          <cell r="G47" t="str">
            <v>9 AM - 12 PM</v>
          </cell>
          <cell r="H47">
            <v>1450</v>
          </cell>
          <cell r="I47">
            <v>362.5</v>
          </cell>
          <cell r="J47" t="str">
            <v>Bliss</v>
          </cell>
          <cell r="K47" t="str">
            <v>Paytm From 9811656524 // No Orchids // Skip 1 week (01/10) Same flowers from last  2weeks, pls Check (06/11) Paytm from Gaurav Gupta (0703)</v>
          </cell>
          <cell r="L47" t="str">
            <v>ORCHID</v>
          </cell>
          <cell r="M47" t="str">
            <v>Same Flowers from 2 week, Pls Check (06/11)</v>
          </cell>
          <cell r="N47" t="str">
            <v>3  del of this cycle   -  0-cycles pmnt   Completed - Collect 0</v>
          </cell>
          <cell r="O47" t="str">
            <v>Pur n P Car ( 14 inch ) 16     FF Sachet + Grass</v>
          </cell>
          <cell r="P47" t="str">
            <v>P n W Spray Daisy ( 14 Inch ) 5     FF Sachet + Grass</v>
          </cell>
          <cell r="Q47" t="str">
            <v>B Daisy ( 12 Inch ) 16     Grass</v>
          </cell>
          <cell r="R47" t="str">
            <v>P Asiatic ( 14 Inch ) 3     Grass</v>
          </cell>
          <cell r="S47" t="str">
            <v>Rajni ( 14 Inch ) 16     Grass</v>
          </cell>
          <cell r="T47" t="str">
            <v>G n W Car ( 14 Inch ) 16     FF Sachet + Grass</v>
          </cell>
        </row>
        <row r="48">
          <cell r="A48">
            <v>1455</v>
          </cell>
          <cell r="B48" t="str">
            <v>Gagan Ahluwalia</v>
          </cell>
          <cell r="C48">
            <v>9811105056</v>
          </cell>
          <cell r="D48" t="str">
            <v>C-82, The Summit</v>
          </cell>
          <cell r="E48" t="str">
            <v>Golf Course Road</v>
          </cell>
          <cell r="F48" t="str">
            <v>Thursday</v>
          </cell>
          <cell r="G48" t="str">
            <v>9 AM - 12 PM</v>
          </cell>
          <cell r="H48">
            <v>2300</v>
          </cell>
          <cell r="I48">
            <v>287.5</v>
          </cell>
          <cell r="J48" t="str">
            <v>Felicity</v>
          </cell>
          <cell r="K48" t="str">
            <v>Thursday n Sunday //Gift From Ragini Ahluwalia// Flowers-- Guldawari/Orchids/Car and Asiatic(27/07) Hold n start from 2nd week of July(02/06) NO ORCHIDS (23/12) Hold till june end (07/06) Today returned (20/06) Replacement today (07/07) Hold today and start after 12th Oct (03/10) No Flowers tull 17th Nov (11/11) Hold from 15th may to 17th June (14/05) Skip 1 wek (24/06) Hold today due to non payment (02/10) Hold due to non payment (05/10) Hold due to non payment (09/10) Start from today (12/10) Skip 1 week (29/11) Hold due to non payment (11/01) Hold due to non payment (01/.02) HDTNP (15/02) HDTNP (22/02) HDTNP (26/02) HDTNP (04/03) HDTNP (08/03) HDTNP (12/03) HDTNP (14/03) No after 1st June (14/05) Hold n start after 1st June (14/05) Hold till 1st June (15/05)</v>
          </cell>
          <cell r="N48" t="str">
            <v>3  del of this cycle   -  1-cycles pmnt   Pending - Collect 2300</v>
          </cell>
          <cell r="O48" t="str">
            <v>Rajni ( 14 Inch ) 11     Grass</v>
          </cell>
          <cell r="P48" t="str">
            <v>Pur n P Car ( 14 inch ) 11     FF Sachet + Grass</v>
          </cell>
          <cell r="Q48" t="str">
            <v>P Spray Daisy ( 14 Inch ) 3     FF Sachet + Grass</v>
          </cell>
          <cell r="R48" t="str">
            <v>Sunflower ( 12 Inch ) 3     FF Sachet + Grass</v>
          </cell>
          <cell r="S48" t="str">
            <v>P Asiatic ( 14 Inch ) 2     Grass</v>
          </cell>
          <cell r="T48" t="str">
            <v>Y Spray Daisy ( 14 Inch ) 3     FF Sachet + Grass</v>
          </cell>
        </row>
        <row r="49">
          <cell r="A49">
            <v>3393</v>
          </cell>
          <cell r="B49" t="str">
            <v>Runul Vashishtha</v>
          </cell>
          <cell r="C49">
            <v>9871812384</v>
          </cell>
          <cell r="D49" t="str">
            <v>C-84, DLF Park Place, Park Drive, GCR</v>
          </cell>
          <cell r="E49" t="str">
            <v>Golf Course Road</v>
          </cell>
          <cell r="F49" t="str">
            <v>Thursday</v>
          </cell>
          <cell r="G49" t="str">
            <v>9 AM to 2 PM</v>
          </cell>
          <cell r="H49">
            <v>1450</v>
          </cell>
          <cell r="I49">
            <v>362.5</v>
          </cell>
          <cell r="J49" t="str">
            <v>Bliss</v>
          </cell>
          <cell r="N49" t="str">
            <v>3  del of this cycle   -  0-cycles pmnt   Completed - Collect 0</v>
          </cell>
          <cell r="O49" t="e">
            <v>#N/A</v>
          </cell>
          <cell r="P49" t="e">
            <v>#N/A</v>
          </cell>
          <cell r="Q49" t="e">
            <v>#N/A</v>
          </cell>
          <cell r="R49" t="str">
            <v>Pur n P Car ( 14 Inch ) 16     FF Sachet + Grass</v>
          </cell>
          <cell r="S49" t="str">
            <v>P Asiatic ( 14 Inch ) 3     Grass</v>
          </cell>
          <cell r="T49" t="str">
            <v>P n W Glad ( 14 Inch ) 16     Grass</v>
          </cell>
        </row>
        <row r="50">
          <cell r="A50">
            <v>366</v>
          </cell>
          <cell r="B50" t="str">
            <v>Dr. Arti Gupta 1</v>
          </cell>
          <cell r="C50">
            <v>8860079525</v>
          </cell>
          <cell r="D50" t="str">
            <v>Mayom Hospital, D block south city 1</v>
          </cell>
          <cell r="E50" t="str">
            <v>South City 1</v>
          </cell>
          <cell r="F50" t="str">
            <v>Monday</v>
          </cell>
          <cell r="G50" t="str">
            <v>9 AM - 12 PM</v>
          </cell>
          <cell r="H50">
            <v>1450</v>
          </cell>
          <cell r="I50">
            <v>362.5</v>
          </cell>
          <cell r="J50" t="str">
            <v>Corporate</v>
          </cell>
          <cell r="K50" t="str">
            <v>NO GERBERA(22/09)Start special Pack(13/04) Extend 1 ddlivery as we are sending 1 Nargis Today(22/12) Send Del on Monday this week(20/03) Send Replacemenmt of Car(20/09/20) NEVER BUT DAISIES(29/10) Spray daisy Next(03/03) Sent Replacement today(01/08) Hold today (22/01) HDTNP (19/02) Sent one extra del today (29/06) Hold today (09/07)</v>
          </cell>
          <cell r="N50" t="str">
            <v>4  del of this cycle   -  0-cycles pmnt   In Process - Collect 0</v>
          </cell>
          <cell r="O50" t="str">
            <v>Y Asiatic ( 14 Inch ) 3     Grass</v>
          </cell>
          <cell r="P50" t="str">
            <v>O Asiatic ( 14 Inch ) 3     Grass</v>
          </cell>
          <cell r="Q50" t="str">
            <v>Pur Eustoma ( 12 Inch ) 3     FF Sachet + Grass</v>
          </cell>
          <cell r="R50" t="str">
            <v>P Asiatic ( 14 Inch ) 3     Grass</v>
          </cell>
          <cell r="S50" t="str">
            <v>W Asiatic ( 14 Inch ) 3     Grass</v>
          </cell>
          <cell r="T50" t="str">
            <v>O Asiatic ( 14 Inch ) 3     Grass</v>
          </cell>
        </row>
        <row r="51">
          <cell r="A51">
            <v>3235</v>
          </cell>
          <cell r="B51" t="str">
            <v>Nishant -- Wellington</v>
          </cell>
          <cell r="C51">
            <v>9833057481</v>
          </cell>
          <cell r="D51" t="str">
            <v>Flat-1B/101, Wellington Estate</v>
          </cell>
          <cell r="E51" t="str">
            <v>DLF Phase 5</v>
          </cell>
          <cell r="F51" t="str">
            <v>Thursday</v>
          </cell>
          <cell r="G51" t="str">
            <v>9 AM - 12 PM</v>
          </cell>
          <cell r="H51">
            <v>1450</v>
          </cell>
          <cell r="I51">
            <v>362.5</v>
          </cell>
          <cell r="J51" t="str">
            <v>Bliss</v>
          </cell>
          <cell r="K51" t="str">
            <v>Paytm From Nishant Pandita // HDTNP (05/03) No Glad or Rajni (06/06)</v>
          </cell>
          <cell r="L51" t="str">
            <v>Glad n Rajni</v>
          </cell>
          <cell r="N51" t="str">
            <v>2  del of this cycle   -  1-cycles pmnt   Pending - Collect 1450</v>
          </cell>
          <cell r="O51" t="str">
            <v>Pur n P Car ( 14 inch ) 16     FF Sachet + Grass</v>
          </cell>
          <cell r="P51" t="str">
            <v>P Asiatic ( 14 Inch ) 3     Grass</v>
          </cell>
          <cell r="Q51" t="str">
            <v>Pur Eustoma ( 12 Inch ) 3     FF Sachet + Grass</v>
          </cell>
          <cell r="R51" t="str">
            <v>P n Y Spray Daisy ( 14 Inch ) 5     FF Sachet + Grass</v>
          </cell>
          <cell r="S51" t="str">
            <v>Mix Alstroemeria ( 12Inch ) 16     FF Sachet + Grass</v>
          </cell>
          <cell r="T51" t="str">
            <v>G n W Car ( 14 Inch ) 16     FF Sachet + Grass</v>
          </cell>
        </row>
        <row r="52">
          <cell r="A52">
            <v>3326</v>
          </cell>
          <cell r="B52" t="str">
            <v>Ms. Rani</v>
          </cell>
          <cell r="C52">
            <v>9313104941</v>
          </cell>
          <cell r="D52" t="str">
            <v>J-151, Park Place</v>
          </cell>
          <cell r="E52" t="str">
            <v>DLF Phase 5</v>
          </cell>
          <cell r="F52" t="str">
            <v>Thursday</v>
          </cell>
          <cell r="G52" t="str">
            <v>9 AM to 2 PM</v>
          </cell>
          <cell r="H52">
            <v>1450</v>
          </cell>
          <cell r="I52">
            <v>362.5</v>
          </cell>
          <cell r="J52" t="str">
            <v>Bliss</v>
          </cell>
          <cell r="K52" t="str">
            <v>Start From July (06/06)</v>
          </cell>
          <cell r="N52" t="str">
            <v>3  del of this cycle   -  0-cycles pmnt   Completed - Collect 0</v>
          </cell>
          <cell r="O52" t="e">
            <v>#N/A</v>
          </cell>
          <cell r="P52" t="e">
            <v>#N/A</v>
          </cell>
          <cell r="Q52" t="e">
            <v>#N/A</v>
          </cell>
          <cell r="R52" t="str">
            <v>Pur n P Car ( 14 Inch ) 16     FF Sachet + Grass</v>
          </cell>
          <cell r="S52" t="str">
            <v>W Asiatic ( 14 Inch ) 3   Collect Payment Collect Payment Grass</v>
          </cell>
          <cell r="T52" t="str">
            <v>P n W Glad ( 14 Inch ) 16     Grass</v>
          </cell>
        </row>
        <row r="53">
          <cell r="A53">
            <v>2481</v>
          </cell>
          <cell r="B53" t="str">
            <v>Puneet Mahajan</v>
          </cell>
          <cell r="C53">
            <v>9810110847</v>
          </cell>
          <cell r="D53" t="str">
            <v>D-19, 4th Floor, Siuth City -2, Opp Arcadia Mall</v>
          </cell>
          <cell r="E53" t="str">
            <v>Nirvana Country</v>
          </cell>
          <cell r="F53" t="str">
            <v>Sunday</v>
          </cell>
          <cell r="G53" t="str">
            <v>9 AM - 12 PM</v>
          </cell>
          <cell r="H53">
            <v>2300</v>
          </cell>
          <cell r="I53">
            <v>287.5</v>
          </cell>
          <cell r="J53" t="str">
            <v>Felicity</v>
          </cell>
          <cell r="K53" t="str">
            <v>Send Sponge// Day Changed to Sunday (16/04) Paytm From Sri Sai makers (20/04) Change to felicity (17/05)</v>
          </cell>
          <cell r="N53" t="str">
            <v>2  del of this cycle   -  1-cycles pmnt   Pending - Collect 2300</v>
          </cell>
          <cell r="O53" t="str">
            <v>Pur n P Car ( 14 inch ) 11     FF Sachet + Grass</v>
          </cell>
          <cell r="P53" t="str">
            <v>P Spray Daisy ( 14 Inch ) 3     FF Sachet + Grass</v>
          </cell>
          <cell r="Q53" t="str">
            <v>P Asiatic ( 14 Inch ) 2     Grass</v>
          </cell>
          <cell r="R53" t="str">
            <v>Sunflower ( 12 Inch ) 3     FF Sachet + Grass</v>
          </cell>
          <cell r="S53" t="str">
            <v>Rajni ( 14 Inch ) 11     Grass</v>
          </cell>
          <cell r="T53" t="str">
            <v>O Asiatic ( 14 Inch ) 2     Grass</v>
          </cell>
        </row>
        <row r="54">
          <cell r="A54">
            <v>2406</v>
          </cell>
          <cell r="B54" t="str">
            <v>Vermeen Kapoor</v>
          </cell>
          <cell r="C54">
            <v>9873458198</v>
          </cell>
          <cell r="D54" t="str">
            <v>B-59, South City 2</v>
          </cell>
          <cell r="E54" t="str">
            <v>Nirvana Country</v>
          </cell>
          <cell r="F54" t="str">
            <v>Thursday</v>
          </cell>
          <cell r="G54" t="str">
            <v>9:30 Am to 2 PM</v>
          </cell>
          <cell r="H54">
            <v>1450</v>
          </cell>
          <cell r="I54">
            <v>362.5</v>
          </cell>
          <cell r="J54" t="str">
            <v>Bliss</v>
          </cell>
          <cell r="K54" t="str">
            <v>Referred by Swati Khandelwal?/ Mixed Flowers // Send replace,ent tom (19/02) Day Changed to Thursday (08/04) today returned-send tom (24/07)</v>
          </cell>
          <cell r="M54" t="str">
            <v>Mixed Flowers</v>
          </cell>
          <cell r="N54" t="str">
            <v>4  del of this cycle   -  0-cycles pmnt   Completed - Collect 0</v>
          </cell>
          <cell r="O54" t="str">
            <v>Pur Eustoma ( 12 Inch ) 2 Pur n P Car ( 14 inch ) 7   FF Sachet + Grass</v>
          </cell>
          <cell r="P54" t="str">
            <v>Sunflower ( 12 Inch ) 2 P n W Glad ( 14 Inch ) 7   FF Sachet + Grass</v>
          </cell>
          <cell r="Q54" t="str">
            <v>P Asiatic ( 14 Inch ) 2 B Daisy ( 12 Inch ) 7   Grass</v>
          </cell>
          <cell r="R54" t="str">
            <v>P Spray Daisy ( 14 Inch ) 3 Rajni ( 14 Inch ) 7   FF Sachet + Grass</v>
          </cell>
          <cell r="S54" t="str">
            <v>Sunflower ( 12 Inch ) 2 P n W Car ( 14 Inch ) 7   FF Sachet + Grass</v>
          </cell>
          <cell r="T54" t="str">
            <v>O Asiatic ( 14 Inch ) 2 P n W Glad ( 14 Inch ) 7   Grass</v>
          </cell>
        </row>
        <row r="55">
          <cell r="A55">
            <v>2204</v>
          </cell>
          <cell r="B55" t="str">
            <v>Bidisha Dey</v>
          </cell>
          <cell r="C55">
            <v>9811969982</v>
          </cell>
          <cell r="D55" t="str">
            <v>C-24, Carlton Estate-1, Club Drive</v>
          </cell>
          <cell r="E55" t="str">
            <v>DLF Phase 5</v>
          </cell>
          <cell r="F55" t="str">
            <v>Thursday</v>
          </cell>
          <cell r="G55" t="str">
            <v>9:30 Am to 2 PM</v>
          </cell>
          <cell r="H55">
            <v>1450</v>
          </cell>
          <cell r="I55">
            <v>362.5</v>
          </cell>
          <cell r="J55" t="str">
            <v>Bliss</v>
          </cell>
          <cell r="K55" t="str">
            <v>Skip 1 week (03/06) Returned send next week (11/07) Skip 1 week (08/01) Skip 1 week (26/03) Skip tom (02/07) Today Returned (20/11) HDTNP (25/06)</v>
          </cell>
          <cell r="N55" t="str">
            <v>2  del of this cycle   -  0-cycles pmnt   Completed - Collect 0</v>
          </cell>
          <cell r="O55" t="str">
            <v>Pur n P Car ( 14 inch ) 16     FF Sachet + Grass</v>
          </cell>
          <cell r="P55" t="str">
            <v>Sunflower ( 12 Inch ) 4     FF Sachet + Grass</v>
          </cell>
          <cell r="Q55" t="e">
            <v>#N/A</v>
          </cell>
          <cell r="R55" t="str">
            <v>P Asiatic ( 14 Inch ) 3    Collect payment Grass</v>
          </cell>
          <cell r="S55" t="str">
            <v>Rajni ( 14 Inch ) 16     Grass</v>
          </cell>
          <cell r="T55" t="str">
            <v>G n W Car ( 14 Inch ) 16     FF Sachet + Grass</v>
          </cell>
        </row>
        <row r="56">
          <cell r="A56">
            <v>884</v>
          </cell>
          <cell r="B56" t="str">
            <v>Bhavna Taneja</v>
          </cell>
          <cell r="C56">
            <v>9811192021</v>
          </cell>
          <cell r="D56" t="str">
            <v>F-214, DLF The Crest,Sec-54</v>
          </cell>
          <cell r="E56" t="str">
            <v>Golf Course Road</v>
          </cell>
          <cell r="F56" t="str">
            <v>Thursday</v>
          </cell>
          <cell r="G56" t="str">
            <v>9:30 AM to 2 PM</v>
          </cell>
          <cell r="H56">
            <v>1450</v>
          </cell>
          <cell r="I56">
            <v>362.5</v>
          </cell>
          <cell r="J56" t="str">
            <v>Bliss</v>
          </cell>
          <cell r="K56" t="str">
    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    </cell>
          <cell r="L56" t="str">
            <v>GULDAWARI n BOP n GERBERA</v>
          </cell>
          <cell r="M56" t="str">
            <v>Mixed Now</v>
          </cell>
          <cell r="N56" t="str">
            <v>4  del of this cycle   -  0-cycles pmnt   CompletedNO COLLECTION-we have extra money - Collect -50</v>
          </cell>
          <cell r="O56" t="str">
            <v>P n W Glad ( 14 Inch ) 16     Grass</v>
          </cell>
          <cell r="P56" t="e">
            <v>#N/A</v>
          </cell>
          <cell r="Q56" t="str">
            <v>Pur n P Car ( 14 Inch ) 16     FF Sachet + Grass</v>
          </cell>
          <cell r="R56" t="str">
            <v>Sunflower ( 12 Inch ) 4    Collect Payment FF Sachet + Grass</v>
          </cell>
          <cell r="S56" t="str">
            <v>Rajni ( 14 Inch ) 16     Grass</v>
          </cell>
          <cell r="T56" t="str">
            <v>P Asiatic ( 14 Inch ) 3     Grass</v>
          </cell>
        </row>
        <row r="57">
          <cell r="A57">
            <v>237</v>
          </cell>
          <cell r="B57" t="str">
            <v>Mayom Hospital</v>
          </cell>
          <cell r="C57">
            <v>8860079525</v>
          </cell>
          <cell r="D57" t="str">
            <v>Mayom Hospital, D block south city 1</v>
          </cell>
          <cell r="G57" t="str">
            <v>9 AM - 12 PM</v>
          </cell>
          <cell r="H57">
            <v>1450</v>
          </cell>
          <cell r="I57">
            <v>362.5</v>
          </cell>
          <cell r="J57" t="str">
            <v>Corporate</v>
          </cell>
          <cell r="T57" t="str">
            <v>P n W Glad ( 14 Inch ) 16     Grass</v>
          </cell>
        </row>
        <row r="58">
          <cell r="A58">
            <v>309</v>
          </cell>
          <cell r="B58" t="str">
            <v>Ms Swati Bhise--before 10</v>
          </cell>
          <cell r="C58">
            <v>9811806611</v>
          </cell>
          <cell r="D58" t="str">
            <v xml:space="preserve">TG-5/4B Orchid Garden Sun city Sec - 54 </v>
          </cell>
          <cell r="E58" t="str">
            <v>Golf Course Road</v>
          </cell>
          <cell r="F58" t="str">
            <v>Thursday</v>
          </cell>
          <cell r="G58" t="str">
            <v>9 AM - 12 PM</v>
          </cell>
          <cell r="H58">
            <v>2750</v>
          </cell>
          <cell r="I58">
            <v>687.5</v>
          </cell>
          <cell r="J58" t="str">
            <v>Elation</v>
          </cell>
          <cell r="K58" t="str">
    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 Skip next week (02/07)</v>
          </cell>
          <cell r="M58" t="str">
            <v>Upgrade to Elation next (14/08)</v>
          </cell>
          <cell r="N58" t="str">
            <v>4  del of this cycle   -  0-cycles pmnt   Completed - Collect 0</v>
          </cell>
          <cell r="O58" t="str">
            <v>P Asiatic ( 14 Inch )  6     2 Gypsola</v>
          </cell>
          <cell r="P58" t="str">
            <v>P n W Glad ( 14 Inch ) 32     2 Limonium</v>
          </cell>
          <cell r="Q58" t="str">
            <v>Pur n P Eustoma ( 12 Inch ) 6  Collect Payment Collect Payment Collect Payment 2 Limonium + FF Sachet</v>
          </cell>
          <cell r="R58" t="str">
            <v xml:space="preserve">Pur n P Car ( 14 Inch ) 32     2 Gypsola + FF Sachet </v>
          </cell>
          <cell r="S58" t="e">
            <v>#N/A</v>
          </cell>
          <cell r="T58" t="str">
            <v>O Asiatic ( 14 Inch ) 6     2 Gypsola</v>
          </cell>
        </row>
        <row r="59">
          <cell r="A59" t="str">
            <v>G-00028</v>
          </cell>
          <cell r="B59" t="str">
            <v>Niharika Mohanty</v>
          </cell>
          <cell r="C59">
            <v>9711098608</v>
          </cell>
          <cell r="D59" t="str">
            <v>W2A-151, Wellington Estate</v>
          </cell>
          <cell r="E59" t="str">
            <v>DLF Phase 5</v>
          </cell>
          <cell r="F59" t="str">
            <v>Thursday</v>
          </cell>
          <cell r="G59" t="str">
            <v>10 AM to 2:30 PM</v>
          </cell>
          <cell r="H59">
            <v>1950</v>
          </cell>
          <cell r="I59">
            <v>487.5</v>
          </cell>
          <cell r="J59" t="str">
            <v>Joy</v>
          </cell>
          <cell r="K59" t="str">
            <v>From Akriti Chopra // Mixed Flowers // Skip this week (11/03) Skip 1 week (11/03)  Skip 2 week (18/06) Skip 1 week (13/08) Skip 1 week (14/10) Skip 2 weeks (12/11) Skip 1 week (03/12) Skip 1 week (03/01) Hold today (21/05) Skip tom (03/06) Skip today and next week (18/06(</v>
          </cell>
          <cell r="M59" t="str">
            <v>Mixed Flowers</v>
          </cell>
          <cell r="N59" t="str">
            <v>3  del of this cycle   -  1-cycles pmnt   Pending - Collect 1950</v>
          </cell>
          <cell r="O59" t="str">
            <v>Y Asiatic ( 14 Inch ) 2 P n W Glad ( 14 Inch ) 11   2 Gypsola</v>
          </cell>
          <cell r="P59" t="str">
            <v>Sunflower ( 12 Inch ) 3 Mix Alstroemeria ( 12 inch )  11   FF Sachet + Grass</v>
          </cell>
          <cell r="Q59" t="e">
            <v>#N/A</v>
          </cell>
          <cell r="R59" t="str">
            <v>P Eustoma ( 12 Inch ) 2 Pur n W Car ( 14 Inch ) 11   FF Sachet + Grass</v>
          </cell>
          <cell r="S59" t="str">
            <v>P Asiatic ( 14 Inch ) 2 Rajni ( 14 Inch ) 11 Collect Payment Collect Payment Grass</v>
          </cell>
          <cell r="T59" t="str">
            <v>P n W Spray Daisy ( 14 Inch ) 4 P n W Glad ( 14 Inch ) 11   FF Sachet + Grass</v>
          </cell>
        </row>
        <row r="60">
          <cell r="A60">
            <v>3133</v>
          </cell>
          <cell r="B60" t="str">
            <v>Anastasiia Liapicheva</v>
          </cell>
          <cell r="C60" t="str">
            <v>7678659573 // '+79029329098</v>
          </cell>
          <cell r="D60" t="str">
            <v>B1/602, Palm Groove Heights, Ardee City Sec 52</v>
          </cell>
          <cell r="E60" t="str">
            <v>Sushant Estate</v>
          </cell>
          <cell r="F60" t="str">
            <v>Thursday</v>
          </cell>
          <cell r="G60" t="str">
            <v>9 AM - 12 PM</v>
          </cell>
          <cell r="H60">
            <v>1450</v>
          </cell>
          <cell r="I60">
            <v>362.5</v>
          </cell>
          <cell r="J60" t="str">
            <v>Bliss</v>
          </cell>
          <cell r="K60" t="str">
            <v>No Lilies (02/11) No White Greens (02/12) Skip 1 week (07/01) skip 1 week (27/01) No Sunflower (06/03) Skip 1 week (06/06)</v>
          </cell>
          <cell r="L60" t="str">
            <v>Lily n Sunflower n White Greens</v>
          </cell>
          <cell r="M60" t="str">
            <v>No White Greens n Mixed Flowers</v>
          </cell>
          <cell r="N60" t="str">
            <v>2  del of this cycle   -  0-cycles pmnt   Completed - Collect 0</v>
          </cell>
          <cell r="O60" t="e">
            <v>#N/A</v>
          </cell>
          <cell r="P60" t="str">
            <v>O Asiatic ( 14 Inch ) 2 P n W Glad ( 14 Inch ) 7   Grass</v>
          </cell>
          <cell r="Q60" t="str">
            <v>Y Spray Daisy 3 P n W Car ( 14 Inch ) 7   FF Sachet + Grass</v>
          </cell>
          <cell r="R60" t="str">
            <v>P Eustoma ( 12 Inch ) 2 Rajni ( 14 Inch ) 7   FF Sachet + Grass</v>
          </cell>
          <cell r="S60" t="str">
            <v>W Asiatic ( 14 Inch ) 2 Mix Alstroemeria ( 12 Inch ) 7   Grass</v>
          </cell>
          <cell r="T60" t="str">
            <v>P Spray Daisy ( 14 Inch ) 3 P n W Glad ( 14 Inch ) 7   FF Sachet + Grass</v>
          </cell>
        </row>
        <row r="61">
          <cell r="A61">
            <v>1978</v>
          </cell>
          <cell r="B61" t="str">
            <v>Anu-- After 6 PM</v>
          </cell>
          <cell r="C61" t="str">
            <v>98103 39602</v>
          </cell>
          <cell r="D61" t="str">
            <v xml:space="preserve">Tower 6, 901 Fresco </v>
          </cell>
          <cell r="E61" t="str">
            <v>Nirvana Country</v>
          </cell>
          <cell r="F61" t="str">
            <v>Thursday</v>
          </cell>
          <cell r="G61" t="str">
            <v>4 Pm to 7 PM</v>
          </cell>
          <cell r="H61">
            <v>4850</v>
          </cell>
          <cell r="I61">
            <v>606.25</v>
          </cell>
          <cell r="J61" t="str">
            <v>Poise</v>
          </cell>
          <cell r="K61" t="str">
            <v xml:space="preserve"> Thursday n Sunday//No Rajni (14/03) No Rose n Gerbera n RAJNI// Skip this week n send on Tuesday evening slot (18/06) Send this Thursday to Friday (04/09) NO HELICONIA (13/09) Skip Thursday delivery (12/11) Send tom in morning (16/11) Skip Thursday del (19/11) Skip tom (23/11) Hold till 11th  (30/11) Dont send on Sunday (13/12) Skip sunday (20/12) Skip tom (08/02) Hold today (23/02) Skip 1 Week (01/06) Skip thursday Delivery (18/06) Skip this thursday and send on sunday after 6 PM (06/08) No BOP also (06/10) Do not count today del and sned on sat next (04/12) Skip saturda and sunday also (05/12) Hold today n send tom (11/12) Hold today (05/04) Hold today (16/04)</v>
          </cell>
          <cell r="L61" t="str">
            <v>ROSE n RAJNI n HELICONIA n BOP</v>
          </cell>
          <cell r="M61" t="str">
            <v>after 6 pm on 19th (16/04)</v>
          </cell>
          <cell r="N61" t="str">
            <v>2  del of this cycle   -  1-cycles pmnt   Pending - Collect 4850</v>
          </cell>
          <cell r="O61" t="str">
            <v>Y Asiatic ( 14 Inch ) 2 Mix Eustoma ( 12 Inch ) 4 P n W Car ( 14 Inch ) 12 Grass</v>
          </cell>
          <cell r="P61" t="str">
            <v>P Asiatic ( 14 Inch ) 2 Mix Alstroemeria ( 12 inch )  8 P n W Glad ( 14 Inch ) 8 Grass</v>
          </cell>
          <cell r="Q61" t="str">
            <v>W Asiatic ( 14 Inch ) 2 P n Y Spray Daisy ( 14 Inch ) 4 Rajni ( 14 Inch ) 12 Grass</v>
          </cell>
          <cell r="R61" t="str">
            <v>O Asiatic ( 14 Inch ) 2 Sunflower ( 12 Inch ) 4 Pur n P Car ( 14 Inch ) 12 Grass</v>
          </cell>
          <cell r="S61" t="str">
            <v>W Asiatic ( 14 Inch ) 2 Mix Alstroemeria ( 12 Inch ) 8 B Daisy 10 Grass</v>
          </cell>
          <cell r="T61" t="str">
            <v>P Asiatic ( 14 Inch ) 2 Sunflower 3 P n W  Car ( 14 Inch ) 12 Grass</v>
          </cell>
        </row>
        <row r="62">
          <cell r="A62">
            <v>179</v>
          </cell>
          <cell r="B62" t="str">
            <v>Sarita Dosaj</v>
          </cell>
          <cell r="C62">
            <v>9810077026</v>
          </cell>
          <cell r="D62" t="str">
            <v>B-24, Trinity Towers</v>
          </cell>
          <cell r="E62" t="str">
            <v>DLF Phase 5</v>
          </cell>
          <cell r="F62" t="str">
            <v>Thursday</v>
          </cell>
          <cell r="G62" t="str">
            <v>9 AM - 12 PM</v>
          </cell>
          <cell r="H62">
            <v>1450</v>
          </cell>
          <cell r="I62">
            <v>362.5</v>
          </cell>
          <cell r="J62" t="str">
            <v>Bliss</v>
          </cell>
          <cell r="K62" t="str">
            <v>One Color Flower ( 06/06) HDTNP (25/06)</v>
          </cell>
          <cell r="M62" t="str">
            <v>One Color Flower ( 06/06)</v>
          </cell>
          <cell r="N62" t="str">
            <v>1  del of this cycle   -  1-cycles pmnt   Pending - Collect 1450</v>
          </cell>
          <cell r="O62" t="str">
            <v>P Glad ( 14 Inch ) 16 One Color Flower Only    Grass</v>
          </cell>
          <cell r="P62" t="str">
            <v>O Asiatic ( 14 Inch ) 3 Collect Cash Collect Cash    Grass</v>
          </cell>
          <cell r="Q62" t="e">
            <v>#N/A</v>
          </cell>
          <cell r="R62" t="str">
            <v>Sunflower ( 12 Inch ) 4    Collect payment FF Sachet + Grass</v>
          </cell>
          <cell r="S62" t="str">
            <v>P n W Car ( 14 Inch ) 16     FF Sachet + Grass</v>
          </cell>
          <cell r="T62" t="str">
            <v>P n W Spray Daisy ( 14 Inch ) 5     FF Sachet + Grass</v>
          </cell>
        </row>
        <row r="63">
          <cell r="A63">
            <v>3071</v>
          </cell>
          <cell r="B63" t="str">
            <v>Divya Rawat</v>
          </cell>
          <cell r="C63">
            <v>8390310325</v>
          </cell>
          <cell r="D63" t="str">
            <v>D-13/14, 1st Floor, DLF Exclusive Floor</v>
          </cell>
          <cell r="E63" t="str">
            <v>DLF Phase 5</v>
          </cell>
          <cell r="F63" t="str">
            <v>Thursday</v>
          </cell>
          <cell r="G63" t="str">
            <v>9 AM - 12 PM</v>
          </cell>
          <cell r="H63">
            <v>1450</v>
          </cell>
          <cell r="I63">
            <v>362.5</v>
          </cell>
          <cell r="J63" t="str">
            <v>Bliss</v>
          </cell>
          <cell r="K63" t="str">
            <v>Return today (04/12) Hold today (05/03) Returned today (28/05) HDTNP (25/06)</v>
          </cell>
          <cell r="N63" t="str">
            <v>1  del of this cycle   -  1-cycles pmnt   Pending - Collect 1450</v>
          </cell>
          <cell r="O63" t="str">
            <v>P Spray Daisy ( 14 Inch ) 3 Mix Alstroemeria ( 12 Inch ) 7   FF Sachet + Grass</v>
          </cell>
          <cell r="P63" t="str">
            <v>Sunflower ( 12 Inch ) 2 P n W Glad ( 14 Inch ) 7   FF Sachet + Grass</v>
          </cell>
          <cell r="Q63" t="e">
            <v>#N/A</v>
          </cell>
          <cell r="R63" t="str">
            <v>P Asiatic ( 14 Inch ) 2 Rajni ( 14 Inch ) 7  Collect Payment Grass</v>
          </cell>
          <cell r="S63" t="str">
            <v>P Spray Daisy ( 14 Inch ) 3 P n W Car ( 14 Inch ) 7   FF Sachet + Grass</v>
          </cell>
          <cell r="T63" t="str">
            <v>Sunflower ( 12 Inch ) 2 Mix Alstroemeria ( 12 Inch ) 7   FF Sachet + Grass</v>
          </cell>
        </row>
        <row r="64">
          <cell r="A64">
            <v>61</v>
          </cell>
          <cell r="B64" t="str">
            <v>Megha Manchanda -- Bliss Pack</v>
          </cell>
          <cell r="C64">
            <v>9871919500</v>
          </cell>
          <cell r="D64" t="str">
            <v>T-3/302, Unitech Harmony</v>
          </cell>
          <cell r="E64" t="str">
            <v>Nirvana Country</v>
          </cell>
          <cell r="F64" t="str">
            <v>Thursday</v>
          </cell>
          <cell r="G64" t="str">
            <v>9 AM - 12 PM</v>
          </cell>
          <cell r="H64">
            <v>1450</v>
          </cell>
          <cell r="I64">
            <v>362.5</v>
          </cell>
          <cell r="J64" t="str">
            <v>Bliss</v>
          </cell>
          <cell r="K64" t="str">
            <v>No rajni n Rose(22/05) 1Stick extra in next del(27/08)Today not delivered-pls send on 6th(04/09) Return-send next week(04/03)  NO GLAD(19/10) Always send areca palm with BOP(28/01) Add Changed(30/07) Skip 1 week (21/12) Don't deliver tom-- Send on Sunday (14/06) Send on Sunday instead of Thursday (03/01) Skip 2 weeks (12/06) Payment from Amardeep S R (13/07) Skip 1 week (18/03) Today TReturned (11/06) Skip n send on sunday this week (23/06)</v>
          </cell>
          <cell r="N64" t="str">
            <v>2  del of this cycle   -  1-cycles pmnt   Pending - Collect 1450</v>
          </cell>
          <cell r="O64" t="str">
            <v>Pur n P Car ( 14 inch ) 9     Grass</v>
          </cell>
          <cell r="P64" t="str">
            <v>Sunflower ( 12 Inch ) 2     FF Sachet + Grass</v>
          </cell>
          <cell r="Q64" t="e">
            <v>#N/A</v>
          </cell>
          <cell r="R64" t="str">
            <v>Rajni ( 14 Inch ) 9     Grass</v>
          </cell>
          <cell r="S64" t="str">
            <v>P Asiatic ( 14 Inch ) 3     Grass</v>
          </cell>
          <cell r="T64" t="str">
            <v>G n W Car ( 14 Inch ) 16     FF Sachet + Grass</v>
          </cell>
        </row>
        <row r="65">
          <cell r="A65">
            <v>1140</v>
          </cell>
          <cell r="B65" t="str">
            <v>Nidhi Singh</v>
          </cell>
          <cell r="C65" t="str">
            <v>8383036664//9899389873</v>
          </cell>
          <cell r="D65" t="str">
            <v>D-8/3, Ground Floor DLF Exclusive Floors</v>
          </cell>
          <cell r="E65" t="str">
            <v>DLF Phase 5</v>
          </cell>
          <cell r="F65" t="str">
            <v>Thursday</v>
          </cell>
          <cell r="G65" t="str">
            <v>9 AM - 12 PM</v>
          </cell>
          <cell r="H65">
            <v>2300</v>
          </cell>
          <cell r="I65">
            <v>287.5</v>
          </cell>
          <cell r="J65" t="str">
            <v>Felicity</v>
          </cell>
          <cell r="K65" t="str">
    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    </cell>
          <cell r="L65" t="str">
            <v>ROSE</v>
          </cell>
          <cell r="N65" t="str">
            <v>5  del of this cycle   -  0-cycles pmnt   Completed - Collect 0</v>
          </cell>
          <cell r="O65" t="str">
            <v>Pur Eustoma ( 12 Inch ) 3     FF Sachet + Grass</v>
          </cell>
          <cell r="P65" t="str">
            <v>Rajni ( 14 Inch ) 11     Grass</v>
          </cell>
          <cell r="Q65" t="str">
            <v>P n W Glad ( 14 Inch ) 11     Grass</v>
          </cell>
          <cell r="R65" t="str">
            <v>Pur n P Car ( 14 Inch ) 11     FF Sachet + Grass</v>
          </cell>
          <cell r="S65" t="str">
            <v>Rajni ( 14 Inch ) 11     Grass</v>
          </cell>
          <cell r="T65" t="str">
            <v>P n W Glad ( 14 Inch ) 11     Grass</v>
          </cell>
        </row>
        <row r="66">
          <cell r="A66">
            <v>826</v>
          </cell>
          <cell r="B66" t="str">
            <v>Anuradha M Agarwal</v>
          </cell>
          <cell r="C66">
            <v>9811201606</v>
          </cell>
          <cell r="D66" t="str">
            <v>A-82, Westend Heights</v>
          </cell>
          <cell r="E66" t="str">
            <v>DLF Phase 5</v>
          </cell>
          <cell r="F66" t="str">
            <v>Thursday</v>
          </cell>
          <cell r="G66" t="str">
            <v>9 AM to 2 PM</v>
          </cell>
          <cell r="H66">
            <v>1450</v>
          </cell>
          <cell r="I66">
            <v>362.5</v>
          </cell>
          <cell r="J66" t="str">
            <v>Bliss</v>
          </cell>
          <cell r="K66" t="str">
            <v>Sending on 20th instaed of 21st,bcoz of Holi(18/03) This Cycle flowers -- Lilies / Orchids / Carnations/Gladioli(07/04) Orchid Next(25/04) Skip 2 week(11/06) Send on Friday this week(12/08) NO ORCHID, today returned-send glad tom(22/08)ASIATIC AND  ORCHID ONCE A CYCLE WITHOUT PLASTIC CAP(22/12) Returned-send Tom(16/01) Day chenged to saturday n ORCHID NEXT(18/01) Do not consider this week del and AVOID YELLOW COLOR FOR SOME WEEK, Send Orchid Next(23/02) Orchid next (27/05) Orchid next (09/06) Hold after current cycle (09/06) Return today (10/10) Skip 1 week (25/10) Skip this thursday (16/02) Skip 1 week (23/03) Today Returned and skip next week Laos (14/08) Skip 2 week (11/10) Skip 2 week (21/12)</v>
          </cell>
          <cell r="N66" t="str">
            <v>1  del of this cycle   -  1-cycles pmnt   Pending - Collect 1450</v>
          </cell>
          <cell r="O66" t="str">
            <v>P n W Glad ( 14 Inch ) 9     Gras</v>
          </cell>
          <cell r="P66" t="str">
            <v>O Asiatic ( 14 Inch ) 3     Grass</v>
          </cell>
          <cell r="Q66" t="str">
            <v>B Daisy ( 12 Inch ) 9     Grass</v>
          </cell>
          <cell r="R66" t="str">
            <v>P n W Car ( 14 Inch ) 9     FF Sachet + Grass</v>
          </cell>
          <cell r="S66" t="str">
            <v>Rajni ( 14 Inch ) 9     Grass</v>
          </cell>
          <cell r="T66" t="str">
            <v>P n Y Spray Daisy ( 14 Inch ) 5     FF Sachet + Grass</v>
          </cell>
        </row>
        <row r="67">
          <cell r="A67">
            <v>2666</v>
          </cell>
          <cell r="B67" t="str">
            <v>Gunjan Malhotra</v>
          </cell>
          <cell r="C67">
            <v>9971518253</v>
          </cell>
          <cell r="D67" t="str">
            <v>H. No. 298C, 1st Floor, Block G, Sushant Lok-2</v>
          </cell>
          <cell r="E67" t="str">
            <v>Artemis</v>
          </cell>
          <cell r="F67" t="str">
            <v>Thursday</v>
          </cell>
          <cell r="G67" t="str">
            <v>4 PM to 7 PM</v>
          </cell>
          <cell r="H67">
            <v>1450</v>
          </cell>
          <cell r="I67">
            <v>362.5</v>
          </cell>
          <cell r="J67" t="str">
            <v>Bliss</v>
          </cell>
          <cell r="K67" t="str">
            <v>Paytm From Gunjan Malhotra // Hold n start from 04th Sep (02/08) Change day to Thursday (31/08) Do not count last Del (20/12) Skip 1 week (02/02) Skip 1 week (25/03)</v>
          </cell>
          <cell r="N67" t="str">
            <v>1  del of this cycle   -  1-cycles pmnt   Pending - Collect 1450</v>
          </cell>
          <cell r="O67" t="str">
            <v>Pur n P Car ( 14 inch ) 9     Grass</v>
          </cell>
          <cell r="P67" t="str">
            <v>Mix Alstroemeria ( 12 Inch ) 16     FF Sachet + Grass</v>
          </cell>
          <cell r="Q67" t="str">
            <v>Pur Eustoma ( 12 Inch ) 3     FF Sachet + Grass</v>
          </cell>
          <cell r="R67" t="str">
            <v>P Asiatic ( 14 Inch ) 3     Grass</v>
          </cell>
          <cell r="S67" t="str">
            <v>Rajni ( 14 Inch ) 16     Grass</v>
          </cell>
          <cell r="T67" t="str">
            <v>G n W Car ( 14 Inch ) 16     FF Sachet + Grass</v>
          </cell>
        </row>
        <row r="68">
          <cell r="A68">
            <v>2578</v>
          </cell>
          <cell r="B68" t="str">
            <v>Suchit Agarwal</v>
          </cell>
          <cell r="C68">
            <v>9999404880</v>
          </cell>
          <cell r="D68" t="str">
            <v>T-A/702, Kanchanjunga Towers, Sec 56</v>
          </cell>
          <cell r="E68" t="str">
            <v>Sector 56</v>
          </cell>
          <cell r="F68" t="str">
            <v>Thursday</v>
          </cell>
          <cell r="G68" t="str">
            <v>4 Pm to 7 PM</v>
          </cell>
          <cell r="H68">
            <v>999</v>
          </cell>
          <cell r="I68">
            <v>249.75</v>
          </cell>
          <cell r="J68" t="str">
            <v>Delight</v>
          </cell>
          <cell r="K68" t="str">
            <v>Paytm From Richa Handa (20/06) Skip Thursday and send on Sunday (23/02) Skip tom n send on Sunday this week (01/04) HDTNP (25/06)</v>
          </cell>
          <cell r="N68" t="str">
            <v>4  del of this cycle   -  0-cycles pmnt   Completed - Collect 0</v>
          </cell>
          <cell r="O68" t="str">
            <v>Mix Alstroemeria ( 12 Inch ) 9     Grass</v>
          </cell>
          <cell r="P68" t="str">
            <v>Sunflower ( 12 Inch ) 2     FF Sachet + Grass</v>
          </cell>
          <cell r="Q68" t="e">
            <v>#N/A</v>
          </cell>
          <cell r="R68" t="str">
            <v xml:space="preserve">Collect 500 n Close      </v>
          </cell>
          <cell r="S68" t="str">
            <v>Pur n P Car ( 14 Inch ) 9     FF Sachet + Grass</v>
          </cell>
          <cell r="T68" t="str">
            <v>O Asiatic ( 14 Inch ) 2     Grass</v>
          </cell>
        </row>
        <row r="69">
          <cell r="A69">
            <v>2644</v>
          </cell>
          <cell r="B69" t="str">
            <v>Sanjeet Kaur</v>
          </cell>
          <cell r="C69">
            <v>7889438209</v>
          </cell>
          <cell r="D69" t="str">
            <v>601, Emerald Green, Sector 52</v>
          </cell>
          <cell r="E69" t="str">
            <v>Artemis</v>
          </cell>
          <cell r="F69" t="str">
            <v>Thursday</v>
          </cell>
          <cell r="G69" t="str">
            <v>9:30 Am to 2 PM</v>
          </cell>
          <cell r="H69">
            <v>1450</v>
          </cell>
          <cell r="I69">
            <v>362.5</v>
          </cell>
          <cell r="J69" t="str">
            <v>Bliss</v>
          </cell>
          <cell r="K69" t="str">
            <v>1 Gypsola in each Del (16/05) Paytm From Arshia Kaur (13/06) Paytm From Yogpal Singh (20/12) Do not count todays delivery (30/04)</v>
          </cell>
          <cell r="M69" t="str">
            <v>1 Gyposla in each Del</v>
          </cell>
          <cell r="N69" t="str">
            <v>2  del of this cycle   -  0-cycles pmnt   Completed - Collect 0</v>
          </cell>
          <cell r="O69" t="str">
            <v>P n W Glad ( 14 Inch ) 9     Gras</v>
          </cell>
          <cell r="P69" t="str">
            <v>Y Spray Daisy ( 14 Inch ) 3     1 Gypsola + FF Sachet</v>
          </cell>
          <cell r="Q69" t="str">
            <v>B Daisy ( 12 Inch ) 9     Grass</v>
          </cell>
          <cell r="R69" t="str">
            <v>P Asiatic ( 14 Inch ) 2     Grass</v>
          </cell>
          <cell r="S69" t="str">
            <v>Pur n P Car ( 14 Inch ) 16     FF Sachet + Grass</v>
          </cell>
          <cell r="T69" t="str">
            <v>P n Y Spray Daisy ( 14 Inch ) 5     FF Sachet + Grass</v>
          </cell>
        </row>
        <row r="70">
          <cell r="A70">
            <v>3144</v>
          </cell>
          <cell r="B70" t="str">
            <v>Samar Singh</v>
          </cell>
          <cell r="C70">
            <v>9582363043</v>
          </cell>
          <cell r="D70" t="str">
            <v>C-13, DLF Icon</v>
          </cell>
          <cell r="H70">
            <v>1450</v>
          </cell>
          <cell r="J70" t="str">
            <v>Bliss</v>
          </cell>
          <cell r="T70" t="str">
            <v>P Spray Daisy ( 14 Inch ) 3 Carnation 7   FF Sachet + Grass</v>
          </cell>
        </row>
        <row r="71">
          <cell r="A71">
            <v>1982</v>
          </cell>
          <cell r="B71" t="str">
            <v>Manvi Bajpai</v>
          </cell>
          <cell r="C71">
            <v>8860046280</v>
          </cell>
          <cell r="D71" t="str">
            <v>A-43, Westend Heights</v>
          </cell>
          <cell r="E71" t="str">
            <v>DLF Phase 5</v>
          </cell>
          <cell r="F71" t="str">
            <v>Thursday</v>
          </cell>
          <cell r="G71" t="str">
            <v>9 AM - 12 PM</v>
          </cell>
          <cell r="H71">
            <v>1450</v>
          </cell>
          <cell r="I71">
            <v>362.5</v>
          </cell>
          <cell r="J71" t="str">
            <v>Bliss</v>
          </cell>
          <cell r="K71" t="str">
            <v>Preferred Flowers-- Car//Rose//Guldawari//Gerbera//Orchid//Spray Daisy (27/09) 4th Del was on Hold (10/10) Skip 1 week (21/10) Skip 1 week (02/03) No Orchid (27/04) Hold n start after 15th Sep (18/08) Skip 1 week (19/10) Skip 1 week (17/12) Skip 2 week (17/03) Sending del today instead of tom (26/04) Skip 1 week (13/08) Skip 1 week (10/10) Return today (26/10) Today Hold (28/12) Skip 2 week (27/01) Skip 1 week (14/03) Skip 2 weks (17/04) Skip 2 week (01/06) Payment from Sreyansh Updhyay (19/07) Skip 18th to 25th (02/10) Skip 1 week (06/020</v>
          </cell>
          <cell r="L71" t="str">
            <v>ORCHID</v>
          </cell>
          <cell r="N71" t="str">
            <v>1  del of this cycle   -  0-cycles pmnt   Completed - Collect 0</v>
          </cell>
          <cell r="O71" t="e">
            <v>#N/A</v>
          </cell>
          <cell r="P71" t="e">
            <v>#N/A</v>
          </cell>
          <cell r="Q71" t="e">
            <v>#N/A</v>
          </cell>
          <cell r="R71" t="e">
            <v>#N/A</v>
          </cell>
          <cell r="S71" t="e">
            <v>#N/A</v>
          </cell>
          <cell r="T71" t="str">
            <v>G n W Car ( 14 Inch ) 16     FF Sachet + Grass</v>
          </cell>
        </row>
        <row r="72">
          <cell r="A72">
            <v>3063</v>
          </cell>
          <cell r="B72" t="str">
            <v>Shinjini Mehrotra</v>
          </cell>
          <cell r="C72">
            <v>9810198315</v>
          </cell>
          <cell r="D72" t="str">
            <v>F-109, 2nd Floor, Suncity</v>
          </cell>
          <cell r="E72" t="str">
            <v>Golf Course Road</v>
          </cell>
          <cell r="F72" t="str">
            <v>Thursday</v>
          </cell>
          <cell r="G72" t="str">
            <v>9 AM - 12 PM</v>
          </cell>
          <cell r="H72">
            <v>1450</v>
          </cell>
          <cell r="I72">
            <v>362.5</v>
          </cell>
          <cell r="J72" t="str">
            <v>Bliss</v>
          </cell>
          <cell r="K72" t="str">
            <v>Hold 4 Weeks (04/12) Skip 1 week (14/02) Skip 2 week (28/02) Skip 1 week  (01/04) Hold till 29th Apr (06/04)</v>
          </cell>
          <cell r="N72" t="str">
            <v>2  del of this cycle   -  0-cycles pmnt   CompletedNO COLLECTION-we have extra money - Collect -100</v>
          </cell>
          <cell r="O72" t="str">
            <v>Pur Eustoma ( 12 Inch ) 3     FF Sachet + Grass</v>
          </cell>
          <cell r="P72" t="str">
            <v>Sunflower ( 12 Inch ) 4     FF Sachet + Grass</v>
          </cell>
          <cell r="Q72" t="str">
            <v>P n W Glad ( 14 Inch ) 16     Grass</v>
          </cell>
          <cell r="R72" t="str">
            <v>P Asiatic ( 14 Inch ) 3     Grass</v>
          </cell>
          <cell r="S72" t="str">
            <v>Rajni ( 14 Inch ) 16     Grass</v>
          </cell>
          <cell r="T72" t="str">
            <v>G n W Car ( 14 Inch ) 16     FF Sachet + Grass</v>
          </cell>
        </row>
        <row r="73">
          <cell r="A73">
            <v>442</v>
          </cell>
          <cell r="B73" t="str">
            <v>Ruchi Mathure--Before 10:30 AM</v>
          </cell>
          <cell r="C73">
            <v>9871265555</v>
          </cell>
          <cell r="D73" t="str">
            <v>D-013, Westend height, DLF-5</v>
          </cell>
          <cell r="E73" t="str">
            <v>DLF Phase 5</v>
          </cell>
          <cell r="F73" t="str">
            <v>Thursday</v>
          </cell>
          <cell r="G73" t="str">
            <v>9 AM - 12 PM</v>
          </cell>
          <cell r="H73">
            <v>1450</v>
          </cell>
          <cell r="I73">
            <v>362.5</v>
          </cell>
          <cell r="J73" t="str">
            <v>Bliss</v>
          </cell>
          <cell r="K73" t="str">
    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    </cell>
          <cell r="L73" t="str">
            <v>Sunflower</v>
          </cell>
          <cell r="M73" t="str">
            <v>No White even in mixed // Skip 23rd and sned on 26th (20/04)</v>
          </cell>
          <cell r="N73" t="str">
            <v>3  del of this cycle   -  0-cycles pmnt   Completed - Collect 0</v>
          </cell>
          <cell r="O73" t="str">
            <v>P Glad ( 14 Inch ) 16 No White     Grass</v>
          </cell>
          <cell r="P73" t="str">
            <v>P n Y Spray Daisy ( 14 Inch ) 5 No White Flower  No White Flower   FF Sachet + Grass</v>
          </cell>
          <cell r="Q73" t="str">
            <v>Pur n P Car ( 14 Inch ) 16     FF Sachet + Grass</v>
          </cell>
          <cell r="R73" t="str">
            <v>Pur Eustoma ( 12 Inch ) 3     FF Sachet + Grass</v>
          </cell>
          <cell r="S73" t="str">
            <v>Rajni ( 14 Inch ) 16     Grass</v>
          </cell>
          <cell r="T73" t="str">
            <v>P n W Glad ( 14 Inch ) 16     Grass</v>
          </cell>
        </row>
        <row r="74">
          <cell r="A74">
            <v>484</v>
          </cell>
          <cell r="B74" t="str">
            <v>Deepti Chhabra</v>
          </cell>
          <cell r="C74">
            <v>9811230451</v>
          </cell>
          <cell r="D74" t="str">
            <v>A-061, Westend Heights</v>
          </cell>
          <cell r="E74" t="str">
            <v>DLF Phase 5</v>
          </cell>
          <cell r="F74" t="str">
            <v>Thursday</v>
          </cell>
          <cell r="G74" t="str">
            <v>4 PM to 7PM</v>
          </cell>
          <cell r="H74">
            <v>1950</v>
          </cell>
          <cell r="I74">
            <v>487.5</v>
          </cell>
          <cell r="J74" t="str">
            <v>Joy</v>
          </cell>
          <cell r="K74" t="str">
            <v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Skip 2 week (16/05) Hod n start from July (04/06)</v>
          </cell>
          <cell r="L74" t="str">
            <v>ROSE</v>
          </cell>
          <cell r="N74" t="str">
            <v>3  del of this cycle   -  0-cycles pmnt   Completed - Collect 0</v>
          </cell>
          <cell r="O74" t="e">
            <v>#N/A</v>
          </cell>
          <cell r="P74" t="e">
            <v>#N/A</v>
          </cell>
          <cell r="Q74" t="e">
            <v>#N/A</v>
          </cell>
          <cell r="R74" t="str">
            <v>Pur n P Car ( 14 Inch ) 22     FF Sachet + Grass</v>
          </cell>
          <cell r="S74" t="str">
            <v>Rajni ( 14 Inch ) 22   Collect Payment Collect Payment Grass</v>
          </cell>
          <cell r="T74" t="str">
            <v>O Asiatic ( 14 Inch ) 4     Grass</v>
          </cell>
        </row>
        <row r="75">
          <cell r="A75">
            <v>3385</v>
          </cell>
          <cell r="B75" t="str">
            <v>Srishti Verma</v>
          </cell>
          <cell r="C75">
            <v>9604584926</v>
          </cell>
          <cell r="D75" t="str">
            <v>H. No. 126, Flat No. 302, Road D3, Indira Colony, Sec 52</v>
          </cell>
          <cell r="E75" t="str">
            <v>Artemis</v>
          </cell>
          <cell r="F75" t="str">
            <v>Thursday</v>
          </cell>
          <cell r="G75" t="str">
            <v>4 Pm to 7 PM</v>
          </cell>
          <cell r="H75">
            <v>1950</v>
          </cell>
          <cell r="I75">
            <v>487.5</v>
          </cell>
          <cell r="J75" t="str">
            <v>Joy</v>
          </cell>
          <cell r="K75" t="str">
            <v>Skip 1 Week (06/07)</v>
          </cell>
          <cell r="N75" t="str">
            <v>3  del of this cycle   -  0-cycles pmnt   Completed - Collect 0</v>
          </cell>
          <cell r="O75" t="e">
            <v>#N/A</v>
          </cell>
          <cell r="P75" t="e">
            <v>#N/A</v>
          </cell>
          <cell r="Q75" t="str">
            <v>Pur n P Car ( 14 Inch ) 22     FF Sachet + Grass</v>
          </cell>
          <cell r="R75" t="str">
            <v>O Asiatic ( 14 Inch ) 4     Grass</v>
          </cell>
          <cell r="S75" t="e">
            <v>#N/A</v>
          </cell>
          <cell r="T75" t="str">
            <v>Mix Car ( 14 Inch ) 22     FF Sachet + Grass</v>
          </cell>
        </row>
        <row r="76">
          <cell r="A76">
            <v>949</v>
          </cell>
          <cell r="B76" t="str">
            <v>Meenu Amrith-- Evening Only</v>
          </cell>
          <cell r="C76">
            <v>9891350735</v>
          </cell>
          <cell r="D76" t="str">
            <v>H. No. 579, Ground Floor,Near Dell-- Sec-43</v>
          </cell>
          <cell r="E76" t="str">
            <v>DLF Phase 5</v>
          </cell>
          <cell r="F76" t="str">
            <v>Thursday</v>
          </cell>
          <cell r="G76" t="str">
            <v>10 AM to 2:30 PM</v>
          </cell>
          <cell r="H76">
            <v>1450</v>
          </cell>
          <cell r="I76">
            <v>362.5</v>
          </cell>
          <cell r="J76" t="str">
            <v>Bliss</v>
          </cell>
          <cell r="K76" t="str">
            <v>Sunday to Thurs//Skip next week(21/01) Skip 1 week(12/02) Hold n start from 1st week of May(06/03) Pls start from coming Tuesday(14/03)  Send Sunday Del on Sat This week(12/11) Skip 1 week(29/01) today hold and skip 1 more week(27/02) Start from 24th Mar(08/03) Hold n start from 16th June(18/05) Hold 3 Weeks(13/07) she saying that 10th Del Not received(11/11) Not avaible till 25th (14/11) Hold today(19/01) Skip 2 weeks (22/02) Skip 2 weeks (26/06) Hold n start after 15th Sep (18/08) Skip Tom (28/02) Hold n start from 13th June (24/05) Skip 1 week (23/07) Skip 1 week (04/12) Skip 1 week (12/03) Skip 1 week (18/01) Skip 1 weeek (13/05)</v>
          </cell>
          <cell r="N76" t="str">
            <v>1  del of this cycle   -  1-cycles pmnt   Pending - Collect 1450</v>
          </cell>
          <cell r="O76" t="str">
            <v>P Asiatic ( 14 Inch )  3     Grass</v>
          </cell>
          <cell r="P76" t="str">
            <v>Pur n P Car ( 14 inch ) 16     FF Sachet + Grass</v>
          </cell>
          <cell r="Q76" t="str">
            <v>Pur Eustoma ( 12 Inch ) 3     FF Sachet + Grass</v>
          </cell>
          <cell r="R76" t="str">
            <v>P n W Glad ( 14 Inch ) 16     Grass</v>
          </cell>
          <cell r="S76" t="str">
            <v>Sunflower ( 12 Inch ) 4     FF Sachet + Grass</v>
          </cell>
          <cell r="T76" t="str">
            <v>O Asiatic ( 14 Inch ) 3     Grass</v>
          </cell>
        </row>
        <row r="77">
          <cell r="A77">
            <v>2716</v>
          </cell>
          <cell r="B77" t="str">
            <v>Simmi Chopra</v>
          </cell>
          <cell r="C77">
            <v>9891744488</v>
          </cell>
          <cell r="D77" t="str">
            <v>B/145, Suncity, Golf Course Road</v>
          </cell>
          <cell r="E77" t="str">
            <v>Golf Course Road</v>
          </cell>
          <cell r="F77" t="str">
            <v>Thursday</v>
          </cell>
          <cell r="G77" t="str">
            <v>9 AM - 12 PM</v>
          </cell>
          <cell r="H77">
            <v>2750</v>
          </cell>
          <cell r="I77">
            <v>687.5</v>
          </cell>
          <cell r="J77" t="str">
            <v>Elation</v>
          </cell>
          <cell r="K77" t="str">
            <v>Upgrade to Elation (27/08) Send 10 B daisy next extra (04/10) Today Hold (04/12) Send one Del Tom (30/12)</v>
          </cell>
          <cell r="M77" t="str">
            <v>Send on del tom and no del on 1st Jan (30/12)</v>
          </cell>
          <cell r="N77" t="str">
            <v>4  del of this cycle   -  0-cycles pmnt   Completed - Collect 0</v>
          </cell>
          <cell r="O77" t="str">
            <v>Sunflower ( 12 Inch ) 4 Mix Alstroemeria ( 12 Inch ) 16   2 Limonium + FF Sachet</v>
          </cell>
          <cell r="P77" t="str">
            <v xml:space="preserve">P Asiatic ( 14 Inch ) 3 P n W Glad ( 14 Inch ) 16   2 Gypsola </v>
          </cell>
          <cell r="Q77" t="str">
            <v>Pur n P Eustoma ( 12 Inch ) 4 Pur n P Car ( 14 Inch ) 16   2 Limonium + FF Sachet</v>
          </cell>
          <cell r="R77" t="str">
            <v xml:space="preserve">P n W Spray Daisy ( 14 Inch ) 5 Rajni ( 14 Inch ) 16   2 Gypsola + FF Sachet </v>
          </cell>
          <cell r="S77" t="str">
            <v>Sunflower ( 12 Inch ) 4 Mix Alstroemeria ( 12 Inch ) 16   2 Limonium + FF Sachet</v>
          </cell>
          <cell r="T77" t="str">
            <v>O Asiatic ( 14 Inch ) 3 P n W Glad ( 14 Inch ) 16   2 Gypsola</v>
          </cell>
        </row>
        <row r="78">
          <cell r="A78">
            <v>19</v>
          </cell>
          <cell r="B78" t="str">
            <v>Mrs. Geeta Chopra</v>
          </cell>
          <cell r="C78">
            <v>9811373448</v>
          </cell>
          <cell r="D78" t="str">
            <v>E-64,Ground Floor,Suncity,Sec-54</v>
          </cell>
          <cell r="E78" t="str">
            <v>Golf Course Road</v>
          </cell>
          <cell r="F78" t="str">
            <v>Thursday</v>
          </cell>
          <cell r="G78" t="str">
            <v>9 AM - 12 PM</v>
          </cell>
          <cell r="H78">
            <v>1450</v>
          </cell>
          <cell r="I78">
            <v>362.5</v>
          </cell>
          <cell r="J78" t="str">
            <v>Bliss</v>
          </cell>
          <cell r="K78" t="str">
            <v>Sunday to Thurs//No Rajni (22/05)NO GERBERA(11/08), next time 3 sticks extra (30/3) Send replacement with 3 sticks extra tom and send special pack too(14/04) NO GLAD(22/06) NO ORCHID(13/07) Send FF Next Week(20/07) FF Sold today(27/07) Add Changed(20/12) SEND ALL FLOWERS(18/02) START WITH 650 PLAN(19/05/20) Send Replacement(14/07) Send Replacement (04/11) Hold due to non payment (02/01) Hold due to non payment (08/01) today missed send on sunday (28/05)</v>
          </cell>
          <cell r="N78" t="str">
            <v>1  del of this cycle   -  1-cycles pmnt   Pending - Collect 1450</v>
          </cell>
          <cell r="O78" t="str">
            <v>Mix Alstroemeria ( 12 Inch ) 16     FF Sachet + Grass</v>
          </cell>
          <cell r="P78" t="str">
            <v>O Asiatic ( 14 Inch ) 3     Grass</v>
          </cell>
          <cell r="Q78" t="str">
            <v>B Daisy ( 12 Inch ) 16  Collect Payment Collect Payment Collect Payment Grass</v>
          </cell>
          <cell r="R78" t="str">
            <v>Pur n P Car ( 14 Inch ) 16    Collect Payment FF Sachet + Grass</v>
          </cell>
          <cell r="S78" t="str">
            <v>Sunflower ( 12 Inch ) 4     FF Sachet + Grass</v>
          </cell>
          <cell r="T78" t="str">
            <v>P n W Glad ( 14 Inch ) 16     Grass</v>
          </cell>
        </row>
        <row r="79">
          <cell r="A79">
            <v>244</v>
          </cell>
          <cell r="B79" t="str">
            <v>Garima jain</v>
          </cell>
          <cell r="C79">
            <v>9958581403</v>
          </cell>
          <cell r="D79" t="str">
            <v xml:space="preserve"> G-901, Central Park 1, Golf Course Road    Sec 42 Gurgaon  122002</v>
          </cell>
          <cell r="E79" t="str">
            <v>Golf Course Road</v>
          </cell>
          <cell r="F79" t="str">
            <v>Thursday</v>
          </cell>
          <cell r="G79" t="str">
            <v>9 AM - 12 PM</v>
          </cell>
          <cell r="H79">
            <v>1450</v>
          </cell>
          <cell r="I79">
            <v>1450</v>
          </cell>
          <cell r="J79" t="str">
            <v>Bliss</v>
          </cell>
          <cell r="K79" t="str">
    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    </cell>
          <cell r="N79" t="str">
            <v>4  del of this cycle   -  0-cycles pmnt   Completed - Collect 0</v>
          </cell>
          <cell r="O79" t="str">
            <v>Mix Alstroemeria ( 12 Inch ) 9 Pls Collect Cash     Grass</v>
          </cell>
          <cell r="P79" t="str">
            <v>Pur n P Car ( 14 inch ) 9     Grass</v>
          </cell>
          <cell r="Q79" t="str">
            <v>Pur Eustoma ( 12 Inch ) 3     FF Sachet + Grass</v>
          </cell>
          <cell r="R79" t="str">
            <v>Rajni ( 14 Inch ) 16     Grass</v>
          </cell>
          <cell r="S79" t="str">
            <v>O Asiatic ( 14 Inch ) 3     Grass</v>
          </cell>
          <cell r="T79" t="str">
            <v>P n Y Spray Daisy ( 14 Inch ) 5     FF Sachet + Grass</v>
          </cell>
        </row>
        <row r="80">
          <cell r="A80">
            <v>3128</v>
          </cell>
          <cell r="B80" t="str">
            <v>Shikha Malhotra</v>
          </cell>
          <cell r="C80">
            <v>9873498869</v>
          </cell>
          <cell r="D80" t="str">
            <v>M-254, Park Place</v>
          </cell>
          <cell r="E80" t="str">
            <v>Golf Course Road</v>
          </cell>
          <cell r="F80" t="str">
            <v>Thursday</v>
          </cell>
          <cell r="G80" t="str">
            <v>4 PM to 7 PM</v>
          </cell>
          <cell r="H80">
            <v>1450</v>
          </cell>
          <cell r="I80">
            <v>362.5</v>
          </cell>
          <cell r="J80" t="str">
            <v>Bliss</v>
          </cell>
          <cell r="K80" t="str">
            <v>Skip 2 week after 13th (07/11) Today Hold (04/12) Paytm From Vivek Malhotra //</v>
          </cell>
          <cell r="N80" t="str">
            <v>1  del of this cycle   -  1-cycles pmnt   Pending - Collect 1450</v>
          </cell>
          <cell r="O80" t="e">
            <v>#N/A</v>
          </cell>
          <cell r="P80" t="str">
            <v>Pur n P Car ( 14 inch ) 16     FF Sachet + Grass</v>
          </cell>
          <cell r="Q80" t="str">
            <v>P Asiatic ( 14 Inch ) 3  Collect Payment Collect Payment Collect Payment Grass</v>
          </cell>
          <cell r="R80" t="str">
            <v>Rajni ( 14 Inch ) 16     Grass</v>
          </cell>
          <cell r="S80" t="str">
            <v>P n Y Spray Daisy ( 14 Inch ) 5     FF Sachet + Grass</v>
          </cell>
          <cell r="T80" t="str">
            <v>Asiatic 3     Grass</v>
          </cell>
        </row>
        <row r="81">
          <cell r="A81">
            <v>2200</v>
          </cell>
          <cell r="B81" t="str">
            <v>Naina Gandhi</v>
          </cell>
          <cell r="C81">
            <v>9811188863</v>
          </cell>
          <cell r="D81" t="str">
            <v>K2/105, Central Park -1</v>
          </cell>
          <cell r="E81" t="str">
            <v>Golf Course Road</v>
          </cell>
          <cell r="F81" t="str">
            <v>Thursday</v>
          </cell>
          <cell r="G81" t="str">
            <v>9 AM - 12 PM</v>
          </cell>
          <cell r="H81">
            <v>2300</v>
          </cell>
          <cell r="I81">
            <v>287.5</v>
          </cell>
          <cell r="J81" t="str">
            <v>Felicity</v>
          </cell>
          <cell r="K81" t="str">
            <v>Thursday n Sunday//Send Replacement tom (17/01) No Spray Daisy (19/02) Skip 4th Del (07/05) Do not count last del (29/08) No Flowers Tom (28/09) Skip this Thursday (01/10) Hold till 10th Nov (25/10) Hold this Sunday (13/12) Skip 1 week (01/02) Skip 1 week (16/02) Hold and start from May(28/03) Hold n start from 1st June (22/05) Skip 2 week (22/06) Skip tom (26/07) Skip 1 week (04/10) Hold tom (25/10) Skip 2 week (31/10) Skip 1 week 1 week (22/11) Skip this thursday (10/12) Skip 2 week (20/12) Skip sunday (07/01) Hold from 23rd May to 14th JUne (19/05) Skip 1 week and send on Monday (23/06)</v>
          </cell>
          <cell r="L81" t="str">
            <v>SPRAY DAISY</v>
          </cell>
          <cell r="M81" t="str">
            <v>Check for Bi weekly package</v>
          </cell>
          <cell r="N81" t="str">
            <v>5  del of this cycle   -  0-cycles pmnt   Completed - Collect 0</v>
          </cell>
          <cell r="O81" t="e">
            <v>#N/A</v>
          </cell>
          <cell r="P81" t="str">
            <v>P n W Glad ( 14 Inch ) 11     Grass</v>
          </cell>
          <cell r="Q81" t="e">
            <v>#N/A</v>
          </cell>
          <cell r="R81" t="str">
            <v>Pur n P Car ( 14 Inch ) 11     FF Sachet + Grass</v>
          </cell>
          <cell r="S81" t="str">
            <v>B Daisy ( 12 Inch ) 11     Grass</v>
          </cell>
          <cell r="T81" t="str">
            <v>P n W Glad ( 14 Inch ) 11     Grass</v>
          </cell>
        </row>
        <row r="82">
          <cell r="A82">
            <v>2868</v>
          </cell>
          <cell r="B82" t="str">
            <v>Group Captain Prabal Bir Singh</v>
          </cell>
          <cell r="C82">
            <v>7827468667</v>
          </cell>
          <cell r="D82" t="str">
            <v>603, Shivshakti CGHS, Plot-94, Near Ati Chowk</v>
          </cell>
          <cell r="E82" t="str">
            <v>DLF Phase 5</v>
          </cell>
          <cell r="F82" t="str">
            <v>Thursday</v>
          </cell>
          <cell r="G82" t="str">
            <v>9 AM to 2 PM</v>
          </cell>
          <cell r="H82">
            <v>1450</v>
          </cell>
          <cell r="I82">
            <v>362.5</v>
          </cell>
          <cell r="J82" t="str">
            <v>Bliss</v>
          </cell>
          <cell r="N82" t="str">
            <v>2  del of this cycle   -  0-cycles pmnt   Completed - Collect 0</v>
          </cell>
          <cell r="O82" t="str">
            <v>P n W Glad ( 14 Inch ) 9     Gras</v>
          </cell>
          <cell r="P82" t="str">
            <v>Sunflower ( 12 Inch ) 2     FF Sachet + Grass</v>
          </cell>
          <cell r="Q82" t="str">
            <v>Rajni ( 14 Inch ) 9     Grass</v>
          </cell>
          <cell r="R82" t="str">
            <v>P Asiatic ( 14 Inch ) 2     Grass</v>
          </cell>
          <cell r="S82" t="str">
            <v>P n W Car ( 14 Inch ) 16     FF Sachet + Grass</v>
          </cell>
          <cell r="T82" t="str">
            <v>P n Y Spray Daisy ( 14 Inch ) 5     FF Sachet + Grass</v>
          </cell>
        </row>
        <row r="83">
          <cell r="A83">
            <v>836</v>
          </cell>
          <cell r="B83" t="str">
            <v>Namrata Khandelwal -- After 5 PM</v>
          </cell>
          <cell r="C83">
            <v>9818392977</v>
          </cell>
          <cell r="D83" t="str">
            <v>1119, Magnolia</v>
          </cell>
          <cell r="E83" t="str">
            <v>DLF Phase 5</v>
          </cell>
          <cell r="F83" t="str">
            <v>Thursday</v>
          </cell>
          <cell r="G83" t="str">
            <v>After 5 PM</v>
          </cell>
          <cell r="H83">
            <v>4750</v>
          </cell>
          <cell r="I83">
            <v>1187.5</v>
          </cell>
          <cell r="J83" t="str">
            <v>Enchantment</v>
          </cell>
          <cell r="K83" t="str">
            <v>Sunday n Thursday//Tuesday and Satirday(20/04)Monday and Thursday(22/01)Friday and Sunday Now//Monday and Friday// AVOID CAR(09/05)  NO RAJNI TILL IT HAS FRAGRANCE(03/10)  NO CAR N GLAD(15/12)  Send Gerbera next(02/09/20) Preferred Flowers-- Car + Guldawari + Heliconia(30/11) Send Asiatic Lily and BOP or Anthurium(03/12) Hold n start after 20th Dec(09/12) Skip 1 week(07/05) Hold n send on 23rd n after(10/08) 2 Pack of 2850(01/09) Skip next delivery(09/09) Skip tom Delivery(12/09) Skip coming delivery (06/10) Next Del from tuesday (28/10) Skip tom del (11/11) Skip next del (18/11) No wchange to Weekly Plan (28/11) Hold n start from 4th Feb (04/01) Hold tom (24/02) Skip 1 week (02/03) Skip 2 weeks (25/03) Hold till 19th May (24/04) Skip thursday Del (02/10) Skip tom Del (07/10) Skip tom also (11/10) Skip tom (21/10) NO ROSE (04/01) Skip 1 week (08/01) Start from 1st Feb (24/01) Skip 1 Week (21/02) Skip 1 week (29/02) Skip 1 week (06/03). NO POLLEN FLOWERS EVER (27/04) Skip 1 week (12/05) Skip next Del (15/06) Skip this thursday (28/07) Skip 1 week (14/08) Skip 1 week (20/08) Skip tom (28/08) Skip tom (31/08) Hold today (08/09) No Asiatic/Gerbera and Rose (17/09) No Lily (19/10) Skip 1 week (30/10) Skip 1 week (11/12) Hold today and send tom (10/04) Send this week del on wednesday (21/04) Skip this week (29/05) Send on wednsday this week (02/06) Skip 1 week (03/09) Skip 1  Skip tom (07/01)week (11/09) No Gerbera (28/11) Skip 1 week (11/02) Skip 1 week (18/02) Skip tom (04/03) Skip 2 weeks (24/05)</v>
          </cell>
          <cell r="L83" t="str">
            <v>Pllen Flowers and Gerbera</v>
          </cell>
          <cell r="M83" t="str">
            <v>No Polen Flowers (20/08)</v>
          </cell>
          <cell r="N83" t="str">
            <v>2  del of this cycle   -  0-cycles pmnt   Completed - Collect 0</v>
          </cell>
          <cell r="O83" t="str">
            <v>Pur n P Eustoma ( 12 Inch ) 6 Pur n P Car ( 14 inch ) 30   3 Areca Palm + 3 Limonium + FF Sachet</v>
          </cell>
          <cell r="P83" t="e">
            <v>#N/A</v>
          </cell>
          <cell r="Q83" t="e">
            <v>#N/A</v>
          </cell>
          <cell r="R83" t="e">
            <v>#N/A</v>
          </cell>
          <cell r="S83" t="e">
            <v>#N/A</v>
          </cell>
          <cell r="T83" t="str">
            <v>P n Y Spray Daisy ( 14 Inch ) 10 G n W Car ( 14 Inch ) 30   3 Areca Palm + 3 Gypsola</v>
          </cell>
        </row>
        <row r="84">
          <cell r="A84" t="str">
            <v>B56466</v>
          </cell>
          <cell r="B84" t="str">
            <v>Lakshmi</v>
          </cell>
          <cell r="C84">
            <v>9810075054</v>
          </cell>
          <cell r="D84" t="str">
            <v>T-11/2C, Central Park Resort</v>
          </cell>
          <cell r="E84" t="str">
            <v>Sohna Road 2</v>
          </cell>
          <cell r="F84" t="str">
            <v>Thursday</v>
          </cell>
          <cell r="G84" t="str">
            <v>By 10 AM</v>
          </cell>
          <cell r="H84">
            <v>1800</v>
          </cell>
          <cell r="I84">
            <v>1800</v>
          </cell>
          <cell r="J84" t="str">
            <v>Bouquet</v>
          </cell>
          <cell r="K84" t="str">
            <v>8 Red n W Asiatic // Happy Birthday 🎉:)</v>
          </cell>
          <cell r="T84" t="str">
            <v xml:space="preserve">Semi Bloom Red n W Asiatic 8 Single Wrap Message   </v>
          </cell>
        </row>
        <row r="85">
          <cell r="A85" t="str">
            <v>G-00015</v>
          </cell>
          <cell r="B85" t="str">
            <v>Harsh  - Unikon</v>
          </cell>
          <cell r="C85">
            <v>9015463811</v>
          </cell>
          <cell r="D85" t="str">
            <v>AR-903B, 3rd Floor, Aralias</v>
          </cell>
          <cell r="E85" t="str">
            <v>Golf Course Road</v>
          </cell>
          <cell r="F85" t="str">
            <v>Thursday</v>
          </cell>
          <cell r="G85" t="str">
            <v>4 Pm to 7 PM</v>
          </cell>
          <cell r="H85">
            <v>2750</v>
          </cell>
          <cell r="I85">
            <v>687.5</v>
          </cell>
          <cell r="J85" t="str">
            <v>Elation</v>
          </cell>
          <cell r="K85" t="str">
            <v>From Deep Bajaj // Message = Your boyfriend:p (05/11) Paytm from Simran Dhawan (04/03) Send 1 delivery tomorrow (17/03) Skip 1 week (10/04) Add change request from Jasjit -- 9560611229</v>
          </cell>
          <cell r="M85" t="str">
            <v>One time Single n One Time Mixed</v>
          </cell>
          <cell r="N85" t="str">
            <v>3  del of this cycle   -  0-cycles pmnt   In Process - Collect 0</v>
          </cell>
          <cell r="O85" t="str">
            <v>Pur n P Eustoma ( 12 Inch ) 4 P n W Glad ( 14 Inch ) 16   2 Limonium + FF Sachet</v>
          </cell>
          <cell r="P85" t="str">
            <v>P n W Spray Daisy ( 14 Inch ) 5 Pur n P Car ( 14 Inch ) 16   2 Gypsola + FF Sachet</v>
          </cell>
          <cell r="Q85" t="str">
            <v>P Asiatic ( 14 Inch ) 3 B Daisy ( 12 Inch ) 16   2 Limonium</v>
          </cell>
          <cell r="R85" t="str">
            <v xml:space="preserve">Eustoma 4 Rajni ( 14 Inch ) 16   2 Gypsola + FF Sachet </v>
          </cell>
          <cell r="S85" t="str">
            <v>Sunflower ( 12 Inch ) 4 B Daisy ( 12 Inch ) 16   2 Limonium + FF Sachet</v>
          </cell>
          <cell r="T85" t="str">
            <v>P n W Spray Daisy ( 14 Inch ) 5 P n W Car ( 14 Inch ) 16   2 Gypsola + FF Sachet</v>
          </cell>
        </row>
        <row r="86">
          <cell r="A86">
            <v>172</v>
          </cell>
          <cell r="B86" t="str">
            <v>Rachna Rathee</v>
          </cell>
          <cell r="C86">
            <v>9811779661</v>
          </cell>
          <cell r="D86" t="str">
            <v xml:space="preserve">DX-106 flat no,Kendriya vihar Sector 56
</v>
          </cell>
          <cell r="E86" t="str">
            <v>Sector 56</v>
          </cell>
          <cell r="F86" t="str">
            <v>Thursday</v>
          </cell>
          <cell r="G86" t="str">
            <v>9 AM - 12 PM</v>
          </cell>
          <cell r="H86">
            <v>1450</v>
          </cell>
          <cell r="I86">
            <v>362.5</v>
          </cell>
          <cell r="J86" t="str">
            <v>Bliss</v>
          </cell>
          <cell r="K86" t="str">
            <v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v>
          </cell>
          <cell r="L86" t="str">
            <v>BLUE ORCHID n GERBERA</v>
          </cell>
          <cell r="N86" t="str">
            <v>4  del of this cycle   -  0-cycles pmnt   Completed - Collect 0</v>
          </cell>
          <cell r="O86" t="e">
            <v>#N/A</v>
          </cell>
          <cell r="P86" t="e">
            <v>#N/A</v>
          </cell>
          <cell r="Q86" t="e">
            <v>#N/A</v>
          </cell>
          <cell r="R86" t="str">
            <v>Pur n P Car ( 14 Inch ) 16     FF Sachet + Grass</v>
          </cell>
          <cell r="S86" t="str">
            <v>Sunflower ( 12 Inch ) 4     FF Sachet + Grass</v>
          </cell>
          <cell r="T86" t="str">
            <v>P n Y Spray Daisy ( 14 Inch ) 5     FF Sachet + Grass</v>
          </cell>
        </row>
        <row r="87">
          <cell r="A87" t="str">
            <v>CP00003</v>
          </cell>
          <cell r="B87" t="str">
            <v>Sumeet -- Anantraj</v>
          </cell>
          <cell r="C87">
            <v>9650468891</v>
          </cell>
          <cell r="D87" t="str">
            <v>Anatraj Estates, Sector 63</v>
          </cell>
          <cell r="E87" t="str">
            <v>Ghata</v>
          </cell>
          <cell r="F87" t="str">
            <v>Friday</v>
          </cell>
          <cell r="G87" t="str">
            <v>By 9 AM</v>
          </cell>
          <cell r="H87">
            <v>28000</v>
          </cell>
          <cell r="I87">
            <v>7000</v>
          </cell>
          <cell r="J87" t="str">
            <v>Corporate</v>
          </cell>
          <cell r="N87" t="str">
            <v>1  del of this cycle   -  0-cycles pmnt   In Process - Collect 0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str">
            <v xml:space="preserve">5 Different Flower Arrangement in Rectangle Vase 5 All Different Arrangements  Pls Send on 17th Morning  Pls Make in Evening of 16th  </v>
          </cell>
        </row>
        <row r="88">
          <cell r="A88">
            <v>3122</v>
          </cell>
          <cell r="B88" t="str">
            <v>Abha Ghosh</v>
          </cell>
          <cell r="C88">
            <v>9650001674</v>
          </cell>
          <cell r="D88" t="str">
            <v>6A, Galicia, Raisina Residency, Sec 59</v>
          </cell>
          <cell r="E88" t="str">
            <v>Ghata</v>
          </cell>
          <cell r="F88" t="str">
            <v>Thursday</v>
          </cell>
          <cell r="G88" t="str">
            <v>9 AM - 12 PM</v>
          </cell>
          <cell r="H88">
            <v>1450</v>
          </cell>
          <cell r="I88">
            <v>362.5</v>
          </cell>
          <cell r="J88" t="str">
            <v>Bliss</v>
          </cell>
          <cell r="K88" t="str">
            <v>Returned yesterday (07/11)</v>
          </cell>
          <cell r="N88" t="str">
            <v>1  del of this cycle   -  0-cycles pmnt   Completed - Collect 0</v>
          </cell>
          <cell r="O88" t="str">
            <v>Pur n P Car ( 14 inch ) 16     FF Sachet + Grass</v>
          </cell>
          <cell r="P88" t="str">
            <v>Sunflower ( 12 Inch ) 4     FF Sachet + Grass</v>
          </cell>
          <cell r="Q88" t="str">
            <v>B Daisy ( 12 Inch ) 16     Grass</v>
          </cell>
          <cell r="R88" t="str">
            <v>P Asiatic ( 14 Inch ) 3     Grass</v>
          </cell>
          <cell r="S88" t="str">
            <v>Rajni ( 14 Inch ) 16     Grass</v>
          </cell>
          <cell r="T88" t="str">
            <v>G n W Car ( 14 Inch ) 16     FF Sachet + Grass</v>
          </cell>
        </row>
        <row r="89">
          <cell r="A89">
            <v>2569</v>
          </cell>
          <cell r="B89" t="str">
            <v>Mrs. Verma</v>
          </cell>
          <cell r="C89">
            <v>9971135993</v>
          </cell>
          <cell r="D89" t="str">
            <v>A1/192, 1st Floor, Sec 55, Sushant Lok-2, Near Orchid International School</v>
          </cell>
          <cell r="E89" t="str">
            <v>Sector 56</v>
          </cell>
          <cell r="F89" t="str">
            <v>Thursday</v>
          </cell>
          <cell r="G89" t="str">
            <v>9 AM - 12 PM</v>
          </cell>
          <cell r="H89">
            <v>1450</v>
          </cell>
          <cell r="I89">
            <v>362.5</v>
          </cell>
          <cell r="J89" t="str">
            <v>Bliss</v>
          </cell>
          <cell r="K89" t="str">
            <v>Return today (01/05) Return today (05/06) Send on Sunday This week (05/06) Upgrade to bliss from next cycle (20/09) Skip 1 week (04/02) Send Replacement tom of Asiatic Lily (16/04) Send Replacement tom (21/05) No Sunflower (21/05)</v>
          </cell>
          <cell r="L89" t="str">
            <v>Sunflower</v>
          </cell>
          <cell r="N89" t="str">
            <v>3  del of this cycle   -  0-cycles pmnt   CompletedNO COLLECTION-we have extra money - Collect -100</v>
          </cell>
          <cell r="O89" t="str">
            <v>Pur Eustoma ( 12 Inch ) 2 Pur n P Car ( 14 inch ) 7   FF Sachet + Grass</v>
          </cell>
          <cell r="P89" t="str">
            <v>Sunflower ( 12 Inch ) 2 P n W Glad ( 14 Inch ) 7   FF Sachet + Grass</v>
          </cell>
          <cell r="Q89" t="str">
            <v>O Asiatic ( 14 Inch ) 2 B Daisy ( 12 Inch ) 7   Grass</v>
          </cell>
          <cell r="R89" t="str">
            <v>P Spray Daisy ( 14 Inch ) 3 Rajni ( 14 Inch ) 7   FF Sachet + Grass</v>
          </cell>
          <cell r="S89" t="str">
            <v>Sunflower ( 12 Inch ) 2 P n W Car ( 14 Inch ) 7   FF Sachet + Grass</v>
          </cell>
          <cell r="T89" t="str">
            <v>P Asiatic ( 14 Inch ) 2 P n W Glad ( 14 Inch ) 7   Grass</v>
          </cell>
        </row>
        <row r="90">
          <cell r="B90" t="str">
            <v>88007 36794‬</v>
          </cell>
          <cell r="C90" t="str">
            <v>88007 36794‬</v>
          </cell>
          <cell r="D90" t="str">
            <v>IndiGo
Ifly Tower C Global Business Park
Near Guru Dronacharya Metro Station Gurgaon</v>
          </cell>
          <cell r="G90" t="str">
            <v>between 2 to 3pm,</v>
          </cell>
          <cell r="H90">
            <v>1500</v>
          </cell>
          <cell r="J90" t="str">
            <v>Bouquet</v>
          </cell>
          <cell r="K90" t="str">
            <v>IndiGo
Ifly Tower C Global Business Park
Near Guru Dronacharya Metro Station Gurgaon
‪+91 88007 36794‬
Pls send today 3 semibloom Asiatic lily , 5 blue orchids, 4 white carnations in same wrap today between 2 to 3pm, amount 1500, don’t ask for payment..</v>
          </cell>
          <cell r="N90" t="str">
            <v>don’t ask for payment..</v>
          </cell>
          <cell r="T90" t="str">
            <v xml:space="preserve">Semi bloom Asiatic lily + blue orchids,+ white carnations  3+5+4 Tissue Wrap    </v>
          </cell>
        </row>
        <row r="91">
          <cell r="B91" t="str">
            <v>Archana</v>
          </cell>
          <cell r="C91">
            <v>9821033196</v>
          </cell>
          <cell r="D91" t="str">
            <v>12C Belgravia Apartments, Tower-10, Central Park Resorts, Sec-48, Gurgaon ,</v>
          </cell>
          <cell r="G91" t="str">
            <v xml:space="preserve">Before 3 Pm </v>
          </cell>
          <cell r="H91">
            <v>3000</v>
          </cell>
          <cell r="J91" t="str">
            <v>Bouquet</v>
          </cell>
          <cell r="K91" t="str">
            <v>Pls send Today to Archana — +91 98210 33196 before 3pm for 3000</v>
          </cell>
          <cell r="T91" t="str">
            <v xml:space="preserve">Peach Rose+Pink Oreintal 10+5 Basket    </v>
          </cell>
        </row>
        <row r="92">
          <cell r="A92">
            <v>1098</v>
          </cell>
          <cell r="B92" t="str">
            <v>Rahul Sehgal</v>
          </cell>
          <cell r="C92">
            <v>9810022182</v>
          </cell>
          <cell r="D92" t="str">
            <v>418-A, Hamilton Court</v>
          </cell>
          <cell r="E92" t="str">
            <v>DLF Phase 4</v>
          </cell>
          <cell r="F92" t="str">
            <v>Thursday</v>
          </cell>
          <cell r="G92" t="str">
            <v>4 Pm to 7 PM</v>
          </cell>
          <cell r="H92">
            <v>1950</v>
          </cell>
          <cell r="I92">
            <v>487.5</v>
          </cell>
          <cell r="J92" t="str">
            <v>Joy</v>
          </cell>
          <cell r="K92" t="str">
            <v>P Glad First(02/09/20) Next Oriental and send only Glad/Oriental and asiatic(17/09/20)  Only Oriental and Gladioli(26/10) Now Send-- Glad // BOP + Guldawari // Oriental Lily// Heliconia(19/12) Send Glad tom -- No White(23/12) Send all flowesr now and mixed always but NO RAJNI(19/01) NO WHITE COLOR(04/03) NO BOP(21/03) NO ORCHID(02/04) Shift to Friday now(04/04) Sent 1 Flower Food today(06/06) Send on sat this week only(10/10) Y Chrysanthemum nextr and Lilies after that(23/10) NO HELICONIA(26/10) NO GERBERA(18/02) Skip thsi week(25/02) Day chang eto thursday evening slot(08/03) Do not count last delivery(20/03) Send replacement tomorrow (05/07)</v>
          </cell>
          <cell r="L92" t="str">
            <v>ROSE n RAJNI</v>
          </cell>
          <cell r="N92" t="str">
            <v>1  del of this cycle   -  1-cycles pmnt   Pending - Collect 1950</v>
          </cell>
          <cell r="O92" t="str">
            <v>Pur n P Car ( 14 inch ) 22     FF Sachet + Grass</v>
          </cell>
          <cell r="P92" t="str">
            <v>P n W Spray Daisy ( 14 Inch ) 7     FF Sachet + Grass</v>
          </cell>
          <cell r="Q92" t="str">
            <v>O Asiatic ( 14 Inch ) 4     Grass</v>
          </cell>
          <cell r="R92" t="str">
            <v>P n W Glad ( 14 Inch ) 22     Grass</v>
          </cell>
          <cell r="S92" t="str">
            <v>Mix Alstroemeria ( 12Inch ) 22     FF Sachet + Grass</v>
          </cell>
          <cell r="T92" t="str">
            <v>G n W Car ( 14 Inch ) 22     FF Sachet + Grass</v>
          </cell>
        </row>
        <row r="93">
          <cell r="A93" t="str">
            <v>B51008</v>
          </cell>
          <cell r="B93" t="str">
            <v>Sandeep Bansal</v>
          </cell>
          <cell r="C93">
            <v>9910164630</v>
          </cell>
          <cell r="D93" t="str">
            <v>EHF-350-Coral-046-GF
Emaar Emerald Hills 
Sector 65</v>
          </cell>
          <cell r="H93">
            <v>450</v>
          </cell>
          <cell r="J93" t="str">
            <v>Bouquet</v>
          </cell>
          <cell r="K93" t="str">
            <v>Send 1 stems of each color of Aisatic and orientak to Sandeep —+91 99101 64630 today with Areca palm n greens</v>
          </cell>
          <cell r="T93" t="str">
            <v>Asiatic O P Y +Oreintal P W 1+1+1+1+1     Areca palm n greens</v>
          </cell>
        </row>
        <row r="94">
          <cell r="A94">
            <v>3154</v>
          </cell>
          <cell r="B94" t="str">
            <v>Ramjot kaur</v>
          </cell>
          <cell r="C94">
            <v>9711000358</v>
          </cell>
          <cell r="D94" t="str">
            <v>Plot no. 447, The Palm Crest, 3rd Floor, Behind Lotus School</v>
          </cell>
          <cell r="H94">
            <v>600</v>
          </cell>
          <cell r="J94" t="str">
            <v>Bouquet</v>
          </cell>
          <cell r="K94" t="str">
            <v>Send today 8 stems of 1 ft bamboo- thodi roots ho jisme aur patte fresh ho
To Ramjot kaur
+91 97110 00358
Collect 600</v>
          </cell>
          <cell r="T94" t="str">
            <v xml:space="preserve">1 ft bamboo 8 thodi roots ho jisme aur patte fresh ho    </v>
          </cell>
        </row>
        <row r="95">
          <cell r="B95" t="str">
            <v>Anju Sandhu</v>
          </cell>
          <cell r="C95">
            <v>9997124824</v>
          </cell>
          <cell r="D95" t="str">
            <v>A-402, Connoisseur , Twin Tower, Sec 43</v>
          </cell>
          <cell r="I95">
            <v>2200</v>
          </cell>
          <cell r="J95" t="str">
            <v>Bouquet</v>
          </cell>
          <cell r="K95" t="str">
            <v>Send 4 dancing bamboo to Anju Sandhu today</v>
          </cell>
          <cell r="T95" t="str">
            <v xml:space="preserve">dancing bamboo 4     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CB998-42EE-471C-9242-4C4C5F39EF42}">
  <sheetPr filterMode="1"/>
  <dimension ref="A1:AD96"/>
  <sheetViews>
    <sheetView zoomScale="60" zoomScaleNormal="60" workbookViewId="0">
      <selection activeCell="U10" sqref="U10"/>
    </sheetView>
  </sheetViews>
  <sheetFormatPr defaultRowHeight="14" x14ac:dyDescent="0.3"/>
  <cols>
    <col min="3" max="7" width="0" hidden="1" customWidth="1"/>
    <col min="9" max="9" width="8.796875" hidden="1" customWidth="1"/>
    <col min="11" max="11" width="140.8984375" hidden="1" customWidth="1"/>
  </cols>
  <sheetData>
    <row r="1" spans="1:30" ht="107.1" customHeigh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2" t="s">
        <v>9</v>
      </c>
      <c r="K1" s="4" t="s">
        <v>10</v>
      </c>
      <c r="L1" s="6" t="s">
        <v>11</v>
      </c>
      <c r="M1" s="6" t="s">
        <v>12</v>
      </c>
      <c r="N1" s="7" t="s">
        <v>13</v>
      </c>
      <c r="O1" s="39" t="s">
        <v>418</v>
      </c>
      <c r="P1" s="39" t="s">
        <v>419</v>
      </c>
      <c r="Q1" s="39" t="s">
        <v>420</v>
      </c>
      <c r="R1" s="39" t="s">
        <v>421</v>
      </c>
      <c r="S1" s="39" t="s">
        <v>422</v>
      </c>
      <c r="T1" s="39" t="s">
        <v>423</v>
      </c>
      <c r="U1" s="39" t="s">
        <v>424</v>
      </c>
      <c r="V1" s="39" t="s">
        <v>425</v>
      </c>
      <c r="W1" s="39" t="s">
        <v>424</v>
      </c>
      <c r="X1" s="39" t="s">
        <v>426</v>
      </c>
      <c r="Y1" s="39" t="s">
        <v>424</v>
      </c>
      <c r="Z1" s="39" t="s">
        <v>427</v>
      </c>
      <c r="AA1" s="39" t="s">
        <v>428</v>
      </c>
      <c r="AB1" s="39" t="s">
        <v>429</v>
      </c>
      <c r="AC1" s="39" t="s">
        <v>430</v>
      </c>
      <c r="AD1" s="39" t="s">
        <v>431</v>
      </c>
    </row>
    <row r="2" spans="1:30" ht="107.1" hidden="1" customHeight="1" x14ac:dyDescent="0.3">
      <c r="A2" s="1">
        <v>2294</v>
      </c>
      <c r="B2" s="8" t="s">
        <v>14</v>
      </c>
      <c r="C2" s="9">
        <v>9711499808</v>
      </c>
      <c r="D2" s="10" t="s">
        <v>15</v>
      </c>
      <c r="E2" s="10" t="s">
        <v>16</v>
      </c>
      <c r="F2" s="11" t="s">
        <v>17</v>
      </c>
      <c r="G2" s="12" t="s">
        <v>18</v>
      </c>
      <c r="H2" s="9">
        <v>1450</v>
      </c>
      <c r="I2" s="9">
        <v>362.5</v>
      </c>
      <c r="J2" s="11" t="s">
        <v>19</v>
      </c>
      <c r="K2" s="10" t="s">
        <v>20</v>
      </c>
      <c r="L2" s="9"/>
      <c r="M2" s="9"/>
      <c r="N2" s="13" t="s">
        <v>21</v>
      </c>
      <c r="O2" s="38" t="e">
        <f>VLOOKUP(A2,'[1]18-06-26'!$A$2:$T$89,20,0)</f>
        <v>#N/A</v>
      </c>
      <c r="P2" s="38" t="e">
        <f>VLOOKUP(A2,'[1]25-06-26'!$A$2:$T$86,20,0)</f>
        <v>#N/A</v>
      </c>
      <c r="Q2" s="38" t="str">
        <f>VLOOKUP(A2,'[2]02-07-26'!$A$2:$T$106,20,0)</f>
        <v xml:space="preserve">Collect Rs 725 Carry Reciept Book     </v>
      </c>
      <c r="R2" s="38" t="str">
        <f>VLOOKUP(A2,'[2]09-07-26'!$A$2:$T$89,20,0)</f>
        <v xml:space="preserve">Collect 725  Carry Receipt Bookl     </v>
      </c>
      <c r="S2" s="38" t="str">
        <f>VLOOKUP(A2,'[2]16-07-26'!$A$2:$T$95,20,0)</f>
        <v>G n W Car ( 14 Inch ) 16     FF Sachet + Grass</v>
      </c>
      <c r="T2" s="38" t="s">
        <v>444</v>
      </c>
      <c r="U2" s="38">
        <v>3</v>
      </c>
      <c r="V2" s="38"/>
      <c r="W2" s="38"/>
      <c r="X2" s="38"/>
      <c r="Y2" s="38"/>
      <c r="Z2" s="38" t="s">
        <v>451</v>
      </c>
      <c r="AA2" s="38"/>
      <c r="AB2" s="38"/>
      <c r="AC2" s="38"/>
      <c r="AD2" s="38"/>
    </row>
    <row r="3" spans="1:30" ht="107.1" hidden="1" customHeight="1" x14ac:dyDescent="0.3">
      <c r="A3" s="1">
        <v>20</v>
      </c>
      <c r="B3" s="14" t="s">
        <v>22</v>
      </c>
      <c r="C3" s="1">
        <v>9810771057</v>
      </c>
      <c r="D3" s="11" t="s">
        <v>23</v>
      </c>
      <c r="E3" s="10" t="s">
        <v>16</v>
      </c>
      <c r="F3" s="11" t="s">
        <v>17</v>
      </c>
      <c r="G3" s="12" t="s">
        <v>18</v>
      </c>
      <c r="H3" s="9">
        <v>1450</v>
      </c>
      <c r="I3" s="9">
        <v>362.5</v>
      </c>
      <c r="J3" s="10" t="s">
        <v>19</v>
      </c>
      <c r="K3" s="11" t="s">
        <v>24</v>
      </c>
      <c r="L3" s="9"/>
      <c r="M3" s="9" t="s">
        <v>25</v>
      </c>
      <c r="N3" s="13" t="s">
        <v>28</v>
      </c>
      <c r="O3" s="38" t="e">
        <f>VLOOKUP(A3,'[1]18-06-26'!$A$2:$T$89,20,0)</f>
        <v>#N/A</v>
      </c>
      <c r="P3" s="38" t="str">
        <f>VLOOKUP(A3,'[1]25-06-26'!$A$2:$T$86,20,0)</f>
        <v>Mix Car 16     FF Sachet + Grass</v>
      </c>
      <c r="Q3" s="38" t="e">
        <f>VLOOKUP(A3,'[2]02-07-26'!$A$2:$T$106,20,0)</f>
        <v>#N/A</v>
      </c>
      <c r="R3" s="38" t="e">
        <f>VLOOKUP(A3,'[2]09-07-26'!$A$2:$T$89,20,0)</f>
        <v>#N/A</v>
      </c>
      <c r="S3" s="38" t="e">
        <f>VLOOKUP(A3,'[2]16-07-26'!$A$2:$T$95,20,0)</f>
        <v>#N/A</v>
      </c>
      <c r="T3" s="38" t="s">
        <v>441</v>
      </c>
      <c r="U3" s="38">
        <v>16</v>
      </c>
      <c r="V3" s="38"/>
      <c r="W3" s="38"/>
      <c r="X3" s="38"/>
      <c r="Y3" s="38"/>
      <c r="Z3" s="38" t="s">
        <v>452</v>
      </c>
      <c r="AA3" s="38"/>
      <c r="AB3" s="38"/>
      <c r="AC3" s="38"/>
      <c r="AD3" s="38"/>
    </row>
    <row r="4" spans="1:30" ht="107.1" hidden="1" customHeight="1" x14ac:dyDescent="0.3">
      <c r="A4" s="1">
        <v>1319</v>
      </c>
      <c r="B4" s="14" t="s">
        <v>22</v>
      </c>
      <c r="C4" s="1">
        <v>9810771057</v>
      </c>
      <c r="D4" s="11" t="s">
        <v>23</v>
      </c>
      <c r="E4" s="10" t="s">
        <v>16</v>
      </c>
      <c r="F4" s="11" t="s">
        <v>17</v>
      </c>
      <c r="G4" s="12" t="s">
        <v>18</v>
      </c>
      <c r="H4" s="9">
        <v>1950</v>
      </c>
      <c r="I4" s="9">
        <v>487.5</v>
      </c>
      <c r="J4" s="10" t="s">
        <v>26</v>
      </c>
      <c r="K4" s="11" t="s">
        <v>27</v>
      </c>
      <c r="L4" s="9"/>
      <c r="M4" s="9" t="s">
        <v>25</v>
      </c>
      <c r="N4" s="13" t="s">
        <v>29</v>
      </c>
      <c r="O4" s="38" t="e">
        <f>VLOOKUP(A4,'[1]18-06-26'!$A$2:$T$89,20,0)</f>
        <v>#N/A</v>
      </c>
      <c r="P4" s="38" t="str">
        <f>VLOOKUP(A4,'[1]25-06-26'!$A$2:$T$86,20,0)</f>
        <v>P Asiatic 4     Grass</v>
      </c>
      <c r="Q4" s="38" t="e">
        <f>VLOOKUP(A4,'[2]02-07-26'!$A$2:$T$106,20,0)</f>
        <v>#N/A</v>
      </c>
      <c r="R4" s="38" t="e">
        <f>VLOOKUP(A4,'[2]09-07-26'!$A$2:$T$89,20,0)</f>
        <v>#N/A</v>
      </c>
      <c r="S4" s="38" t="e">
        <f>VLOOKUP(A4,'[2]16-07-26'!$A$2:$T$95,20,0)</f>
        <v>#N/A</v>
      </c>
      <c r="T4" s="38" t="s">
        <v>471</v>
      </c>
      <c r="U4" s="38">
        <v>4</v>
      </c>
      <c r="V4" s="38"/>
      <c r="W4" s="38"/>
      <c r="X4" s="38"/>
      <c r="Y4" s="38"/>
      <c r="Z4" s="38" t="s">
        <v>451</v>
      </c>
      <c r="AA4" s="38"/>
      <c r="AB4" s="38"/>
      <c r="AC4" s="38"/>
      <c r="AD4" s="38"/>
    </row>
    <row r="5" spans="1:30" ht="107.1" hidden="1" customHeight="1" x14ac:dyDescent="0.3">
      <c r="A5" s="1">
        <v>484</v>
      </c>
      <c r="B5" s="15" t="s">
        <v>30</v>
      </c>
      <c r="C5" s="1">
        <v>9811230451</v>
      </c>
      <c r="D5" s="11" t="s">
        <v>31</v>
      </c>
      <c r="E5" s="11" t="s">
        <v>32</v>
      </c>
      <c r="F5" s="11" t="s">
        <v>17</v>
      </c>
      <c r="G5" s="16" t="s">
        <v>33</v>
      </c>
      <c r="H5" s="9">
        <v>1950</v>
      </c>
      <c r="I5" s="9">
        <v>487.5</v>
      </c>
      <c r="J5" s="10" t="s">
        <v>26</v>
      </c>
      <c r="K5" s="11" t="s">
        <v>34</v>
      </c>
      <c r="L5" s="10" t="s">
        <v>35</v>
      </c>
      <c r="M5" s="9"/>
      <c r="N5" s="13" t="s">
        <v>21</v>
      </c>
      <c r="O5" s="38" t="e">
        <f>VLOOKUP(A5,'[1]18-06-26'!$A$2:$T$89,20,0)</f>
        <v>#N/A</v>
      </c>
      <c r="P5" s="38" t="e">
        <f>VLOOKUP(A5,'[1]25-06-26'!$A$2:$T$86,20,0)</f>
        <v>#N/A</v>
      </c>
      <c r="Q5" s="38" t="str">
        <f>VLOOKUP(A5,'[2]02-07-26'!$A$2:$T$106,20,0)</f>
        <v>Pur n P Car ( 14 Inch ) 22     FF Sachet + Grass</v>
      </c>
      <c r="R5" s="38" t="str">
        <f>VLOOKUP(A5,'[2]09-07-26'!$A$2:$T$89,20,0)</f>
        <v>Rajni ( 14 Inch ) 22   Collect Payment Collect Payment Grass</v>
      </c>
      <c r="S5" s="38" t="str">
        <f>VLOOKUP(A5,'[2]16-07-26'!$A$2:$T$95,20,0)</f>
        <v>O Asiatic ( 14 Inch ) 4     Grass</v>
      </c>
      <c r="T5" s="38" t="s">
        <v>448</v>
      </c>
      <c r="U5" s="38">
        <v>7</v>
      </c>
      <c r="V5" s="38"/>
      <c r="W5" s="38"/>
      <c r="X5" s="38"/>
      <c r="Y5" s="38"/>
      <c r="Z5" s="38" t="s">
        <v>452</v>
      </c>
      <c r="AA5" s="38"/>
      <c r="AB5" s="38"/>
      <c r="AC5" s="38"/>
      <c r="AD5" s="38"/>
    </row>
    <row r="6" spans="1:30" ht="107.1" hidden="1" customHeight="1" x14ac:dyDescent="0.3">
      <c r="A6" s="1">
        <v>3107</v>
      </c>
      <c r="B6" s="17" t="s">
        <v>36</v>
      </c>
      <c r="C6" s="9">
        <v>9811394916</v>
      </c>
      <c r="D6" s="10" t="s">
        <v>37</v>
      </c>
      <c r="E6" s="10" t="s">
        <v>32</v>
      </c>
      <c r="F6" s="10" t="s">
        <v>17</v>
      </c>
      <c r="G6" s="9" t="s">
        <v>38</v>
      </c>
      <c r="H6" s="9">
        <v>1450</v>
      </c>
      <c r="I6" s="9">
        <v>362.5</v>
      </c>
      <c r="J6" s="10" t="s">
        <v>19</v>
      </c>
      <c r="K6" s="10" t="s">
        <v>39</v>
      </c>
      <c r="L6" s="9"/>
      <c r="M6" s="9"/>
      <c r="N6" s="13" t="s">
        <v>21</v>
      </c>
      <c r="O6" s="38" t="e">
        <f>VLOOKUP(A6,'[1]18-06-26'!$A$2:$T$89,20,0)</f>
        <v>#N/A</v>
      </c>
      <c r="P6" s="38" t="e">
        <f>VLOOKUP(A6,'[1]25-06-26'!$A$2:$T$86,20,0)</f>
        <v>#N/A</v>
      </c>
      <c r="Q6" s="38" t="str">
        <f>VLOOKUP(A6,'[2]02-07-26'!$A$2:$T$106,20,0)</f>
        <v>Pur n P Car ( 14 Inch ) 16     FF Sachet + Grass</v>
      </c>
      <c r="R6" s="38" t="str">
        <f>VLOOKUP(A6,'[2]09-07-26'!$A$2:$T$89,20,0)</f>
        <v>P Asiatic ( 14 Inch ) 3     Grass</v>
      </c>
      <c r="S6" s="38" t="str">
        <f>VLOOKUP(A6,'[2]16-07-26'!$A$2:$T$95,20,0)</f>
        <v>P n W Glad ( 14 Inch ) 16     Grass</v>
      </c>
      <c r="T6" s="38" t="s">
        <v>448</v>
      </c>
      <c r="U6" s="38">
        <v>5</v>
      </c>
      <c r="V6" s="38"/>
      <c r="W6" s="38"/>
      <c r="X6" s="38"/>
      <c r="Y6" s="38"/>
      <c r="Z6" s="38" t="s">
        <v>452</v>
      </c>
      <c r="AA6" s="38"/>
      <c r="AB6" s="38"/>
      <c r="AC6" s="38"/>
      <c r="AD6" s="38"/>
    </row>
    <row r="7" spans="1:30" ht="107.1" hidden="1" customHeight="1" x14ac:dyDescent="0.3">
      <c r="A7" s="1">
        <v>3097</v>
      </c>
      <c r="B7" s="17" t="s">
        <v>40</v>
      </c>
      <c r="C7" s="9">
        <v>7428737502</v>
      </c>
      <c r="D7" s="10" t="s">
        <v>41</v>
      </c>
      <c r="E7" s="10" t="s">
        <v>42</v>
      </c>
      <c r="F7" s="10" t="s">
        <v>17</v>
      </c>
      <c r="G7" s="10" t="s">
        <v>43</v>
      </c>
      <c r="H7" s="9">
        <v>2750</v>
      </c>
      <c r="I7" s="9">
        <v>687.5</v>
      </c>
      <c r="J7" s="10" t="s">
        <v>44</v>
      </c>
      <c r="K7" s="10" t="s">
        <v>45</v>
      </c>
      <c r="L7" s="9"/>
      <c r="M7" s="9"/>
      <c r="N7" s="13" t="s">
        <v>21</v>
      </c>
      <c r="O7" s="38" t="str">
        <f>VLOOKUP(A7,'[1]18-06-26'!$A$2:$T$89,20,0)</f>
        <v xml:space="preserve">P Asiatic ( 14 Inch ) 3 Pur n P Car ( 14 Inch ) 16   2 Gypsola </v>
      </c>
      <c r="P7" s="38" t="str">
        <f>VLOOKUP(A7,'[1]25-06-26'!$A$2:$T$86,20,0)</f>
        <v>Sunflower ( 12 Inch) 4 B Daisy ( 12 Inch ) 16   2 Limonium + FF Sachet</v>
      </c>
      <c r="Q7" s="38" t="str">
        <f>VLOOKUP(A7,'[2]02-07-26'!$A$2:$T$106,20,0)</f>
        <v xml:space="preserve">Pur n P Eustoma ( 12 Inch ) 4 Rajni ( 14 Inch ) 16   </v>
      </c>
      <c r="R7" s="38" t="e">
        <f>VLOOKUP(A7,'[2]09-07-26'!$A$2:$T$89,20,0)</f>
        <v>#N/A</v>
      </c>
      <c r="S7" s="38" t="e">
        <f>VLOOKUP(A7,'[2]16-07-26'!$A$2:$T$95,20,0)</f>
        <v>#N/A</v>
      </c>
      <c r="T7" s="38" t="s">
        <v>444</v>
      </c>
      <c r="U7" s="38">
        <v>3</v>
      </c>
      <c r="V7" s="38" t="s">
        <v>463</v>
      </c>
      <c r="W7" s="38">
        <v>16</v>
      </c>
      <c r="X7" s="38"/>
      <c r="Y7" s="38"/>
      <c r="Z7" s="38" t="s">
        <v>478</v>
      </c>
      <c r="AA7" s="38"/>
      <c r="AB7" s="38"/>
      <c r="AC7" s="38"/>
      <c r="AD7" s="38"/>
    </row>
    <row r="8" spans="1:30" ht="107.1" hidden="1" customHeight="1" x14ac:dyDescent="0.3">
      <c r="A8" s="1">
        <v>3051</v>
      </c>
      <c r="B8" s="18" t="s">
        <v>46</v>
      </c>
      <c r="C8" s="9">
        <v>8587979620</v>
      </c>
      <c r="D8" s="10" t="s">
        <v>47</v>
      </c>
      <c r="E8" s="10" t="s">
        <v>48</v>
      </c>
      <c r="F8" s="10" t="s">
        <v>17</v>
      </c>
      <c r="G8" s="19" t="s">
        <v>49</v>
      </c>
      <c r="H8" s="9">
        <v>1740</v>
      </c>
      <c r="I8" s="9">
        <v>435</v>
      </c>
      <c r="J8" s="9" t="s">
        <v>470</v>
      </c>
      <c r="K8" s="10" t="s">
        <v>51</v>
      </c>
      <c r="L8" s="9"/>
      <c r="M8" s="9"/>
      <c r="N8" s="13" t="s">
        <v>52</v>
      </c>
      <c r="O8" s="38" t="str">
        <f>VLOOKUP(A8,'[1]18-06-26'!$A$2:$T$89,20,0)</f>
        <v xml:space="preserve">Sunflower ( 12 Inch ) 4 G Spray Daisy ( 14 Inch ) 4   </v>
      </c>
      <c r="P8" s="38" t="e">
        <f>VLOOKUP(A8,'[1]25-06-26'!$A$2:$T$86,20,0)</f>
        <v>#N/A</v>
      </c>
      <c r="Q8" s="38" t="e">
        <f>VLOOKUP(A8,'[2]02-07-26'!$A$2:$T$106,20,0)</f>
        <v>#N/A</v>
      </c>
      <c r="R8" s="38" t="e">
        <f>VLOOKUP(A8,'[2]09-07-26'!$A$2:$T$89,20,0)</f>
        <v>#N/A</v>
      </c>
      <c r="S8" s="38" t="e">
        <f>VLOOKUP(A8,'[2]16-07-26'!$A$2:$T$95,20,0)</f>
        <v>#N/A</v>
      </c>
      <c r="T8" s="38" t="s">
        <v>466</v>
      </c>
      <c r="U8" s="38" t="s">
        <v>467</v>
      </c>
      <c r="V8" s="38" t="s">
        <v>536</v>
      </c>
      <c r="W8" s="38" t="s">
        <v>536</v>
      </c>
      <c r="X8" s="38" t="s">
        <v>536</v>
      </c>
      <c r="Y8" s="38" t="s">
        <v>536</v>
      </c>
      <c r="Z8" s="38"/>
      <c r="AA8" s="38"/>
      <c r="AB8" s="38"/>
      <c r="AC8" s="38"/>
      <c r="AD8" s="38"/>
    </row>
    <row r="9" spans="1:30" ht="107.1" hidden="1" customHeight="1" x14ac:dyDescent="0.3">
      <c r="A9" s="1">
        <v>3326</v>
      </c>
      <c r="B9" s="17" t="s">
        <v>53</v>
      </c>
      <c r="C9" s="9">
        <v>9313104941</v>
      </c>
      <c r="D9" s="10" t="s">
        <v>54</v>
      </c>
      <c r="E9" s="10" t="s">
        <v>32</v>
      </c>
      <c r="F9" s="10" t="s">
        <v>17</v>
      </c>
      <c r="G9" s="12" t="s">
        <v>55</v>
      </c>
      <c r="H9" s="9">
        <v>1450</v>
      </c>
      <c r="I9" s="9">
        <v>362.5</v>
      </c>
      <c r="J9" s="11" t="s">
        <v>19</v>
      </c>
      <c r="K9" s="10" t="s">
        <v>56</v>
      </c>
      <c r="L9" s="9"/>
      <c r="M9" s="9"/>
      <c r="N9" s="13" t="s">
        <v>21</v>
      </c>
      <c r="O9" s="38" t="e">
        <f>VLOOKUP(A9,'[1]18-06-26'!$A$2:$T$89,20,0)</f>
        <v>#N/A</v>
      </c>
      <c r="P9" s="38" t="e">
        <f>VLOOKUP(A9,'[1]25-06-26'!$A$2:$T$86,20,0)</f>
        <v>#N/A</v>
      </c>
      <c r="Q9" s="38" t="str">
        <f>VLOOKUP(A9,'[2]02-07-26'!$A$2:$T$106,20,0)</f>
        <v>Pur n P Car ( 14 Inch ) 16     FF Sachet + Grass</v>
      </c>
      <c r="R9" s="38" t="str">
        <f>VLOOKUP(A9,'[2]09-07-26'!$A$2:$T$89,20,0)</f>
        <v>W Asiatic ( 14 Inch ) 3   Collect Payment Collect Payment Grass</v>
      </c>
      <c r="S9" s="38" t="str">
        <f>VLOOKUP(A9,'[2]16-07-26'!$A$2:$T$95,20,0)</f>
        <v>P n W Glad ( 14 Inch ) 16     Grass</v>
      </c>
      <c r="T9" s="38" t="s">
        <v>448</v>
      </c>
      <c r="U9" s="38">
        <v>5</v>
      </c>
      <c r="V9" s="38"/>
      <c r="W9" s="38"/>
      <c r="X9" s="38"/>
      <c r="Y9" s="38"/>
      <c r="Z9" s="38" t="s">
        <v>452</v>
      </c>
      <c r="AA9" s="38"/>
      <c r="AB9" s="38"/>
      <c r="AC9" s="38"/>
      <c r="AD9" s="38"/>
    </row>
    <row r="10" spans="1:30" ht="159.6" hidden="1" customHeight="1" x14ac:dyDescent="0.3">
      <c r="A10" s="1">
        <v>836</v>
      </c>
      <c r="B10" s="17" t="s">
        <v>57</v>
      </c>
      <c r="C10" s="1">
        <v>9818392977</v>
      </c>
      <c r="D10" s="11" t="s">
        <v>58</v>
      </c>
      <c r="E10" s="11" t="s">
        <v>32</v>
      </c>
      <c r="F10" s="11" t="s">
        <v>17</v>
      </c>
      <c r="G10" s="12" t="s">
        <v>59</v>
      </c>
      <c r="H10" s="9">
        <v>4750</v>
      </c>
      <c r="I10" s="9">
        <v>1187.5</v>
      </c>
      <c r="J10" s="10" t="s">
        <v>60</v>
      </c>
      <c r="K10" s="11" t="s">
        <v>61</v>
      </c>
      <c r="L10" s="10" t="s">
        <v>62</v>
      </c>
      <c r="M10" s="10" t="s">
        <v>63</v>
      </c>
      <c r="N10" s="13" t="s">
        <v>64</v>
      </c>
      <c r="O10" s="38" t="e">
        <f>VLOOKUP(A10,'[1]18-06-26'!$A$2:$T$89,20,0)</f>
        <v>#N/A</v>
      </c>
      <c r="P10" s="38" t="e">
        <f>VLOOKUP(A10,'[1]25-06-26'!$A$2:$T$86,20,0)</f>
        <v>#N/A</v>
      </c>
      <c r="Q10" s="38" t="e">
        <f>VLOOKUP(A10,'[2]02-07-26'!$A$2:$T$106,20,0)</f>
        <v>#N/A</v>
      </c>
      <c r="R10" s="38" t="e">
        <f>VLOOKUP(A10,'[2]09-07-26'!$A$2:$T$89,20,0)</f>
        <v>#N/A</v>
      </c>
      <c r="S10" s="38" t="str">
        <f>VLOOKUP(A10,'[2]16-07-26'!$A$2:$T$95,20,0)</f>
        <v>P n Y Spray Daisy ( 14 Inch ) 10 G n W Car ( 14 Inch ) 30   3 Areca Palm + 3 Gypsola</v>
      </c>
      <c r="T10" s="38" t="s">
        <v>475</v>
      </c>
      <c r="U10" s="38">
        <v>6</v>
      </c>
      <c r="V10" s="38" t="s">
        <v>449</v>
      </c>
      <c r="W10" s="38">
        <v>30</v>
      </c>
      <c r="X10" s="38"/>
      <c r="Y10" s="38"/>
      <c r="Z10" s="38" t="s">
        <v>479</v>
      </c>
      <c r="AA10" s="38"/>
      <c r="AB10" s="38"/>
      <c r="AC10" s="38"/>
      <c r="AD10" s="38"/>
    </row>
    <row r="11" spans="1:30" ht="107.1" hidden="1" customHeight="1" x14ac:dyDescent="0.3">
      <c r="A11" s="11" t="s">
        <v>65</v>
      </c>
      <c r="B11" s="17" t="s">
        <v>66</v>
      </c>
      <c r="C11" s="9">
        <v>9711098608</v>
      </c>
      <c r="D11" s="10" t="s">
        <v>67</v>
      </c>
      <c r="E11" s="10" t="s">
        <v>32</v>
      </c>
      <c r="F11" s="10" t="s">
        <v>17</v>
      </c>
      <c r="G11" s="12" t="s">
        <v>38</v>
      </c>
      <c r="H11" s="9">
        <v>1950</v>
      </c>
      <c r="I11" s="9">
        <v>487.5</v>
      </c>
      <c r="J11" s="10" t="s">
        <v>26</v>
      </c>
      <c r="K11" s="10" t="s">
        <v>68</v>
      </c>
      <c r="L11" s="9"/>
      <c r="M11" s="10" t="s">
        <v>69</v>
      </c>
      <c r="N11" s="13" t="s">
        <v>70</v>
      </c>
      <c r="O11" s="38" t="str">
        <f>VLOOKUP(A11,'[1]18-06-26'!$A$2:$T$89,20,0)</f>
        <v>Sunflower ( 12 Inch ) 3 Mix Alstroemeria ( 12 inch )  11   FF Sachet + Grass</v>
      </c>
      <c r="P11" s="38" t="e">
        <f>VLOOKUP(A11,'[1]25-06-26'!$A$2:$T$86,20,0)</f>
        <v>#N/A</v>
      </c>
      <c r="Q11" s="38" t="str">
        <f>VLOOKUP(A11,'[2]02-07-26'!$A$2:$T$106,20,0)</f>
        <v>P Eustoma ( 12 Inch ) 2 Pur n W Car ( 14 Inch ) 11   FF Sachet + Grass</v>
      </c>
      <c r="R11" s="38" t="str">
        <f>VLOOKUP(A11,'[2]09-07-26'!$A$2:$T$89,20,0)</f>
        <v>P Asiatic ( 14 Inch ) 2 Rajni ( 14 Inch ) 11 Collect Payment Collect Payment Grass</v>
      </c>
      <c r="S11" s="38" t="str">
        <f>VLOOKUP(A11,'[2]16-07-26'!$A$2:$T$95,20,0)</f>
        <v>P n W Spray Daisy ( 14 Inch ) 4 P n W Glad ( 14 Inch ) 11   FF Sachet + Grass</v>
      </c>
      <c r="T11" s="38" t="s">
        <v>445</v>
      </c>
      <c r="U11" s="38">
        <v>3</v>
      </c>
      <c r="V11" s="38" t="s">
        <v>461</v>
      </c>
      <c r="W11" s="38">
        <v>11</v>
      </c>
      <c r="X11" s="38" t="s">
        <v>534</v>
      </c>
      <c r="Y11" s="38" t="s">
        <v>534</v>
      </c>
      <c r="Z11" s="38" t="s">
        <v>452</v>
      </c>
      <c r="AA11" s="38"/>
      <c r="AB11" s="38"/>
      <c r="AC11" s="38"/>
      <c r="AD11" s="38"/>
    </row>
    <row r="12" spans="1:30" ht="107.1" hidden="1" customHeight="1" x14ac:dyDescent="0.3">
      <c r="A12" s="1">
        <v>3385</v>
      </c>
      <c r="B12" s="17" t="s">
        <v>71</v>
      </c>
      <c r="C12" s="9">
        <v>9604584926</v>
      </c>
      <c r="D12" s="10" t="s">
        <v>72</v>
      </c>
      <c r="E12" s="10" t="s">
        <v>73</v>
      </c>
      <c r="F12" s="10" t="s">
        <v>17</v>
      </c>
      <c r="G12" s="16" t="s">
        <v>74</v>
      </c>
      <c r="H12" s="9">
        <v>1950</v>
      </c>
      <c r="I12" s="9">
        <v>487.5</v>
      </c>
      <c r="J12" s="10" t="s">
        <v>26</v>
      </c>
      <c r="K12" s="10" t="s">
        <v>75</v>
      </c>
      <c r="L12" s="9"/>
      <c r="M12" s="9"/>
      <c r="N12" s="13" t="s">
        <v>21</v>
      </c>
      <c r="O12" s="38" t="e">
        <f>VLOOKUP(A12,'[1]18-06-26'!$A$2:$T$89,20,0)</f>
        <v>#N/A</v>
      </c>
      <c r="P12" s="38" t="str">
        <f>VLOOKUP(A12,'[1]25-06-26'!$A$2:$T$86,20,0)</f>
        <v>Pur n P Car ( 14 Inch ) 22     FF Sachet + Grass</v>
      </c>
      <c r="Q12" s="38" t="str">
        <f>VLOOKUP(A12,'[2]02-07-26'!$A$2:$T$106,20,0)</f>
        <v>O Asiatic ( 14 Inch ) 4     Grass</v>
      </c>
      <c r="R12" s="38" t="e">
        <f>VLOOKUP(A12,'[2]09-07-26'!$A$2:$T$89,20,0)</f>
        <v>#N/A</v>
      </c>
      <c r="S12" s="38" t="str">
        <f>VLOOKUP(A12,'[2]16-07-26'!$A$2:$T$95,20,0)</f>
        <v>Mix Car ( 14 Inch ) 22     FF Sachet + Grass</v>
      </c>
      <c r="T12" s="38" t="s">
        <v>448</v>
      </c>
      <c r="U12" s="38">
        <v>7</v>
      </c>
      <c r="V12" s="38"/>
      <c r="W12" s="38"/>
      <c r="X12" s="38"/>
      <c r="Y12" s="38"/>
      <c r="Z12" s="38" t="s">
        <v>452</v>
      </c>
      <c r="AA12" s="38"/>
      <c r="AB12" s="38"/>
      <c r="AC12" s="38"/>
      <c r="AD12" s="38"/>
    </row>
    <row r="13" spans="1:30" ht="107.1" hidden="1" customHeight="1" x14ac:dyDescent="0.3">
      <c r="A13" s="1">
        <v>2200</v>
      </c>
      <c r="B13" s="17" t="s">
        <v>76</v>
      </c>
      <c r="C13" s="9">
        <v>9811188863</v>
      </c>
      <c r="D13" s="10" t="s">
        <v>77</v>
      </c>
      <c r="E13" s="10" t="s">
        <v>42</v>
      </c>
      <c r="F13" s="10" t="s">
        <v>17</v>
      </c>
      <c r="G13" s="12" t="s">
        <v>18</v>
      </c>
      <c r="H13" s="9">
        <v>2300</v>
      </c>
      <c r="I13" s="9">
        <v>287.5</v>
      </c>
      <c r="J13" s="11" t="s">
        <v>78</v>
      </c>
      <c r="K13" s="10" t="s">
        <v>79</v>
      </c>
      <c r="L13" s="10" t="s">
        <v>80</v>
      </c>
      <c r="M13" s="10" t="s">
        <v>81</v>
      </c>
      <c r="N13" s="13" t="s">
        <v>436</v>
      </c>
      <c r="O13" s="38" t="str">
        <f>VLOOKUP(A13,'[1]18-06-26'!$A$2:$T$89,20,0)</f>
        <v>P n W Glad ( 14 Inch ) 11     Grass</v>
      </c>
      <c r="P13" s="38" t="e">
        <f>VLOOKUP(A13,'[1]25-06-26'!$A$2:$T$86,20,0)</f>
        <v>#N/A</v>
      </c>
      <c r="Q13" s="38" t="str">
        <f>VLOOKUP(A13,'[2]02-07-26'!$A$2:$T$106,20,0)</f>
        <v>Pur n P Car ( 14 Inch ) 11     FF Sachet + Grass</v>
      </c>
      <c r="R13" s="38" t="str">
        <f>VLOOKUP(A13,'[2]09-07-26'!$A$2:$T$89,20,0)</f>
        <v>B Daisy ( 12 Inch ) 11     Grass</v>
      </c>
      <c r="S13" s="38" t="str">
        <f>VLOOKUP(A13,'[2]16-07-26'!$A$2:$T$95,20,0)</f>
        <v>P n W Glad ( 14 Inch ) 11     Grass</v>
      </c>
      <c r="T13" s="38" t="s">
        <v>441</v>
      </c>
      <c r="U13" s="38">
        <v>11</v>
      </c>
      <c r="V13" s="38"/>
      <c r="W13" s="38"/>
      <c r="X13" s="38"/>
      <c r="Y13" s="38"/>
      <c r="Z13" s="38" t="s">
        <v>452</v>
      </c>
      <c r="AA13" s="38"/>
      <c r="AB13" s="38"/>
      <c r="AC13" s="38"/>
      <c r="AD13" s="38"/>
    </row>
    <row r="14" spans="1:30" ht="107.1" hidden="1" customHeight="1" x14ac:dyDescent="0.3">
      <c r="A14" s="1">
        <v>2395</v>
      </c>
      <c r="B14" s="20" t="s">
        <v>82</v>
      </c>
      <c r="C14" s="9">
        <v>9999967563</v>
      </c>
      <c r="D14" s="10" t="s">
        <v>83</v>
      </c>
      <c r="E14" s="10" t="s">
        <v>32</v>
      </c>
      <c r="F14" s="10" t="s">
        <v>17</v>
      </c>
      <c r="G14" s="12" t="s">
        <v>38</v>
      </c>
      <c r="H14" s="9">
        <v>1950</v>
      </c>
      <c r="I14" s="9">
        <v>487.5</v>
      </c>
      <c r="J14" s="10" t="s">
        <v>26</v>
      </c>
      <c r="K14" s="10" t="s">
        <v>84</v>
      </c>
      <c r="L14" s="10"/>
      <c r="M14" s="10" t="s">
        <v>69</v>
      </c>
      <c r="N14" s="13" t="s">
        <v>29</v>
      </c>
      <c r="O14" s="38" t="str">
        <f>VLOOKUP(A14,'[1]18-06-26'!$A$2:$T$89,20,0)</f>
        <v>Sunflower ( 12 Inch ) 5     FF Sachet + Grass</v>
      </c>
      <c r="P14" s="38" t="str">
        <f>VLOOKUP(A14,'[1]25-06-26'!$A$2:$T$86,20,0)</f>
        <v>P Asiatic ( 14 Inch ) 4     Grass</v>
      </c>
      <c r="Q14" s="38" t="e">
        <f>VLOOKUP(A14,'[2]02-07-26'!$A$2:$T$106,20,0)</f>
        <v>#N/A</v>
      </c>
      <c r="R14" s="38" t="e">
        <f>VLOOKUP(A14,'[2]09-07-26'!$A$2:$T$89,20,0)</f>
        <v>#N/A</v>
      </c>
      <c r="S14" s="38" t="e">
        <f>VLOOKUP(A14,'[2]16-07-26'!$A$2:$T$95,20,0)</f>
        <v>#N/A</v>
      </c>
      <c r="T14" s="38" t="s">
        <v>441</v>
      </c>
      <c r="U14" s="38">
        <v>22</v>
      </c>
      <c r="V14" s="38" t="s">
        <v>533</v>
      </c>
      <c r="W14" s="38" t="s">
        <v>533</v>
      </c>
      <c r="X14" s="38" t="s">
        <v>533</v>
      </c>
      <c r="Y14" s="38"/>
      <c r="Z14" s="38" t="s">
        <v>452</v>
      </c>
      <c r="AA14" s="38"/>
      <c r="AB14" s="38"/>
      <c r="AC14" s="38"/>
      <c r="AD14" s="38"/>
    </row>
    <row r="15" spans="1:30" ht="185.95" hidden="1" customHeight="1" x14ac:dyDescent="0.3">
      <c r="A15" s="1">
        <v>203</v>
      </c>
      <c r="B15" s="17" t="s">
        <v>85</v>
      </c>
      <c r="C15" s="9">
        <v>9819355743</v>
      </c>
      <c r="D15" s="9" t="s">
        <v>86</v>
      </c>
      <c r="E15" s="9" t="s">
        <v>42</v>
      </c>
      <c r="F15" s="9" t="s">
        <v>17</v>
      </c>
      <c r="G15" s="9" t="s">
        <v>18</v>
      </c>
      <c r="H15" s="9">
        <v>8648</v>
      </c>
      <c r="I15" s="9">
        <v>2162</v>
      </c>
      <c r="J15" s="9" t="s">
        <v>50</v>
      </c>
      <c r="K15" s="9" t="s">
        <v>87</v>
      </c>
      <c r="L15" s="9"/>
      <c r="M15" s="9"/>
      <c r="N15" s="13" t="s">
        <v>21</v>
      </c>
      <c r="O15" s="38" t="str">
        <f>VLOOKUP(A15,'[1]18-06-26'!$A$2:$T$89,20,0)</f>
        <v xml:space="preserve">O n P Asiatic ( 14 Inch ) 14 P n W Car ( 14 Inch ) 24   </v>
      </c>
      <c r="P15" s="38" t="str">
        <f>VLOOKUP(A15,'[1]25-06-26'!$A$2:$T$86,20,0)</f>
        <v>O n W Asiatic ( 14 Inch ) 14 R n P Car ( 14 Inch ) 24   4 Areca Palm + 2 Gypsola + 2 Limonim</v>
      </c>
      <c r="Q15" s="38" t="str">
        <f>VLOOKUP(A15,'[2]02-07-26'!$A$2:$T$106,20,0)</f>
        <v>Y n P Asiatic ( 14 Inch ) 14 Pur n W Car ( 14 Inch ) 24   4 Areca Palm + 2 Gypsola + 2 Limonium</v>
      </c>
      <c r="R15" s="38" t="str">
        <f>VLOOKUP(A15,'[2]09-07-26'!$A$2:$T$89,20,0)</f>
        <v xml:space="preserve">O n W Asiatic ( 14 inch ) 14 P n W Car ( 14 Inch ) 24   </v>
      </c>
      <c r="S15" s="38" t="str">
        <f>VLOOKUP(A15,'[2]16-07-26'!$A$2:$T$95,20,0)</f>
        <v>O n P Asiatic  ( 14 Inch ) 14 G n W Car ( 14 Inch ) 24   4 Areca Palm + 2 Gypsola + 2 Limonium</v>
      </c>
      <c r="T15" s="38" t="s">
        <v>468</v>
      </c>
      <c r="U15" s="38">
        <v>14</v>
      </c>
      <c r="V15" s="38" t="s">
        <v>450</v>
      </c>
      <c r="W15" s="38">
        <v>24</v>
      </c>
      <c r="X15" s="38"/>
      <c r="Y15" s="38"/>
      <c r="Z15" s="38" t="s">
        <v>469</v>
      </c>
      <c r="AA15" s="38"/>
      <c r="AB15" s="38"/>
      <c r="AC15" s="38"/>
      <c r="AD15" s="38"/>
    </row>
    <row r="16" spans="1:30" ht="107.1" hidden="1" customHeight="1" x14ac:dyDescent="0.3">
      <c r="A16" s="11">
        <v>442</v>
      </c>
      <c r="B16" s="17" t="s">
        <v>88</v>
      </c>
      <c r="C16" s="9">
        <v>9871265555</v>
      </c>
      <c r="D16" s="10" t="s">
        <v>89</v>
      </c>
      <c r="E16" s="10" t="s">
        <v>32</v>
      </c>
      <c r="F16" s="11" t="s">
        <v>17</v>
      </c>
      <c r="G16" s="12" t="s">
        <v>18</v>
      </c>
      <c r="H16" s="9">
        <v>1450</v>
      </c>
      <c r="I16" s="9">
        <v>362.5</v>
      </c>
      <c r="J16" s="11" t="s">
        <v>19</v>
      </c>
      <c r="K16" s="11" t="s">
        <v>90</v>
      </c>
      <c r="L16" s="10" t="s">
        <v>91</v>
      </c>
      <c r="M16" s="10" t="s">
        <v>92</v>
      </c>
      <c r="N16" s="13" t="s">
        <v>21</v>
      </c>
      <c r="O16" s="38" t="str">
        <f>VLOOKUP(A16,'[1]18-06-26'!$A$2:$T$89,20,0)</f>
        <v>P n Y Spray Daisy ( 14 Inch ) 5 No White Flower  No White Flower   FF Sachet + Grass</v>
      </c>
      <c r="P16" s="38" t="str">
        <f>VLOOKUP(A16,'[1]25-06-26'!$A$2:$T$86,20,0)</f>
        <v>Pur n P Car ( 14 Inch ) 16     FF Sachet + Grass</v>
      </c>
      <c r="Q16" s="38" t="str">
        <f>VLOOKUP(A16,'[2]02-07-26'!$A$2:$T$106,20,0)</f>
        <v>Pur Eustoma ( 12 Inch ) 3     FF Sachet + Grass</v>
      </c>
      <c r="R16" s="38" t="str">
        <f>VLOOKUP(A16,'[2]09-07-26'!$A$2:$T$89,20,0)</f>
        <v>Rajni ( 14 Inch ) 16     Grass</v>
      </c>
      <c r="S16" s="38" t="str">
        <f>VLOOKUP(A16,'[2]16-07-26'!$A$2:$T$95,20,0)</f>
        <v>P n W Glad ( 14 Inch ) 16     Grass</v>
      </c>
      <c r="T16" s="38" t="s">
        <v>444</v>
      </c>
      <c r="U16" s="38">
        <v>3</v>
      </c>
      <c r="V16" s="38"/>
      <c r="W16" s="38"/>
      <c r="X16" s="38"/>
      <c r="Y16" s="38"/>
      <c r="Z16" s="38" t="s">
        <v>451</v>
      </c>
      <c r="AA16" s="38"/>
      <c r="AB16" s="38"/>
      <c r="AC16" s="38"/>
      <c r="AD16" s="38"/>
    </row>
    <row r="17" spans="1:30" ht="107.1" hidden="1" customHeight="1" x14ac:dyDescent="0.3">
      <c r="A17" s="1">
        <v>401</v>
      </c>
      <c r="B17" s="17" t="s">
        <v>93</v>
      </c>
      <c r="C17" s="1">
        <v>9899240454</v>
      </c>
      <c r="D17" s="11" t="s">
        <v>94</v>
      </c>
      <c r="E17" s="11" t="s">
        <v>32</v>
      </c>
      <c r="F17" s="11" t="s">
        <v>17</v>
      </c>
      <c r="G17" s="12" t="s">
        <v>95</v>
      </c>
      <c r="H17" s="9">
        <v>1600</v>
      </c>
      <c r="I17" s="9">
        <v>200</v>
      </c>
      <c r="J17" s="10" t="s">
        <v>96</v>
      </c>
      <c r="K17" s="11" t="s">
        <v>97</v>
      </c>
      <c r="L17" s="9"/>
      <c r="M17" s="10" t="s">
        <v>98</v>
      </c>
      <c r="N17" s="13" t="s">
        <v>437</v>
      </c>
      <c r="O17" s="38" t="str">
        <f>VLOOKUP(A17,'[1]18-06-26'!$A$2:$T$89,20,0)</f>
        <v>P Spray Daisy ( 14 Inch ) 2     FF Sachet + Grass</v>
      </c>
      <c r="P17" s="38" t="str">
        <f>VLOOKUP(A17,'[1]25-06-26'!$A$2:$T$86,20,0)</f>
        <v>Sunflower ( 12 Inch) 2     Grass</v>
      </c>
      <c r="Q17" s="38" t="str">
        <f>VLOOKUP(A17,'[2]02-07-26'!$A$2:$T$106,20,0)</f>
        <v>P n W Car ( 14 Inch ) 7    Collect Payment FF Sachet + Grass</v>
      </c>
      <c r="R17" s="38" t="str">
        <f>VLOOKUP(A17,'[2]09-07-26'!$A$2:$T$89,20,0)</f>
        <v>Mix Alstroemeria ( 12Inch ) 7     FF Sachet + Grass</v>
      </c>
      <c r="S17" s="38" t="str">
        <f>VLOOKUP(A17,'[2]16-07-26'!$A$2:$T$95,20,0)</f>
        <v>Rajni ( 14 Inch ) 7     Grass</v>
      </c>
      <c r="T17" s="38" t="s">
        <v>441</v>
      </c>
      <c r="U17" s="38">
        <v>7</v>
      </c>
      <c r="V17" s="38"/>
      <c r="W17" s="38"/>
      <c r="X17" s="38"/>
      <c r="Y17" s="38"/>
      <c r="Z17" s="38" t="s">
        <v>452</v>
      </c>
      <c r="AA17" s="38"/>
      <c r="AB17" s="38"/>
      <c r="AC17" s="38"/>
      <c r="AD17" s="38"/>
    </row>
    <row r="18" spans="1:30" ht="107.1" hidden="1" customHeight="1" x14ac:dyDescent="0.3">
      <c r="A18" s="1">
        <v>2774</v>
      </c>
      <c r="B18" s="17" t="s">
        <v>99</v>
      </c>
      <c r="C18" s="9">
        <v>9899589964</v>
      </c>
      <c r="D18" s="10" t="s">
        <v>100</v>
      </c>
      <c r="E18" s="10" t="s">
        <v>16</v>
      </c>
      <c r="F18" s="10" t="s">
        <v>101</v>
      </c>
      <c r="G18" s="12" t="s">
        <v>18</v>
      </c>
      <c r="H18" s="9">
        <v>1600</v>
      </c>
      <c r="I18" s="9">
        <v>200</v>
      </c>
      <c r="J18" s="10" t="s">
        <v>96</v>
      </c>
      <c r="K18" s="9"/>
      <c r="L18" s="9"/>
      <c r="M18" s="9"/>
      <c r="N18" s="13" t="s">
        <v>437</v>
      </c>
      <c r="O18" s="38" t="str">
        <f>VLOOKUP(A18,'[1]18-06-26'!$A$2:$T$89,20,0)</f>
        <v>Pur n P Car ( 14 inch ) 7     FF Sachet + Grass</v>
      </c>
      <c r="P18" s="38" t="str">
        <f>VLOOKUP(A18,'[1]25-06-26'!$A$2:$T$86,20,0)</f>
        <v>P n W Glad ( 14 Inch ) 7     Grass</v>
      </c>
      <c r="Q18" s="38" t="str">
        <f>VLOOKUP(A18,'[2]02-07-26'!$A$2:$T$106,20,0)</f>
        <v>Rajni ( 14 Inch ) 7     Grass</v>
      </c>
      <c r="R18" s="38" t="str">
        <f>VLOOKUP(A18,'[2]09-07-26'!$A$2:$T$89,20,0)</f>
        <v>P n W Car ( 14 Inch ) 7     FF Sachet + Grass</v>
      </c>
      <c r="S18" s="38" t="str">
        <f>VLOOKUP(A18,'[2]16-07-26'!$A$2:$T$95,20,0)</f>
        <v>Mix Alstroemeria ( 12 Inch ) 7     FF Sachet + Grass</v>
      </c>
      <c r="T18" s="38" t="s">
        <v>442</v>
      </c>
      <c r="U18" s="38">
        <v>7</v>
      </c>
      <c r="V18" s="38"/>
      <c r="W18" s="38"/>
      <c r="X18" s="38"/>
      <c r="Y18" s="38"/>
      <c r="Z18" s="38" t="s">
        <v>451</v>
      </c>
      <c r="AA18" s="38"/>
      <c r="AB18" s="38"/>
      <c r="AC18" s="38"/>
      <c r="AD18" s="38"/>
    </row>
    <row r="19" spans="1:30" ht="107.1" hidden="1" customHeight="1" x14ac:dyDescent="0.3">
      <c r="A19" s="1">
        <v>3393</v>
      </c>
      <c r="B19" s="17" t="s">
        <v>102</v>
      </c>
      <c r="C19" s="9">
        <v>9871812384</v>
      </c>
      <c r="D19" s="10" t="s">
        <v>103</v>
      </c>
      <c r="E19" s="10" t="s">
        <v>42</v>
      </c>
      <c r="F19" s="10" t="s">
        <v>17</v>
      </c>
      <c r="G19" s="10" t="s">
        <v>55</v>
      </c>
      <c r="H19" s="9">
        <v>1450</v>
      </c>
      <c r="I19" s="9">
        <v>362.5</v>
      </c>
      <c r="J19" s="11" t="s">
        <v>19</v>
      </c>
      <c r="K19" s="9"/>
      <c r="L19" s="9"/>
      <c r="M19" s="9"/>
      <c r="N19" s="13" t="s">
        <v>21</v>
      </c>
      <c r="O19" s="38" t="e">
        <f>VLOOKUP(A19,'[1]18-06-26'!$A$2:$T$89,20,0)</f>
        <v>#N/A</v>
      </c>
      <c r="P19" s="38" t="e">
        <f>VLOOKUP(A19,'[1]25-06-26'!$A$2:$T$86,20,0)</f>
        <v>#N/A</v>
      </c>
      <c r="Q19" s="38" t="str">
        <f>VLOOKUP(A19,'[2]02-07-26'!$A$2:$T$106,20,0)</f>
        <v>Pur n P Car ( 14 Inch ) 16     FF Sachet + Grass</v>
      </c>
      <c r="R19" s="38" t="str">
        <f>VLOOKUP(A19,'[2]09-07-26'!$A$2:$T$89,20,0)</f>
        <v>P Asiatic ( 14 Inch ) 3     Grass</v>
      </c>
      <c r="S19" s="38" t="str">
        <f>VLOOKUP(A19,'[2]16-07-26'!$A$2:$T$95,20,0)</f>
        <v>P n W Glad ( 14 Inch ) 16     Grass</v>
      </c>
      <c r="T19" s="38" t="s">
        <v>448</v>
      </c>
      <c r="U19" s="38">
        <v>5</v>
      </c>
      <c r="V19" s="38"/>
      <c r="W19" s="38"/>
      <c r="X19" s="38"/>
      <c r="Y19" s="38"/>
      <c r="Z19" s="38" t="s">
        <v>452</v>
      </c>
      <c r="AA19" s="38"/>
      <c r="AB19" s="38"/>
      <c r="AC19" s="38"/>
      <c r="AD19" s="38"/>
    </row>
    <row r="20" spans="1:30" ht="107.1" hidden="1" customHeight="1" x14ac:dyDescent="0.3">
      <c r="A20" s="1">
        <v>1438</v>
      </c>
      <c r="B20" s="21" t="s">
        <v>104</v>
      </c>
      <c r="C20" s="9">
        <v>9884857311</v>
      </c>
      <c r="D20" s="10" t="s">
        <v>105</v>
      </c>
      <c r="E20" s="10" t="s">
        <v>32</v>
      </c>
      <c r="F20" s="10" t="s">
        <v>17</v>
      </c>
      <c r="G20" s="12" t="s">
        <v>18</v>
      </c>
      <c r="H20" s="9">
        <v>1600</v>
      </c>
      <c r="I20" s="9">
        <v>200</v>
      </c>
      <c r="J20" s="10" t="s">
        <v>96</v>
      </c>
      <c r="K20" s="10" t="s">
        <v>106</v>
      </c>
      <c r="L20" s="9"/>
      <c r="M20" s="9"/>
      <c r="N20" s="13" t="s">
        <v>436</v>
      </c>
      <c r="O20" s="38" t="e">
        <f>VLOOKUP(A20,'[1]18-06-26'!$A$2:$T$89,20,0)</f>
        <v>#N/A</v>
      </c>
      <c r="P20" s="38" t="str">
        <f>VLOOKUP(A20,'[1]25-06-26'!$A$2:$T$86,20,0)</f>
        <v>P n W Car ( 14 inch ) 7     FF Sachet + Grass</v>
      </c>
      <c r="Q20" s="38" t="str">
        <f>VLOOKUP(A20,'[2]02-07-26'!$A$2:$T$106,20,0)</f>
        <v>P n W Glad ( 14 Inch ) 7     Grass</v>
      </c>
      <c r="R20" s="38" t="str">
        <f>VLOOKUP(A20,'[2]09-07-26'!$A$2:$T$89,20,0)</f>
        <v>Rajni ( 14 Inch ) 7   Collect Payment Collect Payment Grass</v>
      </c>
      <c r="S20" s="38" t="str">
        <f>VLOOKUP(A20,'[2]16-07-26'!$A$2:$T$95,20,0)</f>
        <v>Y Spray Daisy ( 14 Inch ) 2     FF Sachet + Grass</v>
      </c>
      <c r="T20" s="38" t="s">
        <v>443</v>
      </c>
      <c r="U20" s="38">
        <v>2</v>
      </c>
      <c r="V20" s="38"/>
      <c r="W20" s="38"/>
      <c r="X20" s="38"/>
      <c r="Y20" s="38"/>
      <c r="Z20" s="38" t="s">
        <v>452</v>
      </c>
      <c r="AA20" s="38"/>
      <c r="AB20" s="38"/>
      <c r="AC20" s="38"/>
      <c r="AD20" s="38"/>
    </row>
    <row r="21" spans="1:30" ht="107.1" hidden="1" customHeight="1" x14ac:dyDescent="0.3">
      <c r="A21" s="1">
        <v>2246</v>
      </c>
      <c r="B21" s="17" t="s">
        <v>107</v>
      </c>
      <c r="C21" s="9">
        <v>9811985450</v>
      </c>
      <c r="D21" s="9" t="s">
        <v>108</v>
      </c>
      <c r="E21" s="9" t="s">
        <v>16</v>
      </c>
      <c r="F21" s="9" t="s">
        <v>17</v>
      </c>
      <c r="G21" s="9" t="s">
        <v>18</v>
      </c>
      <c r="H21" s="9">
        <v>1600</v>
      </c>
      <c r="I21" s="9">
        <v>200</v>
      </c>
      <c r="J21" s="10" t="s">
        <v>96</v>
      </c>
      <c r="K21" s="10" t="s">
        <v>109</v>
      </c>
      <c r="L21" s="9" t="s">
        <v>110</v>
      </c>
      <c r="M21" s="10" t="s">
        <v>111</v>
      </c>
      <c r="N21" s="13" t="s">
        <v>436</v>
      </c>
      <c r="O21" s="38" t="str">
        <f>VLOOKUP(A21,'[1]18-06-26'!$A$2:$T$89,20,0)</f>
        <v>Sunflower ( 12 Inch ) 2     FF Sachet + Grass</v>
      </c>
      <c r="P21" s="38" t="str">
        <f>VLOOKUP(A21,'[1]25-06-26'!$A$2:$T$86,20,0)</f>
        <v>P n W Glad ( 14 Inch ) 7     Grass</v>
      </c>
      <c r="Q21" s="38" t="str">
        <f>VLOOKUP(A21,'[2]02-07-26'!$A$2:$T$106,20,0)</f>
        <v>P n W Car ( 14 Inch ) 7     FF Sachet + Grass</v>
      </c>
      <c r="R21" s="38" t="str">
        <f>VLOOKUP(A21,'[2]09-07-26'!$A$2:$T$89,20,0)</f>
        <v>Sunflower ( 12 Inch ) 2     FF Sachet + Grass</v>
      </c>
      <c r="S21" s="38" t="str">
        <f>VLOOKUP(A21,'[2]16-07-26'!$A$2:$T$95,20,0)</f>
        <v>P n W Glad ( 14 Inch ) 7     Grass</v>
      </c>
      <c r="T21" s="38" t="s">
        <v>443</v>
      </c>
      <c r="U21" s="38">
        <v>2</v>
      </c>
      <c r="V21" s="38"/>
      <c r="W21" s="38"/>
      <c r="X21" s="38"/>
      <c r="Y21" s="38"/>
      <c r="Z21" s="38" t="s">
        <v>452</v>
      </c>
      <c r="AA21" s="38"/>
      <c r="AB21" s="38"/>
      <c r="AC21" s="38"/>
      <c r="AD21" s="38"/>
    </row>
    <row r="22" spans="1:30" ht="107.1" hidden="1" customHeight="1" x14ac:dyDescent="0.3">
      <c r="A22" s="1">
        <v>2502</v>
      </c>
      <c r="B22" s="17" t="s">
        <v>112</v>
      </c>
      <c r="C22" s="9">
        <v>7028026940</v>
      </c>
      <c r="D22" s="10" t="s">
        <v>113</v>
      </c>
      <c r="E22" s="10" t="s">
        <v>114</v>
      </c>
      <c r="F22" s="10" t="s">
        <v>17</v>
      </c>
      <c r="G22" s="19" t="s">
        <v>74</v>
      </c>
      <c r="H22" s="9">
        <v>1450</v>
      </c>
      <c r="I22" s="9">
        <v>362.5</v>
      </c>
      <c r="J22" s="10" t="s">
        <v>19</v>
      </c>
      <c r="K22" s="10" t="s">
        <v>115</v>
      </c>
      <c r="L22" s="10" t="s">
        <v>116</v>
      </c>
      <c r="M22" s="10" t="s">
        <v>117</v>
      </c>
      <c r="N22" s="13" t="s">
        <v>21</v>
      </c>
      <c r="O22" s="38" t="e">
        <f>VLOOKUP(A22,'[1]18-06-26'!$A$2:$T$89,20,0)</f>
        <v>#N/A</v>
      </c>
      <c r="P22" s="38" t="e">
        <f>VLOOKUP(A22,'[1]25-06-26'!$A$2:$T$86,20,0)</f>
        <v>#N/A</v>
      </c>
      <c r="Q22" s="38" t="str">
        <f>VLOOKUP(A22,'[2]02-07-26'!$A$2:$T$106,20,0)</f>
        <v>Pur n P Car ( 14 Inch ) 16     FF Sachet + Grass</v>
      </c>
      <c r="R22" s="38" t="str">
        <f>VLOOKUP(A22,'[2]09-07-26'!$A$2:$T$89,20,0)</f>
        <v>O Asiatic ( ( 14 inch ) 3     Grass</v>
      </c>
      <c r="S22" s="38" t="str">
        <f>VLOOKUP(A22,'[2]16-07-26'!$A$2:$T$95,20,0)</f>
        <v>Mix Car ( 14 Inch ) 16     Grass</v>
      </c>
      <c r="T22" s="38" t="s">
        <v>448</v>
      </c>
      <c r="U22" s="38">
        <v>5</v>
      </c>
      <c r="V22" s="38"/>
      <c r="W22" s="38"/>
      <c r="X22" s="38"/>
      <c r="Y22" s="38"/>
      <c r="Z22" s="38" t="s">
        <v>452</v>
      </c>
      <c r="AA22" s="38"/>
      <c r="AB22" s="38"/>
      <c r="AC22" s="38"/>
      <c r="AD22" s="38"/>
    </row>
    <row r="23" spans="1:30" ht="107.1" hidden="1" customHeight="1" x14ac:dyDescent="0.3">
      <c r="A23" s="1">
        <v>2104</v>
      </c>
      <c r="B23" s="17" t="s">
        <v>118</v>
      </c>
      <c r="C23" s="9">
        <v>9999072697</v>
      </c>
      <c r="D23" s="9" t="s">
        <v>119</v>
      </c>
      <c r="E23" s="9" t="s">
        <v>16</v>
      </c>
      <c r="F23" s="10" t="s">
        <v>17</v>
      </c>
      <c r="G23" s="9" t="s">
        <v>55</v>
      </c>
      <c r="H23" s="9">
        <v>400</v>
      </c>
      <c r="I23" s="9">
        <v>100</v>
      </c>
      <c r="J23" s="9" t="s">
        <v>50</v>
      </c>
      <c r="K23" s="9" t="s">
        <v>120</v>
      </c>
      <c r="L23" s="9"/>
      <c r="M23" s="9"/>
      <c r="N23" s="13" t="s">
        <v>121</v>
      </c>
      <c r="O23" s="38" t="str">
        <f>VLOOKUP(A23,'[1]18-06-26'!$A$2:$T$89,20,0)</f>
        <v xml:space="preserve">      </v>
      </c>
      <c r="P23" s="38" t="str">
        <f>VLOOKUP(A23,'[1]25-06-26'!$A$2:$T$86,20,0)</f>
        <v xml:space="preserve">Broken Flowers  5 1 Shop    </v>
      </c>
      <c r="Q23" s="38" t="str">
        <f>VLOOKUP(A23,'[2]02-07-26'!$A$2:$T$106,20,0)</f>
        <v xml:space="preserve">Broken Flowers  5     </v>
      </c>
      <c r="R23" s="38" t="str">
        <f>VLOOKUP(A23,'[2]09-07-26'!$A$2:$T$89,20,0)</f>
        <v xml:space="preserve">Broken Flowers  5 1 Shop    </v>
      </c>
      <c r="S23" s="38" t="str">
        <f>VLOOKUP(A23,'[2]16-07-26'!$A$2:$T$95,20,0)</f>
        <v xml:space="preserve">Broken Flowers  5 1 Shop    </v>
      </c>
      <c r="T23" s="38" t="s">
        <v>459</v>
      </c>
      <c r="U23" s="38">
        <v>5</v>
      </c>
      <c r="V23" s="38" t="s">
        <v>460</v>
      </c>
      <c r="W23" s="38"/>
      <c r="X23" s="38"/>
      <c r="Y23" s="38"/>
      <c r="Z23" s="38" t="s">
        <v>451</v>
      </c>
      <c r="AA23" s="38"/>
      <c r="AB23" s="38"/>
      <c r="AC23" s="38"/>
      <c r="AD23" s="38"/>
    </row>
    <row r="24" spans="1:30" ht="107.1" hidden="1" customHeight="1" x14ac:dyDescent="0.3">
      <c r="A24" s="1">
        <v>396</v>
      </c>
      <c r="B24" s="17" t="s">
        <v>122</v>
      </c>
      <c r="C24" s="1">
        <v>8860079525</v>
      </c>
      <c r="D24" s="1" t="s">
        <v>123</v>
      </c>
      <c r="E24" s="1" t="s">
        <v>124</v>
      </c>
      <c r="F24" s="11" t="s">
        <v>17</v>
      </c>
      <c r="G24" s="19" t="s">
        <v>49</v>
      </c>
      <c r="H24" s="9">
        <v>1450</v>
      </c>
      <c r="I24" s="9">
        <v>362.5</v>
      </c>
      <c r="J24" s="11" t="s">
        <v>125</v>
      </c>
      <c r="K24" s="11" t="s">
        <v>126</v>
      </c>
      <c r="L24" s="9"/>
      <c r="M24" s="9"/>
      <c r="N24" s="13" t="s">
        <v>121</v>
      </c>
      <c r="O24" s="38" t="str">
        <f>VLOOKUP(A24,'[1]18-06-26'!$A$2:$T$89,20,0)</f>
        <v>Pur n P Car ( 14 inch ) 16     FF Sachet + Grass</v>
      </c>
      <c r="P24" s="38" t="str">
        <f>VLOOKUP(A24,'[1]25-06-26'!$A$2:$T$86,20,0)</f>
        <v>Rajni ( 14 Inch ) 16     Grass</v>
      </c>
      <c r="Q24" s="38" t="str">
        <f>VLOOKUP(A24,'[2]02-07-26'!$A$2:$T$106,20,0)</f>
        <v>P n W Glad ( 14 Inch ) 16     Grass</v>
      </c>
      <c r="R24" s="38" t="str">
        <f>VLOOKUP(A24,'[2]09-07-26'!$A$2:$T$89,20,0)</f>
        <v>P n W Car ( 14 Inch ) 16     FF Sachet + Grass</v>
      </c>
      <c r="S24" s="38" t="str">
        <f>VLOOKUP(A24,'[2]16-07-26'!$A$2:$T$95,20,0)</f>
        <v>Rajni ( 14 Inch ) 16     Grass</v>
      </c>
      <c r="T24" s="38" t="s">
        <v>449</v>
      </c>
      <c r="U24" s="38">
        <v>16</v>
      </c>
      <c r="V24" s="38"/>
      <c r="W24" s="38"/>
      <c r="X24" s="38"/>
      <c r="Y24" s="38"/>
      <c r="Z24" s="38" t="s">
        <v>451</v>
      </c>
      <c r="AA24" s="38"/>
      <c r="AB24" s="38"/>
      <c r="AC24" s="38"/>
      <c r="AD24" s="38"/>
    </row>
    <row r="25" spans="1:30" ht="107.1" hidden="1" customHeight="1" x14ac:dyDescent="0.3">
      <c r="A25" s="1">
        <v>922</v>
      </c>
      <c r="B25" s="17" t="s">
        <v>122</v>
      </c>
      <c r="C25" s="1">
        <v>8860079525</v>
      </c>
      <c r="D25" s="1" t="s">
        <v>123</v>
      </c>
      <c r="E25" s="1" t="s">
        <v>124</v>
      </c>
      <c r="F25" s="11" t="s">
        <v>17</v>
      </c>
      <c r="G25" s="19" t="s">
        <v>49</v>
      </c>
      <c r="H25" s="9">
        <v>1450</v>
      </c>
      <c r="I25" s="9">
        <v>362.5</v>
      </c>
      <c r="J25" s="11" t="s">
        <v>125</v>
      </c>
      <c r="K25" s="11" t="s">
        <v>126</v>
      </c>
      <c r="L25" s="9"/>
      <c r="M25" s="9"/>
      <c r="N25" s="13" t="s">
        <v>121</v>
      </c>
      <c r="O25" s="38" t="str">
        <f>VLOOKUP(A25,'[1]18-06-26'!$A$2:$T$89,20,0)</f>
        <v>O Asiatic ( 14 Inch ) 3     Grass</v>
      </c>
      <c r="P25" s="38" t="str">
        <f>VLOOKUP(A25,'[1]25-06-26'!$A$2:$T$86,20,0)</f>
        <v>Pur Eustoma ( 12 Inch ) 3     FF Sachet + Grass</v>
      </c>
      <c r="Q25" s="38" t="str">
        <f>VLOOKUP(A25,'[2]02-07-26'!$A$2:$T$106,20,0)</f>
        <v>P Asiatic ( 14 Inch ) 3     Grass</v>
      </c>
      <c r="R25" s="38" t="str">
        <f>VLOOKUP(A25,'[2]09-07-26'!$A$2:$T$89,20,0)</f>
        <v>W Asiatic ( 14 Inch ) 3     Grass</v>
      </c>
      <c r="S25" s="38" t="str">
        <f>VLOOKUP(A25,'[2]16-07-26'!$A$2:$T$95,20,0)</f>
        <v>O Asiatic ( 14 Inch ) 3     Grass</v>
      </c>
      <c r="T25" s="38" t="s">
        <v>448</v>
      </c>
      <c r="U25" s="38">
        <v>5</v>
      </c>
      <c r="V25" s="38"/>
      <c r="W25" s="38"/>
      <c r="X25" s="38"/>
      <c r="Y25" s="38"/>
      <c r="Z25" s="38" t="s">
        <v>452</v>
      </c>
      <c r="AA25" s="38"/>
      <c r="AB25" s="38"/>
      <c r="AC25" s="38"/>
      <c r="AD25" s="38"/>
    </row>
    <row r="26" spans="1:30" ht="133.80000000000001" hidden="1" customHeight="1" x14ac:dyDescent="0.3">
      <c r="A26" s="11" t="s">
        <v>127</v>
      </c>
      <c r="B26" s="17" t="s">
        <v>128</v>
      </c>
      <c r="C26" s="10">
        <v>9015463811</v>
      </c>
      <c r="D26" s="10" t="s">
        <v>129</v>
      </c>
      <c r="E26" s="10" t="s">
        <v>42</v>
      </c>
      <c r="F26" s="10" t="s">
        <v>17</v>
      </c>
      <c r="G26" s="19" t="s">
        <v>74</v>
      </c>
      <c r="H26" s="9">
        <v>2750</v>
      </c>
      <c r="I26" s="9">
        <v>687.5</v>
      </c>
      <c r="J26" s="10" t="s">
        <v>44</v>
      </c>
      <c r="K26" s="10" t="s">
        <v>130</v>
      </c>
      <c r="L26" s="10"/>
      <c r="M26" s="10" t="s">
        <v>131</v>
      </c>
      <c r="N26" s="13" t="s">
        <v>121</v>
      </c>
      <c r="O26" s="38" t="str">
        <f>VLOOKUP(A26,'[1]18-06-26'!$A$2:$T$89,20,0)</f>
        <v>P n W Spray Daisy ( 14 Inch ) 5 Pur n P Car ( 14 Inch ) 16   2 Gypsola + FF Sachet</v>
      </c>
      <c r="P26" s="38" t="str">
        <f>VLOOKUP(A26,'[1]25-06-26'!$A$2:$T$86,20,0)</f>
        <v>P Asiatic ( 14 Inch ) 3 B Daisy ( 12 Inch ) 16   2 Limonium</v>
      </c>
      <c r="Q26" s="38" t="str">
        <f>VLOOKUP(A26,'[2]02-07-26'!$A$2:$T$106,20,0)</f>
        <v xml:space="preserve">Eustoma 4 Rajni ( 14 Inch ) 16   2 Gypsola + FF Sachet </v>
      </c>
      <c r="R26" s="38" t="str">
        <f>VLOOKUP(A26,'[2]09-07-26'!$A$2:$T$89,20,0)</f>
        <v>Sunflower ( 12 Inch ) 4 B Daisy ( 12 Inch ) 16   2 Limonium + FF Sachet</v>
      </c>
      <c r="S26" s="38" t="str">
        <f>VLOOKUP(A26,'[2]16-07-26'!$A$2:$T$95,20,0)</f>
        <v>P n W Spray Daisy ( 14 Inch ) 5 P n W Car ( 14 Inch ) 16   2 Gypsola + FF Sachet</v>
      </c>
      <c r="T26" s="38" t="s">
        <v>446</v>
      </c>
      <c r="U26" s="38">
        <v>3</v>
      </c>
      <c r="V26" s="38" t="s">
        <v>461</v>
      </c>
      <c r="W26" s="38">
        <v>16</v>
      </c>
      <c r="X26" s="38"/>
      <c r="Y26" s="38"/>
      <c r="Z26" s="38" t="s">
        <v>478</v>
      </c>
      <c r="AA26" s="38"/>
      <c r="AB26" s="38"/>
      <c r="AC26" s="38"/>
      <c r="AD26" s="38"/>
    </row>
    <row r="27" spans="1:30" ht="107.1" hidden="1" customHeight="1" x14ac:dyDescent="0.3">
      <c r="A27" s="1">
        <v>2569</v>
      </c>
      <c r="B27" s="17" t="s">
        <v>132</v>
      </c>
      <c r="C27" s="9">
        <v>9971135993</v>
      </c>
      <c r="D27" s="10" t="s">
        <v>133</v>
      </c>
      <c r="E27" s="10" t="s">
        <v>134</v>
      </c>
      <c r="F27" s="10" t="s">
        <v>17</v>
      </c>
      <c r="G27" s="12" t="s">
        <v>18</v>
      </c>
      <c r="H27" s="9">
        <v>1450</v>
      </c>
      <c r="I27" s="9">
        <v>362.5</v>
      </c>
      <c r="J27" s="10" t="s">
        <v>19</v>
      </c>
      <c r="K27" s="10" t="s">
        <v>135</v>
      </c>
      <c r="L27" s="10" t="s">
        <v>91</v>
      </c>
      <c r="M27" s="10"/>
      <c r="N27" s="13" t="s">
        <v>136</v>
      </c>
      <c r="O27" s="38" t="str">
        <f>VLOOKUP(A27,'[1]18-06-26'!$A$2:$T$89,20,0)</f>
        <v>Sunflower ( 12 Inch ) 2 P n W Glad ( 14 Inch ) 7   FF Sachet + Grass</v>
      </c>
      <c r="P27" s="38" t="str">
        <f>VLOOKUP(A27,'[1]25-06-26'!$A$2:$T$86,20,0)</f>
        <v>O Asiatic ( 14 Inch ) 2 B Daisy ( 12 Inch ) 7   Grass</v>
      </c>
      <c r="Q27" s="38" t="str">
        <f>VLOOKUP(A27,'[2]02-07-26'!$A$2:$T$106,20,0)</f>
        <v>P Spray Daisy ( 14 Inch ) 3 Rajni ( 14 Inch ) 7   FF Sachet + Grass</v>
      </c>
      <c r="R27" s="38" t="str">
        <f>VLOOKUP(A27,'[2]09-07-26'!$A$2:$T$89,20,0)</f>
        <v>Sunflower ( 12 Inch ) 2 P n W Car ( 14 Inch ) 7   FF Sachet + Grass</v>
      </c>
      <c r="S27" s="38" t="str">
        <f>VLOOKUP(A27,'[2]16-07-26'!$A$2:$T$95,20,0)</f>
        <v>P Asiatic ( 14 Inch ) 2 P n W Glad ( 14 Inch ) 7   Grass</v>
      </c>
      <c r="T27" s="38" t="s">
        <v>445</v>
      </c>
      <c r="U27" s="38">
        <v>2</v>
      </c>
      <c r="V27" s="38" t="s">
        <v>461</v>
      </c>
      <c r="W27" s="38">
        <v>7</v>
      </c>
      <c r="X27" s="38"/>
      <c r="Y27" s="38"/>
      <c r="Z27" s="38" t="s">
        <v>451</v>
      </c>
      <c r="AA27" s="38"/>
      <c r="AB27" s="38"/>
      <c r="AC27" s="38"/>
      <c r="AD27" s="38"/>
    </row>
    <row r="28" spans="1:30" ht="107.1" hidden="1" customHeight="1" x14ac:dyDescent="0.3">
      <c r="A28" s="1">
        <v>1140</v>
      </c>
      <c r="B28" s="17" t="s">
        <v>137</v>
      </c>
      <c r="C28" s="10" t="s">
        <v>138</v>
      </c>
      <c r="D28" s="10" t="s">
        <v>139</v>
      </c>
      <c r="E28" s="10" t="s">
        <v>32</v>
      </c>
      <c r="F28" s="10" t="s">
        <v>17</v>
      </c>
      <c r="G28" s="12" t="s">
        <v>18</v>
      </c>
      <c r="H28" s="9">
        <v>2300</v>
      </c>
      <c r="I28" s="9">
        <v>287.5</v>
      </c>
      <c r="J28" s="10" t="s">
        <v>78</v>
      </c>
      <c r="K28" s="10" t="s">
        <v>140</v>
      </c>
      <c r="L28" s="10" t="s">
        <v>35</v>
      </c>
      <c r="M28" s="9"/>
      <c r="N28" s="13" t="s">
        <v>436</v>
      </c>
      <c r="O28" s="38" t="str">
        <f>VLOOKUP(A28,'[1]18-06-26'!$A$2:$T$89,20,0)</f>
        <v>Rajni ( 14 Inch ) 11     Grass</v>
      </c>
      <c r="P28" s="38" t="str">
        <f>VLOOKUP(A28,'[1]25-06-26'!$A$2:$T$86,20,0)</f>
        <v>P n W Glad ( 14 Inch ) 11     Grass</v>
      </c>
      <c r="Q28" s="38" t="str">
        <f>VLOOKUP(A28,'[2]02-07-26'!$A$2:$T$106,20,0)</f>
        <v>Pur n P Car ( 14 Inch ) 11     FF Sachet + Grass</v>
      </c>
      <c r="R28" s="38" t="str">
        <f>VLOOKUP(A28,'[2]09-07-26'!$A$2:$T$89,20,0)</f>
        <v>Rajni ( 14 Inch ) 11     Grass</v>
      </c>
      <c r="S28" s="38" t="str">
        <f>VLOOKUP(A28,'[2]16-07-26'!$A$2:$T$95,20,0)</f>
        <v>P n W Glad ( 14 Inch ) 11     Grass</v>
      </c>
      <c r="T28" s="38" t="s">
        <v>444</v>
      </c>
      <c r="U28" s="38">
        <v>2</v>
      </c>
      <c r="V28" s="38"/>
      <c r="W28" s="38"/>
      <c r="X28" s="38"/>
      <c r="Y28" s="38"/>
      <c r="Z28" s="38" t="s">
        <v>451</v>
      </c>
      <c r="AA28" s="38"/>
      <c r="AB28" s="38"/>
      <c r="AC28" s="38"/>
      <c r="AD28" s="38"/>
    </row>
    <row r="29" spans="1:30" ht="107.1" hidden="1" customHeight="1" x14ac:dyDescent="0.3">
      <c r="A29" s="1">
        <v>326</v>
      </c>
      <c r="B29" s="17" t="s">
        <v>141</v>
      </c>
      <c r="C29" s="9">
        <v>9871132800</v>
      </c>
      <c r="D29" s="9" t="s">
        <v>142</v>
      </c>
      <c r="E29" s="9" t="s">
        <v>42</v>
      </c>
      <c r="F29" s="9" t="s">
        <v>17</v>
      </c>
      <c r="G29" s="9" t="s">
        <v>18</v>
      </c>
      <c r="H29" s="9">
        <v>2750</v>
      </c>
      <c r="I29" s="9">
        <v>687.5</v>
      </c>
      <c r="J29" s="10" t="s">
        <v>44</v>
      </c>
      <c r="K29" s="10" t="s">
        <v>143</v>
      </c>
      <c r="L29" s="10" t="s">
        <v>144</v>
      </c>
      <c r="M29" s="9"/>
      <c r="N29" s="13" t="s">
        <v>21</v>
      </c>
      <c r="O29" s="38" t="str">
        <f>VLOOKUP(A29,'[1]18-06-26'!$A$2:$T$89,20,0)</f>
        <v>Pur n P Car ( 14 inch ) 32     2 Gypsola + FF Sachet</v>
      </c>
      <c r="P29" s="38" t="str">
        <f>VLOOKUP(A29,'[1]25-06-26'!$A$2:$T$86,20,0)</f>
        <v>P n W Glad ( 14 Inch ) 32     2 Limonium</v>
      </c>
      <c r="Q29" s="38" t="str">
        <f>VLOOKUP(A29,'[2]02-07-26'!$A$2:$T$106,20,0)</f>
        <v>Pur n P Car ( 14 Inch ) 32     2 Gypsola</v>
      </c>
      <c r="R29" s="38" t="str">
        <f>VLOOKUP(A29,'[2]09-07-26'!$A$2:$T$89,20,0)</f>
        <v>P Asiatic ( 14 Inch ) 6  Gate Pass Wahab Ke Pass Hai Collect Payment Collect Payment 2 Limonium</v>
      </c>
      <c r="S29" s="38" t="str">
        <f>VLOOKUP(A29,'[2]16-07-26'!$A$2:$T$95,20,0)</f>
        <v>P n W Spray Daisy ( 14 Inch ) 10     2 Gypsola + FF Sachet</v>
      </c>
      <c r="T29" s="38" t="s">
        <v>461</v>
      </c>
      <c r="U29" s="38">
        <v>30</v>
      </c>
      <c r="V29" s="38"/>
      <c r="W29" s="38"/>
      <c r="X29" s="38"/>
      <c r="Y29" s="38"/>
      <c r="Z29" s="38" t="s">
        <v>477</v>
      </c>
      <c r="AA29" s="38"/>
      <c r="AB29" s="38"/>
      <c r="AC29" s="38"/>
      <c r="AD29" s="38"/>
    </row>
    <row r="30" spans="1:30" ht="107.1" hidden="1" customHeight="1" x14ac:dyDescent="0.3">
      <c r="A30" s="1">
        <v>3144</v>
      </c>
      <c r="B30" s="17" t="s">
        <v>145</v>
      </c>
      <c r="C30" s="9">
        <v>9582363043</v>
      </c>
      <c r="D30" s="10" t="s">
        <v>146</v>
      </c>
      <c r="E30" s="10" t="s">
        <v>32</v>
      </c>
      <c r="F30" s="10" t="s">
        <v>17</v>
      </c>
      <c r="G30" s="12" t="s">
        <v>55</v>
      </c>
      <c r="H30" s="9">
        <v>1450</v>
      </c>
      <c r="I30" s="9">
        <v>362.5</v>
      </c>
      <c r="J30" s="10" t="s">
        <v>19</v>
      </c>
      <c r="K30" s="10" t="s">
        <v>147</v>
      </c>
      <c r="L30" s="9"/>
      <c r="M30" s="10" t="s">
        <v>69</v>
      </c>
      <c r="N30" s="13" t="s">
        <v>21</v>
      </c>
      <c r="O30" s="38" t="e">
        <f>VLOOKUP(A30,'[1]18-06-26'!$A$2:$T$89,20,0)</f>
        <v>#N/A</v>
      </c>
      <c r="P30" s="38" t="str">
        <f>VLOOKUP(A30,'[1]25-06-26'!$A$2:$T$86,20,0)</f>
        <v>Sunflower ( 12 Inch) 2 P n W Car ( 14 Inch ) 7   FF Sachet + Grass</v>
      </c>
      <c r="Q30" s="38" t="str">
        <f>VLOOKUP(A30,'[2]02-07-26'!$A$2:$T$106,20,0)</f>
        <v>Pur Eustoma ( 12 Inch ) 2 Rajni ( 14 Inch ) 7   FF Sachet + Grass</v>
      </c>
      <c r="R30" s="38" t="e">
        <f>VLOOKUP(A30,'[2]09-07-26'!$A$2:$T$89,20,0)</f>
        <v>#N/A</v>
      </c>
      <c r="S30" s="38" t="str">
        <f>VLOOKUP(A30,'[2]16-07-26'!$A$2:$T$95,20,0)</f>
        <v>P Spray Daisy ( 14 Inch ) 3 Carnation 7   FF Sachet + Grass</v>
      </c>
      <c r="T30" s="38" t="s">
        <v>446</v>
      </c>
      <c r="U30" s="38">
        <v>2</v>
      </c>
      <c r="V30" s="38" t="s">
        <v>449</v>
      </c>
      <c r="W30" s="38">
        <v>7</v>
      </c>
      <c r="X30" s="38"/>
      <c r="Y30" s="38"/>
      <c r="Z30" s="38" t="s">
        <v>451</v>
      </c>
      <c r="AA30" s="38"/>
      <c r="AB30" s="38"/>
      <c r="AC30" s="38"/>
      <c r="AD30" s="38"/>
    </row>
    <row r="31" spans="1:30" ht="107.1" hidden="1" customHeight="1" x14ac:dyDescent="0.3">
      <c r="A31" s="1">
        <v>2037</v>
      </c>
      <c r="B31" s="17" t="s">
        <v>148</v>
      </c>
      <c r="C31" s="9">
        <v>9971066995</v>
      </c>
      <c r="D31" s="9" t="s">
        <v>149</v>
      </c>
      <c r="E31" s="9" t="s">
        <v>42</v>
      </c>
      <c r="F31" s="9" t="s">
        <v>17</v>
      </c>
      <c r="G31" s="9" t="s">
        <v>38</v>
      </c>
      <c r="H31" s="9">
        <v>1950</v>
      </c>
      <c r="I31" s="9">
        <v>487.5</v>
      </c>
      <c r="J31" s="10" t="s">
        <v>26</v>
      </c>
      <c r="K31" s="10" t="s">
        <v>150</v>
      </c>
      <c r="L31" s="9" t="s">
        <v>151</v>
      </c>
      <c r="M31" s="9"/>
      <c r="N31" s="13" t="s">
        <v>21</v>
      </c>
      <c r="O31" s="38" t="e">
        <f>VLOOKUP(A31,'[1]18-06-26'!$A$2:$T$89,20,0)</f>
        <v>#N/A</v>
      </c>
      <c r="P31" s="38" t="str">
        <f>VLOOKUP(A31,'[1]25-06-26'!$A$2:$T$86,20,0)</f>
        <v>Pur n P Eustoma ( 12 Inch ) 4     FF Sachet + Grass</v>
      </c>
      <c r="Q31" s="38" t="str">
        <f>VLOOKUP(A31,'[2]02-07-26'!$A$2:$T$106,20,0)</f>
        <v>Rajni ( 14 Inch ) 22     Grass</v>
      </c>
      <c r="R31" s="38" t="str">
        <f>VLOOKUP(A31,'[2]09-07-26'!$A$2:$T$89,20,0)</f>
        <v>O Asiatic ( ( 14 inch ) 4     Grass</v>
      </c>
      <c r="S31" s="38" t="str">
        <f>VLOOKUP(A31,'[2]16-07-26'!$A$2:$T$95,20,0)</f>
        <v>P n W Spray Daisy ( 14 Inch ) 7     FF Sachet + Grass</v>
      </c>
      <c r="T31" s="38" t="s">
        <v>449</v>
      </c>
      <c r="U31" s="38">
        <v>22</v>
      </c>
      <c r="V31" s="38"/>
      <c r="W31" s="38"/>
      <c r="X31" s="38"/>
      <c r="Y31" s="38"/>
      <c r="Z31" s="38" t="s">
        <v>451</v>
      </c>
      <c r="AA31" s="38"/>
      <c r="AB31" s="38"/>
      <c r="AC31" s="38"/>
      <c r="AD31" s="38"/>
    </row>
    <row r="32" spans="1:30" ht="107.1" hidden="1" customHeight="1" x14ac:dyDescent="0.3">
      <c r="A32" s="1">
        <v>3396</v>
      </c>
      <c r="B32" s="17" t="s">
        <v>152</v>
      </c>
      <c r="C32" s="9">
        <v>7838568324</v>
      </c>
      <c r="D32" s="10" t="s">
        <v>153</v>
      </c>
      <c r="E32" s="10" t="s">
        <v>134</v>
      </c>
      <c r="F32" s="10" t="s">
        <v>17</v>
      </c>
      <c r="G32" s="10" t="s">
        <v>43</v>
      </c>
      <c r="H32" s="9">
        <v>1450</v>
      </c>
      <c r="I32" s="9">
        <v>362.5</v>
      </c>
      <c r="J32" s="10" t="s">
        <v>50</v>
      </c>
      <c r="K32" s="10" t="s">
        <v>154</v>
      </c>
      <c r="L32" s="9"/>
      <c r="M32" s="9"/>
      <c r="N32" s="13" t="s">
        <v>21</v>
      </c>
      <c r="O32" s="38" t="e">
        <f>VLOOKUP(A32,'[1]18-06-26'!$A$2:$T$89,20,0)</f>
        <v>#N/A</v>
      </c>
      <c r="P32" s="38" t="e">
        <f>VLOOKUP(A32,'[1]25-06-26'!$A$2:$T$86,20,0)</f>
        <v>#N/A</v>
      </c>
      <c r="Q32" s="38" t="str">
        <f>VLOOKUP(A32,'[2]02-07-26'!$A$2:$T$106,20,0)</f>
        <v>Rajni ( 14 Inch ) 14     Grass</v>
      </c>
      <c r="R32" s="38" t="str">
        <f>VLOOKUP(A32,'[2]09-07-26'!$A$2:$T$89,20,0)</f>
        <v>O Asiatic ( ( 14 inch ) 3     FF Sachet + Grass</v>
      </c>
      <c r="S32" s="38" t="str">
        <f>VLOOKUP(A32,'[2]16-07-26'!$A$2:$T$95,20,0)</f>
        <v>G n W Car ( 14 Inch ) 16     FF Sachet + Grass</v>
      </c>
      <c r="T32" s="38" t="s">
        <v>448</v>
      </c>
      <c r="U32" s="38">
        <v>5</v>
      </c>
      <c r="V32" s="38"/>
      <c r="W32" s="38"/>
      <c r="X32" s="38"/>
      <c r="Y32" s="38"/>
      <c r="Z32" s="38" t="s">
        <v>452</v>
      </c>
      <c r="AA32" s="38"/>
      <c r="AB32" s="38"/>
      <c r="AC32" s="38"/>
      <c r="AD32" s="38"/>
    </row>
    <row r="33" spans="1:30" ht="107.1" hidden="1" customHeight="1" x14ac:dyDescent="0.3">
      <c r="A33" s="1">
        <v>2205</v>
      </c>
      <c r="B33" s="17" t="s">
        <v>155</v>
      </c>
      <c r="C33" s="1">
        <v>9811981626</v>
      </c>
      <c r="D33" s="1" t="s">
        <v>156</v>
      </c>
      <c r="E33" s="10" t="s">
        <v>16</v>
      </c>
      <c r="F33" s="10" t="s">
        <v>17</v>
      </c>
      <c r="G33" s="12" t="s">
        <v>18</v>
      </c>
      <c r="H33" s="9">
        <v>1450</v>
      </c>
      <c r="I33" s="9">
        <v>362.5</v>
      </c>
      <c r="J33" s="10" t="s">
        <v>19</v>
      </c>
      <c r="K33" s="10" t="s">
        <v>157</v>
      </c>
      <c r="L33" s="10" t="s">
        <v>158</v>
      </c>
      <c r="M33" s="10" t="s">
        <v>159</v>
      </c>
      <c r="N33" s="13" t="s">
        <v>21</v>
      </c>
      <c r="O33" s="38" t="str">
        <f>VLOOKUP(A33,'[1]18-06-26'!$A$2:$T$89,20,0)</f>
        <v>P n W Spray Daisy ( 14 Inch ) 5     FF Sachet + Grass</v>
      </c>
      <c r="P33" s="38" t="str">
        <f>VLOOKUP(A33,'[1]25-06-26'!$A$2:$T$86,20,0)</f>
        <v>B Daisy ( 12 Inch ) 16     Grass</v>
      </c>
      <c r="Q33" s="38" t="str">
        <f>VLOOKUP(A33,'[2]02-07-26'!$A$2:$T$106,20,0)</f>
        <v>P Asiatic ( 14 Inch ) 3     Grass</v>
      </c>
      <c r="R33" s="38" t="str">
        <f>VLOOKUP(A33,'[2]09-07-26'!$A$2:$T$89,20,0)</f>
        <v>Rajni ( 14 Inch ) 16     Grass</v>
      </c>
      <c r="S33" s="38" t="str">
        <f>VLOOKUP(A33,'[2]16-07-26'!$A$2:$T$95,20,0)</f>
        <v>G n W Car ( 14 Inch ) 16     FF Sachet + Grass</v>
      </c>
      <c r="T33" s="38" t="s">
        <v>449</v>
      </c>
      <c r="U33" s="38">
        <v>16</v>
      </c>
      <c r="V33" s="38"/>
      <c r="W33" s="38"/>
      <c r="X33" s="38"/>
      <c r="Y33" s="38"/>
      <c r="Z33" s="38" t="s">
        <v>451</v>
      </c>
      <c r="AA33" s="38"/>
      <c r="AB33" s="38"/>
      <c r="AC33" s="38"/>
      <c r="AD33" s="38"/>
    </row>
    <row r="34" spans="1:30" ht="107.1" hidden="1" customHeight="1" x14ac:dyDescent="0.3">
      <c r="A34" s="1">
        <v>2355</v>
      </c>
      <c r="B34" s="17" t="s">
        <v>162</v>
      </c>
      <c r="C34" s="9">
        <v>9810031208</v>
      </c>
      <c r="D34" s="10" t="s">
        <v>163</v>
      </c>
      <c r="E34" s="10" t="s">
        <v>42</v>
      </c>
      <c r="F34" s="10" t="s">
        <v>17</v>
      </c>
      <c r="G34" s="10" t="s">
        <v>164</v>
      </c>
      <c r="H34" s="9">
        <v>2750</v>
      </c>
      <c r="I34" s="9">
        <v>687.5</v>
      </c>
      <c r="J34" s="10" t="s">
        <v>125</v>
      </c>
      <c r="K34" s="10" t="s">
        <v>165</v>
      </c>
      <c r="L34" s="9"/>
      <c r="M34" s="9"/>
      <c r="N34" s="13" t="s">
        <v>121</v>
      </c>
      <c r="O34" s="38" t="str">
        <f>VLOOKUP(A34,'[1]18-06-26'!$A$2:$T$89,20,0)</f>
        <v xml:space="preserve">O Asiatic ( 14 Inch ) 6     2 Gypsola </v>
      </c>
      <c r="P34" s="38" t="e">
        <f>VLOOKUP(A34,'[1]25-06-26'!$A$2:$T$86,20,0)</f>
        <v>#N/A</v>
      </c>
      <c r="Q34" s="38" t="e">
        <f>VLOOKUP(A34,'[2]02-07-26'!$A$2:$T$106,20,0)</f>
        <v>#N/A</v>
      </c>
      <c r="R34" s="38" t="str">
        <f>VLOOKUP(A34,'[2]09-07-26'!$A$2:$T$89,20,0)</f>
        <v>Rajni ( 14 Inch ) 32     2 Limonium</v>
      </c>
      <c r="S34" s="38" t="str">
        <f>VLOOKUP(A34,'[2]16-07-26'!$A$2:$T$95,20,0)</f>
        <v>P n Y Spray Daisy ( 14 Inch ) 10     2 Gypsola + FF Sachet</v>
      </c>
      <c r="T34" s="38" t="s">
        <v>446</v>
      </c>
      <c r="U34" s="38">
        <v>6</v>
      </c>
      <c r="V34" s="38"/>
      <c r="W34" s="38"/>
      <c r="X34" s="38"/>
      <c r="Y34" s="38"/>
      <c r="Z34" s="38" t="s">
        <v>478</v>
      </c>
      <c r="AA34" s="38"/>
      <c r="AB34" s="38"/>
      <c r="AC34" s="38"/>
      <c r="AD34" s="38"/>
    </row>
    <row r="35" spans="1:30" ht="107.1" hidden="1" customHeight="1" x14ac:dyDescent="0.3">
      <c r="A35" s="11">
        <v>2868</v>
      </c>
      <c r="B35" s="17" t="s">
        <v>166</v>
      </c>
      <c r="C35" s="22">
        <v>7827468667</v>
      </c>
      <c r="D35" s="10" t="s">
        <v>167</v>
      </c>
      <c r="E35" s="10" t="s">
        <v>32</v>
      </c>
      <c r="F35" s="10" t="s">
        <v>17</v>
      </c>
      <c r="G35" s="12" t="s">
        <v>55</v>
      </c>
      <c r="H35" s="9">
        <v>1450</v>
      </c>
      <c r="I35" s="9">
        <v>362.5</v>
      </c>
      <c r="J35" s="11" t="s">
        <v>19</v>
      </c>
      <c r="K35" s="9"/>
      <c r="L35" s="9"/>
      <c r="M35" s="9"/>
      <c r="N35" s="13" t="s">
        <v>64</v>
      </c>
      <c r="O35" s="38" t="str">
        <f>VLOOKUP(A35,'[1]18-06-26'!$A$2:$T$89,20,0)</f>
        <v>Sunflower ( 12 Inch ) 2     FF Sachet + Grass</v>
      </c>
      <c r="P35" s="38" t="str">
        <f>VLOOKUP(A35,'[1]25-06-26'!$A$2:$T$86,20,0)</f>
        <v>Rajni ( 14 Inch ) 9     Grass</v>
      </c>
      <c r="Q35" s="38" t="str">
        <f>VLOOKUP(A35,'[2]02-07-26'!$A$2:$T$106,20,0)</f>
        <v>P Asiatic ( 14 Inch ) 2     Grass</v>
      </c>
      <c r="R35" s="38" t="str">
        <f>VLOOKUP(A35,'[2]09-07-26'!$A$2:$T$89,20,0)</f>
        <v>P n W Car ( 14 Inch ) 16     FF Sachet + Grass</v>
      </c>
      <c r="S35" s="38" t="str">
        <f>VLOOKUP(A35,'[2]16-07-26'!$A$2:$T$95,20,0)</f>
        <v>P n Y Spray Daisy ( 14 Inch ) 5     FF Sachet + Grass</v>
      </c>
      <c r="T35" s="38" t="s">
        <v>449</v>
      </c>
      <c r="U35" s="38">
        <v>16</v>
      </c>
      <c r="V35" s="38"/>
      <c r="W35" s="38"/>
      <c r="X35" s="38"/>
      <c r="Y35" s="38"/>
      <c r="Z35" s="38" t="s">
        <v>451</v>
      </c>
      <c r="AA35" s="38"/>
      <c r="AB35" s="38"/>
      <c r="AC35" s="38"/>
      <c r="AD35" s="38"/>
    </row>
    <row r="36" spans="1:30" ht="107.1" hidden="1" customHeight="1" x14ac:dyDescent="0.3">
      <c r="A36" s="1">
        <v>1898</v>
      </c>
      <c r="B36" s="23" t="s">
        <v>168</v>
      </c>
      <c r="C36" s="9">
        <v>8447778677</v>
      </c>
      <c r="D36" s="10" t="s">
        <v>169</v>
      </c>
      <c r="E36" s="10" t="s">
        <v>32</v>
      </c>
      <c r="F36" s="10" t="s">
        <v>170</v>
      </c>
      <c r="G36" s="19" t="s">
        <v>74</v>
      </c>
      <c r="H36" s="10">
        <v>1600</v>
      </c>
      <c r="I36" s="9">
        <v>200</v>
      </c>
      <c r="J36" s="10" t="s">
        <v>96</v>
      </c>
      <c r="K36" s="10" t="s">
        <v>171</v>
      </c>
      <c r="L36" s="9"/>
      <c r="M36" s="9"/>
      <c r="N36" s="13" t="s">
        <v>438</v>
      </c>
      <c r="O36" s="38" t="e">
        <f>VLOOKUP(A36,'[1]18-06-26'!$A$2:$T$89,20,0)</f>
        <v>#N/A</v>
      </c>
      <c r="P36" s="38" t="str">
        <f>VLOOKUP(A36,'[1]25-06-26'!$A$2:$T$86,20,0)</f>
        <v>Sunflower ( 12 Inch) 2     FF Sachet + Grass</v>
      </c>
      <c r="Q36" s="38" t="str">
        <f>VLOOKUP(A36,'[2]02-07-26'!$A$2:$T$106,20,0)</f>
        <v>Rajni ( 14 Inch ) 7     Grass</v>
      </c>
      <c r="R36" s="38" t="str">
        <f>VLOOKUP(A36,'[2]09-07-26'!$A$2:$T$89,20,0)</f>
        <v>Sunflower ( 12 Inch ) 2   Collect Payment Collect Payment Grass</v>
      </c>
      <c r="S36" s="38" t="e">
        <f>VLOOKUP(A36,'[2]16-07-26'!$A$2:$T$95,20,0)</f>
        <v>#N/A</v>
      </c>
      <c r="T36" s="38" t="s">
        <v>442</v>
      </c>
      <c r="U36" s="38">
        <v>7</v>
      </c>
      <c r="V36" s="38" t="s">
        <v>533</v>
      </c>
      <c r="W36" s="38" t="s">
        <v>533</v>
      </c>
      <c r="X36" s="38" t="s">
        <v>533</v>
      </c>
      <c r="Y36" s="38"/>
      <c r="Z36" s="38" t="s">
        <v>451</v>
      </c>
      <c r="AA36" s="38"/>
      <c r="AB36" s="38"/>
      <c r="AC36" s="38"/>
      <c r="AD36" s="38"/>
    </row>
    <row r="37" spans="1:30" ht="107.1" hidden="1" customHeight="1" x14ac:dyDescent="0.3">
      <c r="A37" s="1">
        <v>2525</v>
      </c>
      <c r="B37" s="18" t="s">
        <v>173</v>
      </c>
      <c r="C37" s="22">
        <v>9810512391</v>
      </c>
      <c r="D37" s="10" t="s">
        <v>174</v>
      </c>
      <c r="E37" s="10" t="s">
        <v>175</v>
      </c>
      <c r="F37" s="10" t="s">
        <v>176</v>
      </c>
      <c r="G37" s="10" t="s">
        <v>38</v>
      </c>
      <c r="H37" s="9">
        <v>1450</v>
      </c>
      <c r="I37" s="9">
        <v>362.5</v>
      </c>
      <c r="J37" s="11" t="s">
        <v>19</v>
      </c>
      <c r="K37" s="10" t="s">
        <v>177</v>
      </c>
      <c r="L37" s="9"/>
      <c r="M37" s="9"/>
      <c r="N37" s="13" t="s">
        <v>178</v>
      </c>
      <c r="O37" s="38" t="e">
        <f>VLOOKUP(A37,'[1]18-06-26'!$A$2:$T$89,20,0)</f>
        <v>#N/A</v>
      </c>
      <c r="P37" s="38" t="e">
        <f>VLOOKUP(A37,'[1]25-06-26'!$A$2:$T$86,20,0)</f>
        <v>#N/A</v>
      </c>
      <c r="Q37" s="38" t="e">
        <f>VLOOKUP(A37,'[2]02-07-26'!$A$2:$T$106,20,0)</f>
        <v>#N/A</v>
      </c>
      <c r="R37" s="38" t="e">
        <f>VLOOKUP(A37,'[2]09-07-26'!$A$2:$T$89,20,0)</f>
        <v>#N/A</v>
      </c>
      <c r="S37" s="38" t="e">
        <f>VLOOKUP(A37,'[2]16-07-26'!$A$2:$T$95,20,0)</f>
        <v>#N/A</v>
      </c>
      <c r="T37" s="38" t="s">
        <v>449</v>
      </c>
      <c r="U37" s="38">
        <v>16</v>
      </c>
      <c r="V37" s="38"/>
      <c r="W37" s="38"/>
      <c r="X37" s="38"/>
      <c r="Y37" s="38"/>
      <c r="Z37" s="38" t="s">
        <v>451</v>
      </c>
      <c r="AA37" s="38"/>
      <c r="AB37" s="38"/>
      <c r="AC37" s="38"/>
      <c r="AD37" s="38"/>
    </row>
    <row r="38" spans="1:30" ht="107.1" hidden="1" customHeight="1" x14ac:dyDescent="0.3">
      <c r="A38" s="1">
        <v>3133</v>
      </c>
      <c r="B38" s="17" t="s">
        <v>179</v>
      </c>
      <c r="C38" s="10" t="s">
        <v>180</v>
      </c>
      <c r="D38" s="10" t="s">
        <v>181</v>
      </c>
      <c r="E38" s="10" t="s">
        <v>182</v>
      </c>
      <c r="F38" s="10" t="s">
        <v>17</v>
      </c>
      <c r="G38" s="12" t="s">
        <v>18</v>
      </c>
      <c r="H38" s="24">
        <v>1450</v>
      </c>
      <c r="I38" s="9">
        <v>362.5</v>
      </c>
      <c r="J38" s="10" t="s">
        <v>19</v>
      </c>
      <c r="K38" s="10" t="s">
        <v>183</v>
      </c>
      <c r="L38" s="10" t="s">
        <v>184</v>
      </c>
      <c r="M38" s="25" t="s">
        <v>185</v>
      </c>
      <c r="N38" s="13" t="s">
        <v>64</v>
      </c>
      <c r="O38" s="38" t="str">
        <f>VLOOKUP(A38,'[1]18-06-26'!$A$2:$T$89,20,0)</f>
        <v>O Asiatic ( 14 Inch ) 2 P n W Glad ( 14 Inch ) 7   Grass</v>
      </c>
      <c r="P38" s="38" t="str">
        <f>VLOOKUP(A38,'[1]25-06-26'!$A$2:$T$86,20,0)</f>
        <v>Y Spray Daisy 3 P n W Car ( 14 Inch ) 7   FF Sachet + Grass</v>
      </c>
      <c r="Q38" s="38" t="str">
        <f>VLOOKUP(A38,'[2]02-07-26'!$A$2:$T$106,20,0)</f>
        <v>P Eustoma ( 12 Inch ) 2 Rajni ( 14 Inch ) 7   FF Sachet + Grass</v>
      </c>
      <c r="R38" s="38" t="str">
        <f>VLOOKUP(A38,'[2]09-07-26'!$A$2:$T$89,20,0)</f>
        <v>W Asiatic ( 14 Inch ) 2 Mix Alstroemeria ( 12 Inch ) 7   Grass</v>
      </c>
      <c r="S38" s="38" t="str">
        <f>VLOOKUP(A38,'[2]16-07-26'!$A$2:$T$95,20,0)</f>
        <v>P Spray Daisy ( 14 Inch ) 3 P n W Glad ( 14 Inch ) 7   FF Sachet + Grass</v>
      </c>
      <c r="T38" s="38" t="s">
        <v>462</v>
      </c>
      <c r="U38" s="38">
        <v>2</v>
      </c>
      <c r="V38" s="38" t="s">
        <v>463</v>
      </c>
      <c r="W38" s="38">
        <v>7</v>
      </c>
      <c r="X38" s="38"/>
      <c r="Y38" s="38"/>
      <c r="Z38" s="38" t="s">
        <v>452</v>
      </c>
      <c r="AA38" s="38"/>
      <c r="AB38" s="38"/>
      <c r="AC38" s="38"/>
      <c r="AD38" s="38"/>
    </row>
    <row r="39" spans="1:30" ht="107.1" hidden="1" customHeight="1" x14ac:dyDescent="0.3">
      <c r="A39" s="1">
        <v>2204</v>
      </c>
      <c r="B39" s="17" t="s">
        <v>186</v>
      </c>
      <c r="C39" s="9">
        <v>9811969982</v>
      </c>
      <c r="D39" s="10" t="s">
        <v>187</v>
      </c>
      <c r="E39" s="10" t="s">
        <v>32</v>
      </c>
      <c r="F39" s="10" t="s">
        <v>17</v>
      </c>
      <c r="G39" s="10" t="s">
        <v>43</v>
      </c>
      <c r="H39" s="9">
        <v>1450</v>
      </c>
      <c r="I39" s="9">
        <v>362.5</v>
      </c>
      <c r="J39" s="26" t="s">
        <v>19</v>
      </c>
      <c r="K39" s="10" t="s">
        <v>188</v>
      </c>
      <c r="L39" s="9"/>
      <c r="M39" s="9"/>
      <c r="N39" s="13" t="s">
        <v>64</v>
      </c>
      <c r="O39" s="38" t="str">
        <f>VLOOKUP(A39,'[1]18-06-26'!$A$2:$T$89,20,0)</f>
        <v>Sunflower ( 12 Inch ) 4     FF Sachet + Grass</v>
      </c>
      <c r="P39" s="38" t="e">
        <f>VLOOKUP(A39,'[1]25-06-26'!$A$2:$T$86,20,0)</f>
        <v>#N/A</v>
      </c>
      <c r="Q39" s="38" t="str">
        <f>VLOOKUP(A39,'[2]02-07-26'!$A$2:$T$106,20,0)</f>
        <v>P Asiatic ( 14 Inch ) 3    Collect payment Grass</v>
      </c>
      <c r="R39" s="38" t="str">
        <f>VLOOKUP(A39,'[2]09-07-26'!$A$2:$T$89,20,0)</f>
        <v>Rajni ( 14 Inch ) 16     Grass</v>
      </c>
      <c r="S39" s="38" t="str">
        <f>VLOOKUP(A39,'[2]16-07-26'!$A$2:$T$95,20,0)</f>
        <v>G n W Car ( 14 Inch ) 16     FF Sachet + Grass</v>
      </c>
      <c r="T39" s="38" t="s">
        <v>448</v>
      </c>
      <c r="U39" s="38">
        <v>5</v>
      </c>
      <c r="V39" s="38"/>
      <c r="W39" s="38"/>
      <c r="X39" s="38"/>
      <c r="Y39" s="38"/>
      <c r="Z39" s="38" t="s">
        <v>452</v>
      </c>
      <c r="AA39" s="38"/>
      <c r="AB39" s="38"/>
      <c r="AC39" s="38"/>
      <c r="AD39" s="38"/>
    </row>
    <row r="40" spans="1:30" ht="107.1" hidden="1" customHeight="1" x14ac:dyDescent="0.3">
      <c r="A40" s="1">
        <v>1455</v>
      </c>
      <c r="B40" s="20" t="s">
        <v>189</v>
      </c>
      <c r="C40" s="9">
        <v>9811105056</v>
      </c>
      <c r="D40" s="10" t="s">
        <v>190</v>
      </c>
      <c r="E40" s="10" t="s">
        <v>42</v>
      </c>
      <c r="F40" s="10" t="s">
        <v>17</v>
      </c>
      <c r="G40" s="12" t="s">
        <v>18</v>
      </c>
      <c r="H40" s="9">
        <v>2300</v>
      </c>
      <c r="I40" s="9">
        <v>287.5</v>
      </c>
      <c r="J40" s="10" t="s">
        <v>78</v>
      </c>
      <c r="K40" s="10" t="s">
        <v>191</v>
      </c>
      <c r="L40" s="9"/>
      <c r="M40" s="9"/>
      <c r="N40" s="13" t="s">
        <v>439</v>
      </c>
      <c r="O40" s="38" t="str">
        <f>VLOOKUP(A40,'[1]18-06-26'!$A$2:$T$89,20,0)</f>
        <v>Pur n P Car ( 14 inch ) 11     FF Sachet + Grass</v>
      </c>
      <c r="P40" s="38" t="str">
        <f>VLOOKUP(A40,'[1]25-06-26'!$A$2:$T$86,20,0)</f>
        <v>P Spray Daisy ( 14 Inch ) 3     FF Sachet + Grass</v>
      </c>
      <c r="Q40" s="38" t="str">
        <f>VLOOKUP(A40,'[2]02-07-26'!$A$2:$T$106,20,0)</f>
        <v>Sunflower ( 12 Inch ) 3     FF Sachet + Grass</v>
      </c>
      <c r="R40" s="38" t="str">
        <f>VLOOKUP(A40,'[2]09-07-26'!$A$2:$T$89,20,0)</f>
        <v>P Asiatic ( 14 Inch ) 2     Grass</v>
      </c>
      <c r="S40" s="38" t="str">
        <f>VLOOKUP(A40,'[2]16-07-26'!$A$2:$T$95,20,0)</f>
        <v>Y Spray Daisy ( 14 Inch ) 3     FF Sachet + Grass</v>
      </c>
      <c r="T40" s="38" t="s">
        <v>442</v>
      </c>
      <c r="U40" s="38">
        <v>11</v>
      </c>
      <c r="V40" s="38"/>
      <c r="W40" s="38"/>
      <c r="X40" s="38"/>
      <c r="Y40" s="38"/>
      <c r="Z40" s="38" t="s">
        <v>451</v>
      </c>
      <c r="AA40" s="38"/>
      <c r="AB40" s="38"/>
      <c r="AC40" s="38"/>
      <c r="AD40" s="38"/>
    </row>
    <row r="41" spans="1:30" ht="107.1" hidden="1" customHeight="1" x14ac:dyDescent="0.3">
      <c r="A41" s="1">
        <v>61</v>
      </c>
      <c r="B41" s="27" t="s">
        <v>192</v>
      </c>
      <c r="C41" s="28">
        <v>9871919500</v>
      </c>
      <c r="D41" s="11" t="s">
        <v>193</v>
      </c>
      <c r="E41" s="10" t="s">
        <v>16</v>
      </c>
      <c r="F41" s="11" t="s">
        <v>17</v>
      </c>
      <c r="G41" s="12" t="s">
        <v>18</v>
      </c>
      <c r="H41" s="9">
        <v>1450</v>
      </c>
      <c r="I41" s="9">
        <v>362.5</v>
      </c>
      <c r="J41" s="11" t="s">
        <v>19</v>
      </c>
      <c r="K41" s="11" t="s">
        <v>194</v>
      </c>
      <c r="L41" s="9"/>
      <c r="M41" s="9"/>
      <c r="N41" s="13" t="s">
        <v>64</v>
      </c>
      <c r="O41" s="38" t="str">
        <f>VLOOKUP(A41,'[1]18-06-26'!$A$2:$T$89,20,0)</f>
        <v>Sunflower ( 12 Inch ) 2     FF Sachet + Grass</v>
      </c>
      <c r="P41" s="38" t="e">
        <f>VLOOKUP(A41,'[1]25-06-26'!$A$2:$T$86,20,0)</f>
        <v>#N/A</v>
      </c>
      <c r="Q41" s="38" t="str">
        <f>VLOOKUP(A41,'[2]02-07-26'!$A$2:$T$106,20,0)</f>
        <v>Rajni ( 14 Inch ) 9     Grass</v>
      </c>
      <c r="R41" s="38" t="str">
        <f>VLOOKUP(A41,'[2]09-07-26'!$A$2:$T$89,20,0)</f>
        <v>P Asiatic ( 14 Inch ) 3     Grass</v>
      </c>
      <c r="S41" s="38" t="str">
        <f>VLOOKUP(A41,'[2]16-07-26'!$A$2:$T$95,20,0)</f>
        <v>G n W Car ( 14 Inch ) 16     FF Sachet + Grass</v>
      </c>
      <c r="T41" s="38" t="s">
        <v>448</v>
      </c>
      <c r="U41" s="38">
        <v>5</v>
      </c>
      <c r="V41" s="38"/>
      <c r="W41" s="38"/>
      <c r="X41" s="38"/>
      <c r="Y41" s="38"/>
      <c r="Z41" s="38" t="s">
        <v>452</v>
      </c>
      <c r="AA41" s="38"/>
      <c r="AB41" s="38"/>
      <c r="AC41" s="38"/>
      <c r="AD41" s="38"/>
    </row>
    <row r="42" spans="1:30" ht="131.1" hidden="1" customHeight="1" x14ac:dyDescent="0.3">
      <c r="A42" s="1">
        <v>58</v>
      </c>
      <c r="B42" s="17" t="s">
        <v>195</v>
      </c>
      <c r="C42" s="1">
        <v>8130077970</v>
      </c>
      <c r="D42" s="1" t="s">
        <v>196</v>
      </c>
      <c r="E42" s="11" t="s">
        <v>16</v>
      </c>
      <c r="F42" s="11" t="s">
        <v>17</v>
      </c>
      <c r="G42" s="12" t="s">
        <v>18</v>
      </c>
      <c r="H42" s="9">
        <v>1950</v>
      </c>
      <c r="I42" s="9">
        <v>487.5</v>
      </c>
      <c r="J42" s="10" t="s">
        <v>26</v>
      </c>
      <c r="K42" s="10" t="s">
        <v>197</v>
      </c>
      <c r="L42" s="10" t="s">
        <v>198</v>
      </c>
      <c r="M42" s="10" t="s">
        <v>199</v>
      </c>
      <c r="N42" s="13" t="s">
        <v>200</v>
      </c>
      <c r="O42" s="38" t="str">
        <f>VLOOKUP(A42,'[1]18-06-26'!$A$2:$T$89,20,0)</f>
        <v>Sunflower ( 12 Inch ) 3 Pur n P Car ( 14 Inch ) 11   FF Sachet + Grass</v>
      </c>
      <c r="P42" s="38" t="str">
        <f>VLOOKUP(A42,'[1]25-06-26'!$A$2:$T$86,20,0)</f>
        <v>P Asiatic ( 14 Inch ) 2 B Daisy ( 12 Inch ) 11   Grass</v>
      </c>
      <c r="Q42" s="38" t="str">
        <f>VLOOKUP(A42,'[2]02-07-26'!$A$2:$T$106,20,0)</f>
        <v>P n Y Spray Daisy ( 14 Inch ) 5 Rajni ( 14 Inch ) 16   FF Sachet + Grass</v>
      </c>
      <c r="R42" s="38" t="str">
        <f>VLOOKUP(A42,'[2]09-07-26'!$A$2:$T$89,20,0)</f>
        <v>BOP ( 15 Inch ) 2 Mix Alstroemeria ( 12 Inch ) 11   FF Sachet + Grass</v>
      </c>
      <c r="S42" s="38" t="str">
        <f>VLOOKUP(A42,'[2]16-07-26'!$A$2:$T$95,20,0)</f>
        <v>O Asiatic ( 14 Inch ) 2 G n W Car ( 14 Inch ) 11   Grass</v>
      </c>
      <c r="T42" s="38" t="s">
        <v>462</v>
      </c>
      <c r="U42" s="38">
        <v>2</v>
      </c>
      <c r="V42" s="38" t="s">
        <v>449</v>
      </c>
      <c r="W42" s="38">
        <v>11</v>
      </c>
      <c r="X42" s="38"/>
      <c r="Y42" s="38"/>
      <c r="Z42" s="38" t="s">
        <v>452</v>
      </c>
      <c r="AA42" s="38"/>
      <c r="AB42" s="38"/>
      <c r="AC42" s="38"/>
      <c r="AD42" s="38"/>
    </row>
    <row r="43" spans="1:30" ht="107.1" hidden="1" customHeight="1" x14ac:dyDescent="0.3">
      <c r="A43" s="1">
        <v>1181</v>
      </c>
      <c r="B43" s="17" t="s">
        <v>201</v>
      </c>
      <c r="C43" s="9">
        <v>8800895944</v>
      </c>
      <c r="D43" s="10" t="s">
        <v>202</v>
      </c>
      <c r="E43" s="10" t="s">
        <v>73</v>
      </c>
      <c r="F43" s="10" t="s">
        <v>17</v>
      </c>
      <c r="G43" s="12" t="s">
        <v>55</v>
      </c>
      <c r="H43" s="9">
        <v>1950</v>
      </c>
      <c r="I43" s="9">
        <v>487.5</v>
      </c>
      <c r="J43" s="10" t="s">
        <v>26</v>
      </c>
      <c r="K43" s="11" t="s">
        <v>203</v>
      </c>
      <c r="L43" s="9"/>
      <c r="M43" s="10" t="s">
        <v>204</v>
      </c>
      <c r="N43" s="13" t="s">
        <v>64</v>
      </c>
      <c r="O43" s="38" t="str">
        <f>VLOOKUP(A43,'[1]18-06-26'!$A$2:$T$89,20,0)</f>
        <v>P n Y Spray Daisy ( 14 Inch ) 7     FF Sachet + Grass</v>
      </c>
      <c r="P43" s="38" t="str">
        <f>VLOOKUP(A43,'[1]25-06-26'!$A$2:$T$86,20,0)</f>
        <v>P n W Car ( 14 inch ) 22     FF Sachet + Grass</v>
      </c>
      <c r="Q43" s="38" t="str">
        <f>VLOOKUP(A43,'[2]02-07-26'!$A$2:$T$106,20,0)</f>
        <v>Sunflower ( 12 Inch ) 5     FF Sachet + Grass</v>
      </c>
      <c r="R43" s="38" t="str">
        <f>VLOOKUP(A43,'[2]09-07-26'!$A$2:$T$89,20,0)</f>
        <v>W Asiatic ( 14 Inch ) 4     Grass</v>
      </c>
      <c r="S43" s="38" t="str">
        <f>VLOOKUP(A43,'[2]16-07-26'!$A$2:$T$95,20,0)</f>
        <v>Mix Alstroemeria ( 12 Inch ) 22     FF Sachet + Grass</v>
      </c>
      <c r="T43" s="38" t="s">
        <v>441</v>
      </c>
      <c r="U43" s="38">
        <v>22</v>
      </c>
      <c r="V43" s="38"/>
      <c r="W43" s="38"/>
      <c r="X43" s="38"/>
      <c r="Y43" s="38"/>
      <c r="Z43" s="38" t="s">
        <v>452</v>
      </c>
      <c r="AA43" s="38"/>
      <c r="AB43" s="38"/>
      <c r="AC43" s="38"/>
      <c r="AD43" s="38"/>
    </row>
    <row r="44" spans="1:30" ht="107.1" hidden="1" customHeight="1" x14ac:dyDescent="0.3">
      <c r="A44" s="1">
        <v>2644</v>
      </c>
      <c r="B44" s="17" t="s">
        <v>205</v>
      </c>
      <c r="C44" s="22">
        <v>7889438209</v>
      </c>
      <c r="D44" s="10" t="s">
        <v>206</v>
      </c>
      <c r="E44" s="10" t="s">
        <v>73</v>
      </c>
      <c r="F44" s="10" t="s">
        <v>17</v>
      </c>
      <c r="G44" s="10" t="s">
        <v>43</v>
      </c>
      <c r="H44" s="9">
        <v>1450</v>
      </c>
      <c r="I44" s="9">
        <v>362.5</v>
      </c>
      <c r="J44" s="11" t="s">
        <v>19</v>
      </c>
      <c r="K44" s="10" t="s">
        <v>207</v>
      </c>
      <c r="L44" s="9"/>
      <c r="M44" s="10" t="s">
        <v>208</v>
      </c>
      <c r="N44" s="13" t="s">
        <v>64</v>
      </c>
      <c r="O44" s="38" t="str">
        <f>VLOOKUP(A44,'[1]18-06-26'!$A$2:$T$89,20,0)</f>
        <v>Y Spray Daisy ( 14 Inch ) 3     1 Gypsola + FF Sachet</v>
      </c>
      <c r="P44" s="38" t="str">
        <f>VLOOKUP(A44,'[1]25-06-26'!$A$2:$T$86,20,0)</f>
        <v>B Daisy ( 12 Inch ) 9     Grass</v>
      </c>
      <c r="Q44" s="38" t="str">
        <f>VLOOKUP(A44,'[2]02-07-26'!$A$2:$T$106,20,0)</f>
        <v>P Asiatic ( 14 Inch ) 2     Grass</v>
      </c>
      <c r="R44" s="38" t="str">
        <f>VLOOKUP(A44,'[2]09-07-26'!$A$2:$T$89,20,0)</f>
        <v>Pur n P Car ( 14 Inch ) 16     FF Sachet + Grass</v>
      </c>
      <c r="S44" s="38" t="str">
        <f>VLOOKUP(A44,'[2]16-07-26'!$A$2:$T$95,20,0)</f>
        <v>P n Y Spray Daisy ( 14 Inch ) 5     FF Sachet + Grass</v>
      </c>
      <c r="T44" s="38" t="s">
        <v>449</v>
      </c>
      <c r="U44" s="38">
        <v>16</v>
      </c>
      <c r="V44" s="38"/>
      <c r="W44" s="38"/>
      <c r="X44" s="38"/>
      <c r="Y44" s="38"/>
      <c r="Z44" s="38" t="s">
        <v>451</v>
      </c>
      <c r="AA44" s="38"/>
      <c r="AB44" s="38"/>
      <c r="AC44" s="38"/>
      <c r="AD44" s="38"/>
    </row>
    <row r="45" spans="1:30" ht="107.1" hidden="1" customHeight="1" x14ac:dyDescent="0.3">
      <c r="A45" s="1">
        <v>3063</v>
      </c>
      <c r="B45" s="17" t="s">
        <v>209</v>
      </c>
      <c r="C45" s="9">
        <v>9810198315</v>
      </c>
      <c r="D45" s="10" t="s">
        <v>210</v>
      </c>
      <c r="E45" s="10" t="s">
        <v>42</v>
      </c>
      <c r="F45" s="10" t="s">
        <v>17</v>
      </c>
      <c r="G45" s="12" t="s">
        <v>18</v>
      </c>
      <c r="H45" s="9">
        <v>1450</v>
      </c>
      <c r="I45" s="9">
        <v>362.5</v>
      </c>
      <c r="J45" s="10" t="s">
        <v>19</v>
      </c>
      <c r="K45" s="10" t="s">
        <v>211</v>
      </c>
      <c r="L45" s="9"/>
      <c r="M45" s="9"/>
      <c r="N45" s="13" t="s">
        <v>212</v>
      </c>
      <c r="O45" s="38" t="str">
        <f>VLOOKUP(A45,'[1]18-06-26'!$A$2:$T$89,20,0)</f>
        <v>Sunflower ( 12 Inch ) 4     FF Sachet + Grass</v>
      </c>
      <c r="P45" s="38" t="str">
        <f>VLOOKUP(A45,'[1]25-06-26'!$A$2:$T$86,20,0)</f>
        <v>P n W Glad ( 14 Inch ) 16     Grass</v>
      </c>
      <c r="Q45" s="38" t="str">
        <f>VLOOKUP(A45,'[2]02-07-26'!$A$2:$T$106,20,0)</f>
        <v>P Asiatic ( 14 Inch ) 3     Grass</v>
      </c>
      <c r="R45" s="38" t="str">
        <f>VLOOKUP(A45,'[2]09-07-26'!$A$2:$T$89,20,0)</f>
        <v>Rajni ( 14 Inch ) 16     Grass</v>
      </c>
      <c r="S45" s="38" t="str">
        <f>VLOOKUP(A45,'[2]16-07-26'!$A$2:$T$95,20,0)</f>
        <v>G n W Car ( 14 Inch ) 16     FF Sachet + Grass</v>
      </c>
      <c r="T45" s="38" t="s">
        <v>448</v>
      </c>
      <c r="U45" s="38">
        <v>5</v>
      </c>
      <c r="V45" s="38"/>
      <c r="W45" s="38"/>
      <c r="X45" s="38"/>
      <c r="Y45" s="38"/>
      <c r="Z45" s="38" t="s">
        <v>452</v>
      </c>
      <c r="AA45" s="38"/>
      <c r="AB45" s="38"/>
      <c r="AC45" s="38"/>
      <c r="AD45" s="38"/>
    </row>
    <row r="46" spans="1:30" ht="107.1" hidden="1" customHeight="1" x14ac:dyDescent="0.3">
      <c r="A46" s="1">
        <v>1998</v>
      </c>
      <c r="B46" s="17" t="s">
        <v>213</v>
      </c>
      <c r="C46" s="9">
        <v>9811053756</v>
      </c>
      <c r="D46" s="10" t="s">
        <v>214</v>
      </c>
      <c r="E46" s="10" t="s">
        <v>32</v>
      </c>
      <c r="F46" s="11" t="s">
        <v>17</v>
      </c>
      <c r="G46" s="12" t="s">
        <v>43</v>
      </c>
      <c r="H46" s="9">
        <v>1950</v>
      </c>
      <c r="I46" s="9">
        <v>487.5</v>
      </c>
      <c r="J46" s="10" t="s">
        <v>26</v>
      </c>
      <c r="K46" s="10" t="s">
        <v>215</v>
      </c>
      <c r="L46" s="10" t="s">
        <v>216</v>
      </c>
      <c r="M46" s="9"/>
      <c r="N46" s="13" t="s">
        <v>212</v>
      </c>
      <c r="O46" s="38" t="str">
        <f>VLOOKUP(A46,'[1]18-06-26'!$A$2:$T$89,20,0)</f>
        <v>Mix Alstroemeria ( 12 Inch ) 22     FF Sachet + Grass</v>
      </c>
      <c r="P46" s="38" t="str">
        <f>VLOOKUP(A46,'[1]25-06-26'!$A$2:$T$86,20,0)</f>
        <v>P n W Spray Daisy 7     FF Sachet + Grass</v>
      </c>
      <c r="Q46" s="38" t="str">
        <f>VLOOKUP(A46,'[2]02-07-26'!$A$2:$T$106,20,0)</f>
        <v>P Asiatic ( 14 Inch ) 4     Grass</v>
      </c>
      <c r="R46" s="38" t="str">
        <f>VLOOKUP(A46,'[2]09-07-26'!$A$2:$T$89,20,0)</f>
        <v>Rajni ( 14 Inch ) 22     Grass</v>
      </c>
      <c r="S46" s="38" t="str">
        <f>VLOOKUP(A46,'[2]16-07-26'!$A$2:$T$95,20,0)</f>
        <v>G n W Car ( 14 Inch ) 22     FF Sachet + Grass</v>
      </c>
      <c r="T46" s="38" t="s">
        <v>449</v>
      </c>
      <c r="U46" s="38">
        <v>22</v>
      </c>
      <c r="V46" s="38"/>
      <c r="W46" s="38"/>
      <c r="X46" s="38"/>
      <c r="Y46" s="38"/>
      <c r="Z46" s="38" t="s">
        <v>451</v>
      </c>
      <c r="AA46" s="38"/>
      <c r="AB46" s="38"/>
      <c r="AC46" s="38"/>
      <c r="AD46" s="38"/>
    </row>
    <row r="47" spans="1:30" ht="107.1" hidden="1" customHeight="1" x14ac:dyDescent="0.3">
      <c r="A47" s="1">
        <v>3122</v>
      </c>
      <c r="B47" s="17" t="s">
        <v>217</v>
      </c>
      <c r="C47" s="9">
        <v>9650001674</v>
      </c>
      <c r="D47" s="10" t="s">
        <v>218</v>
      </c>
      <c r="E47" s="10" t="s">
        <v>219</v>
      </c>
      <c r="F47" s="10" t="s">
        <v>17</v>
      </c>
      <c r="G47" s="12" t="s">
        <v>18</v>
      </c>
      <c r="H47" s="9">
        <v>1450</v>
      </c>
      <c r="I47" s="9">
        <v>362.5</v>
      </c>
      <c r="J47" s="11" t="s">
        <v>19</v>
      </c>
      <c r="K47" s="10" t="s">
        <v>220</v>
      </c>
      <c r="L47" s="9"/>
      <c r="M47" s="9"/>
      <c r="N47" s="13" t="s">
        <v>221</v>
      </c>
      <c r="O47" s="38" t="str">
        <f>VLOOKUP(A47,'[1]18-06-26'!$A$2:$T$89,20,0)</f>
        <v>Sunflower ( 12 Inch ) 4     FF Sachet + Grass</v>
      </c>
      <c r="P47" s="38" t="str">
        <f>VLOOKUP(A47,'[1]25-06-26'!$A$2:$T$86,20,0)</f>
        <v>B Daisy ( 12 Inch ) 16     Grass</v>
      </c>
      <c r="Q47" s="38" t="str">
        <f>VLOOKUP(A47,'[2]02-07-26'!$A$2:$T$106,20,0)</f>
        <v>P Asiatic ( 14 Inch ) 3     Grass</v>
      </c>
      <c r="R47" s="38" t="str">
        <f>VLOOKUP(A47,'[2]09-07-26'!$A$2:$T$89,20,0)</f>
        <v>Rajni ( 14 Inch ) 16     Grass</v>
      </c>
      <c r="S47" s="38" t="str">
        <f>VLOOKUP(A47,'[2]16-07-26'!$A$2:$T$95,20,0)</f>
        <v>G n W Car ( 14 Inch ) 16     FF Sachet + Grass</v>
      </c>
      <c r="T47" s="38" t="s">
        <v>448</v>
      </c>
      <c r="U47" s="38">
        <v>5</v>
      </c>
      <c r="V47" s="38"/>
      <c r="W47" s="38"/>
      <c r="X47" s="38"/>
      <c r="Y47" s="38"/>
      <c r="Z47" s="38" t="s">
        <v>452</v>
      </c>
      <c r="AA47" s="38"/>
      <c r="AB47" s="38"/>
      <c r="AC47" s="38"/>
      <c r="AD47" s="38"/>
    </row>
    <row r="48" spans="1:30" ht="107.1" hidden="1" customHeight="1" x14ac:dyDescent="0.3">
      <c r="A48" s="1">
        <v>1978</v>
      </c>
      <c r="B48" s="17" t="s">
        <v>222</v>
      </c>
      <c r="C48" s="9" t="s">
        <v>223</v>
      </c>
      <c r="D48" s="10" t="s">
        <v>224</v>
      </c>
      <c r="E48" s="10" t="s">
        <v>16</v>
      </c>
      <c r="F48" s="10" t="s">
        <v>17</v>
      </c>
      <c r="G48" s="16" t="s">
        <v>74</v>
      </c>
      <c r="H48" s="9">
        <v>4850</v>
      </c>
      <c r="I48" s="9">
        <v>606.25</v>
      </c>
      <c r="J48" s="29" t="s">
        <v>225</v>
      </c>
      <c r="K48" s="10" t="s">
        <v>226</v>
      </c>
      <c r="L48" s="10" t="s">
        <v>227</v>
      </c>
      <c r="M48" s="10" t="s">
        <v>228</v>
      </c>
      <c r="N48" s="13" t="s">
        <v>21</v>
      </c>
      <c r="O48" s="38" t="str">
        <f>VLOOKUP(A48,'[1]18-06-26'!$A$2:$T$89,20,0)</f>
        <v>P Asiatic ( 14 Inch ) 2 Mix Alstroemeria ( 12 inch )  8 P n W Glad ( 14 Inch ) 8 Grass</v>
      </c>
      <c r="P48" s="38" t="str">
        <f>VLOOKUP(A48,'[1]25-06-26'!$A$2:$T$86,20,0)</f>
        <v>W Asiatic ( 14 Inch ) 2 P n Y Spray Daisy ( 14 Inch ) 4 Rajni ( 14 Inch ) 12 Grass</v>
      </c>
      <c r="Q48" s="38" t="str">
        <f>VLOOKUP(A48,'[2]02-07-26'!$A$2:$T$106,20,0)</f>
        <v>O Asiatic ( 14 Inch ) 2 Sunflower ( 12 Inch ) 4 Pur n P Car ( 14 Inch ) 12 Grass</v>
      </c>
      <c r="R48" s="38" t="str">
        <f>VLOOKUP(A48,'[2]09-07-26'!$A$2:$T$89,20,0)</f>
        <v>W Asiatic ( 14 Inch ) 2 Mix Alstroemeria ( 12 Inch ) 8 B Daisy 10 Grass</v>
      </c>
      <c r="S48" s="38" t="str">
        <f>VLOOKUP(A48,'[2]16-07-26'!$A$2:$T$95,20,0)</f>
        <v>P Asiatic ( 14 Inch ) 2 Sunflower 3 P n W  Car ( 14 Inch ) 12 Grass</v>
      </c>
      <c r="T48" s="38" t="s">
        <v>446</v>
      </c>
      <c r="U48" s="38">
        <v>2</v>
      </c>
      <c r="V48" s="38" t="s">
        <v>448</v>
      </c>
      <c r="W48" s="38">
        <v>4</v>
      </c>
      <c r="X48" s="38" t="s">
        <v>449</v>
      </c>
      <c r="Y48" s="38">
        <v>12</v>
      </c>
      <c r="Z48" s="38" t="s">
        <v>451</v>
      </c>
      <c r="AA48" s="38"/>
      <c r="AB48" s="38"/>
      <c r="AC48" s="38"/>
      <c r="AD48" s="38"/>
    </row>
    <row r="49" spans="1:30" ht="107.1" hidden="1" customHeight="1" x14ac:dyDescent="0.3">
      <c r="A49" s="1">
        <v>1656</v>
      </c>
      <c r="B49" s="17" t="s">
        <v>229</v>
      </c>
      <c r="C49" s="22">
        <v>9560609907</v>
      </c>
      <c r="D49" s="10" t="s">
        <v>230</v>
      </c>
      <c r="E49" s="10" t="s">
        <v>32</v>
      </c>
      <c r="F49" s="10" t="s">
        <v>17</v>
      </c>
      <c r="G49" s="10" t="s">
        <v>43</v>
      </c>
      <c r="H49" s="9">
        <v>1450</v>
      </c>
      <c r="I49" s="9">
        <v>362.5</v>
      </c>
      <c r="J49" s="11" t="s">
        <v>19</v>
      </c>
      <c r="K49" s="10" t="s">
        <v>231</v>
      </c>
      <c r="L49" s="9"/>
      <c r="M49" s="9"/>
      <c r="N49" s="13" t="s">
        <v>64</v>
      </c>
      <c r="O49" s="38" t="str">
        <f>VLOOKUP(A49,'[1]18-06-26'!$A$2:$T$89,20,0)</f>
        <v>Sunflower ( 12 Inch ) 2     FF Sachet + Grass</v>
      </c>
      <c r="P49" s="38" t="str">
        <f>VLOOKUP(A49,'[1]25-06-26'!$A$2:$T$86,20,0)</f>
        <v>Rajni ( 14 Inch ) 9     Grass</v>
      </c>
      <c r="Q49" s="38" t="str">
        <f>VLOOKUP(A49,'[2]02-07-26'!$A$2:$T$106,20,0)</f>
        <v>O Asiatic ( 14 Inch ) 2     Grass</v>
      </c>
      <c r="R49" s="38" t="e">
        <f>VLOOKUP(A49,'[2]09-07-26'!$A$2:$T$89,20,0)</f>
        <v>#N/A</v>
      </c>
      <c r="S49" s="38" t="str">
        <f>VLOOKUP(A49,'[2]16-07-26'!$A$2:$T$95,20,0)</f>
        <v>O Asiatic ( 14 Inch ) 3     Grass</v>
      </c>
      <c r="T49" s="38" t="s">
        <v>449</v>
      </c>
      <c r="U49" s="38">
        <v>16</v>
      </c>
      <c r="V49" s="38"/>
      <c r="W49" s="38"/>
      <c r="X49" s="38"/>
      <c r="Y49" s="38"/>
      <c r="Z49" s="38" t="s">
        <v>451</v>
      </c>
      <c r="AA49" s="38"/>
      <c r="AB49" s="38"/>
      <c r="AC49" s="38"/>
      <c r="AD49" s="38"/>
    </row>
    <row r="50" spans="1:30" ht="107.1" hidden="1" customHeight="1" x14ac:dyDescent="0.3">
      <c r="A50" s="1">
        <v>2779</v>
      </c>
      <c r="B50" s="17" t="s">
        <v>232</v>
      </c>
      <c r="C50" s="9">
        <v>8130497969</v>
      </c>
      <c r="D50" s="10" t="s">
        <v>233</v>
      </c>
      <c r="E50" s="10" t="s">
        <v>42</v>
      </c>
      <c r="F50" s="10" t="s">
        <v>101</v>
      </c>
      <c r="G50" s="10" t="s">
        <v>55</v>
      </c>
      <c r="H50" s="9">
        <v>1600</v>
      </c>
      <c r="I50" s="9">
        <v>200</v>
      </c>
      <c r="J50" s="11" t="s">
        <v>96</v>
      </c>
      <c r="K50" s="10" t="s">
        <v>234</v>
      </c>
      <c r="L50" s="9"/>
      <c r="M50" s="9"/>
      <c r="N50" s="13" t="s">
        <v>21</v>
      </c>
      <c r="O50" s="38" t="str">
        <f>VLOOKUP(A50,'[1]18-06-26'!$A$2:$T$89,20,0)</f>
        <v>Sunflower ( 12 Inch ) 2     FF Sachet + Grass</v>
      </c>
      <c r="P50" s="38" t="str">
        <f>VLOOKUP(A50,'[1]25-06-26'!$A$2:$T$86,20,0)</f>
        <v>Rajni ( 14 Inch ) 7     Grass</v>
      </c>
      <c r="Q50" s="38" t="str">
        <f>VLOOKUP(A50,'[2]02-07-26'!$A$2:$T$106,20,0)</f>
        <v>Pur n P Car ( 14 Inch ) 7     FF Sachet + Grass</v>
      </c>
      <c r="R50" s="38" t="str">
        <f>VLOOKUP(A50,'[2]09-07-26'!$A$2:$T$89,20,0)</f>
        <v>P Spray Daisy ( 14 Inch ) 2     FF Sachet + Grass</v>
      </c>
      <c r="S50" s="38" t="str">
        <f>VLOOKUP(A50,'[2]16-07-26'!$A$2:$T$95,20,0)</f>
        <v>P n W Glad ( 14 Inch ) 7     Grass</v>
      </c>
      <c r="T50" s="38" t="s">
        <v>442</v>
      </c>
      <c r="U50" s="38">
        <v>7</v>
      </c>
      <c r="V50" s="38"/>
      <c r="W50" s="38"/>
      <c r="X50" s="38"/>
      <c r="Y50" s="38"/>
      <c r="Z50" s="38" t="s">
        <v>451</v>
      </c>
      <c r="AA50" s="38"/>
      <c r="AB50" s="38"/>
      <c r="AC50" s="38"/>
      <c r="AD50" s="38"/>
    </row>
    <row r="51" spans="1:30" ht="107.1" hidden="1" customHeight="1" x14ac:dyDescent="0.3">
      <c r="A51" s="1">
        <v>1982</v>
      </c>
      <c r="B51" s="17" t="s">
        <v>235</v>
      </c>
      <c r="C51" s="30">
        <v>8860046280</v>
      </c>
      <c r="D51" s="10" t="s">
        <v>236</v>
      </c>
      <c r="E51" s="10" t="s">
        <v>32</v>
      </c>
      <c r="F51" s="10" t="s">
        <v>17</v>
      </c>
      <c r="G51" s="12" t="s">
        <v>18</v>
      </c>
      <c r="H51" s="9">
        <v>1450</v>
      </c>
      <c r="I51" s="9">
        <v>362.5</v>
      </c>
      <c r="J51" s="11" t="s">
        <v>19</v>
      </c>
      <c r="K51" s="10" t="s">
        <v>237</v>
      </c>
      <c r="L51" s="10" t="s">
        <v>158</v>
      </c>
      <c r="M51" s="9"/>
      <c r="N51" s="13" t="s">
        <v>221</v>
      </c>
      <c r="O51" s="38" t="e">
        <f>VLOOKUP(A51,'[1]18-06-26'!$A$2:$T$89,20,0)</f>
        <v>#N/A</v>
      </c>
      <c r="P51" s="38" t="e">
        <f>VLOOKUP(A51,'[1]25-06-26'!$A$2:$T$86,20,0)</f>
        <v>#N/A</v>
      </c>
      <c r="Q51" s="38" t="e">
        <f>VLOOKUP(A51,'[2]02-07-26'!$A$2:$T$106,20,0)</f>
        <v>#N/A</v>
      </c>
      <c r="R51" s="38" t="e">
        <f>VLOOKUP(A51,'[2]09-07-26'!$A$2:$T$89,20,0)</f>
        <v>#N/A</v>
      </c>
      <c r="S51" s="38" t="str">
        <f>VLOOKUP(A51,'[2]16-07-26'!$A$2:$T$95,20,0)</f>
        <v>G n W Car ( 14 Inch ) 16     FF Sachet + Grass</v>
      </c>
      <c r="T51" s="38" t="s">
        <v>446</v>
      </c>
      <c r="U51" s="38">
        <v>3</v>
      </c>
      <c r="V51" s="38"/>
      <c r="W51" s="38"/>
      <c r="X51" s="38"/>
      <c r="Y51" s="38"/>
      <c r="Z51" s="38" t="s">
        <v>451</v>
      </c>
      <c r="AA51" s="38"/>
      <c r="AB51" s="38"/>
      <c r="AC51" s="38"/>
      <c r="AD51" s="38"/>
    </row>
    <row r="52" spans="1:30" ht="107.1" hidden="1" customHeight="1" x14ac:dyDescent="0.3">
      <c r="A52" s="1">
        <v>3410</v>
      </c>
      <c r="B52" s="17" t="s">
        <v>238</v>
      </c>
      <c r="C52" s="9">
        <v>9870128711</v>
      </c>
      <c r="D52" s="10" t="s">
        <v>239</v>
      </c>
      <c r="E52" s="10" t="s">
        <v>48</v>
      </c>
      <c r="F52" s="10" t="s">
        <v>17</v>
      </c>
      <c r="G52" s="19" t="s">
        <v>49</v>
      </c>
      <c r="H52" s="9">
        <v>1450</v>
      </c>
      <c r="I52" s="9">
        <v>362.5</v>
      </c>
      <c r="J52" s="10" t="s">
        <v>19</v>
      </c>
      <c r="K52" s="9"/>
      <c r="L52" s="9"/>
      <c r="M52" s="9"/>
      <c r="N52" s="13" t="s">
        <v>221</v>
      </c>
      <c r="O52" s="38" t="e">
        <f>VLOOKUP(A52,'[1]18-06-26'!$A$2:$T$89,20,0)</f>
        <v>#N/A</v>
      </c>
      <c r="P52" s="38" t="e">
        <f>VLOOKUP(A52,'[1]25-06-26'!$A$2:$T$86,20,0)</f>
        <v>#N/A</v>
      </c>
      <c r="Q52" s="38" t="e">
        <f>VLOOKUP(A52,'[2]02-07-26'!$A$2:$T$106,20,0)</f>
        <v>#N/A</v>
      </c>
      <c r="R52" s="38" t="e">
        <f>VLOOKUP(A52,'[2]09-07-26'!$A$2:$T$89,20,0)</f>
        <v>#N/A</v>
      </c>
      <c r="S52" s="38" t="str">
        <f>VLOOKUP(A52,'[2]16-07-26'!$A$2:$T$95,20,0)</f>
        <v>G n W Car ( 14 Inch ) 16     FF Sachet + Grass</v>
      </c>
      <c r="T52" s="38" t="s">
        <v>444</v>
      </c>
      <c r="U52" s="38">
        <v>3</v>
      </c>
      <c r="V52" s="38"/>
      <c r="W52" s="38"/>
      <c r="X52" s="38"/>
      <c r="Y52" s="38"/>
      <c r="Z52" s="38" t="s">
        <v>451</v>
      </c>
      <c r="AA52" s="38"/>
      <c r="AB52" s="38"/>
      <c r="AC52" s="38"/>
      <c r="AD52" s="38"/>
    </row>
    <row r="53" spans="1:30" ht="107.1" hidden="1" customHeight="1" x14ac:dyDescent="0.3">
      <c r="A53" s="1">
        <v>3247</v>
      </c>
      <c r="B53" s="17" t="s">
        <v>240</v>
      </c>
      <c r="C53" s="9">
        <v>9717986555</v>
      </c>
      <c r="D53" s="10" t="s">
        <v>241</v>
      </c>
      <c r="E53" s="10" t="s">
        <v>114</v>
      </c>
      <c r="F53" s="10" t="s">
        <v>17</v>
      </c>
      <c r="G53" s="16" t="s">
        <v>74</v>
      </c>
      <c r="H53" s="9">
        <v>1450</v>
      </c>
      <c r="I53" s="9">
        <v>362.5</v>
      </c>
      <c r="J53" s="10" t="s">
        <v>19</v>
      </c>
      <c r="K53" s="10" t="s">
        <v>242</v>
      </c>
      <c r="L53" s="9"/>
      <c r="M53" s="9"/>
      <c r="N53" s="13" t="s">
        <v>243</v>
      </c>
      <c r="O53" s="38" t="str">
        <f>VLOOKUP(A53,'[1]18-06-26'!$A$2:$T$89,20,0)</f>
        <v>Sunflower ( 12 Inch ) 4 With Bouquet in Morning Pls With Bouquet in Morning Pls With Bouquet in Morning Pls  FF Sachet + Grass</v>
      </c>
      <c r="P53" s="38" t="str">
        <f>VLOOKUP(A53,'[1]25-06-26'!$A$2:$T$86,20,0)</f>
        <v>Pur Eustoma ( 12 Inch ) 3     FF Sachet + Grass</v>
      </c>
      <c r="Q53" s="38" t="str">
        <f>VLOOKUP(A53,'[2]02-07-26'!$A$2:$T$106,20,0)</f>
        <v>O Asiatic ( 14 Inch ) 3     Grass</v>
      </c>
      <c r="R53" s="38" t="str">
        <f>VLOOKUP(A53,'[2]09-07-26'!$A$2:$T$89,20,0)</f>
        <v>Rajni ( 14 Inch ) 16     Grass</v>
      </c>
      <c r="S53" s="38" t="str">
        <f>VLOOKUP(A53,'[2]16-07-26'!$A$2:$T$95,20,0)</f>
        <v>G n W Car ( 14 Inch ) 16     FF Sachet + Grass</v>
      </c>
      <c r="T53" s="38" t="s">
        <v>448</v>
      </c>
      <c r="U53" s="38">
        <v>5</v>
      </c>
      <c r="V53" s="38"/>
      <c r="W53" s="38"/>
      <c r="X53" s="38"/>
      <c r="Y53" s="38"/>
      <c r="Z53" s="38" t="s">
        <v>452</v>
      </c>
      <c r="AA53" s="38"/>
      <c r="AB53" s="38"/>
      <c r="AC53" s="38"/>
      <c r="AD53" s="38"/>
    </row>
    <row r="54" spans="1:30" ht="107.1" hidden="1" customHeight="1" x14ac:dyDescent="0.3">
      <c r="A54" s="11" t="s">
        <v>244</v>
      </c>
      <c r="B54" s="17" t="s">
        <v>245</v>
      </c>
      <c r="C54" s="9">
        <v>8581860035</v>
      </c>
      <c r="D54" s="10" t="s">
        <v>246</v>
      </c>
      <c r="E54" s="10" t="s">
        <v>247</v>
      </c>
      <c r="F54" s="10" t="s">
        <v>17</v>
      </c>
      <c r="G54" s="16" t="s">
        <v>33</v>
      </c>
      <c r="H54" s="9">
        <v>1450</v>
      </c>
      <c r="I54" s="9">
        <v>362.5</v>
      </c>
      <c r="J54" s="11" t="s">
        <v>19</v>
      </c>
      <c r="K54" s="10" t="s">
        <v>248</v>
      </c>
      <c r="L54" s="9"/>
      <c r="M54" s="9"/>
      <c r="N54" s="13" t="s">
        <v>221</v>
      </c>
      <c r="O54" s="38" t="e">
        <f>VLOOKUP(A54,'[1]18-06-26'!$A$2:$T$89,20,0)</f>
        <v>#N/A</v>
      </c>
      <c r="P54" s="38" t="e">
        <f>VLOOKUP(A54,'[1]25-06-26'!$A$2:$T$86,20,0)</f>
        <v>#N/A</v>
      </c>
      <c r="Q54" s="38" t="e">
        <f>VLOOKUP(A54,'[2]02-07-26'!$A$2:$T$106,20,0)</f>
        <v>#N/A</v>
      </c>
      <c r="R54" s="38" t="e">
        <f>VLOOKUP(A54,'[2]09-07-26'!$A$2:$T$89,20,0)</f>
        <v>#N/A</v>
      </c>
      <c r="S54" s="38" t="str">
        <f>VLOOKUP(A54,'[2]16-07-26'!$A$2:$T$95,20,0)</f>
        <v>G n W Car ( 14 Inch ) 16     FF Sachet + Grass</v>
      </c>
      <c r="T54" s="38" t="s">
        <v>446</v>
      </c>
      <c r="U54" s="38">
        <v>3</v>
      </c>
      <c r="V54" s="38"/>
      <c r="W54" s="38"/>
      <c r="X54" s="38"/>
      <c r="Y54" s="38"/>
      <c r="Z54" s="38" t="s">
        <v>451</v>
      </c>
      <c r="AA54" s="38"/>
      <c r="AB54" s="38"/>
      <c r="AC54" s="38"/>
      <c r="AD54" s="38"/>
    </row>
    <row r="55" spans="1:30" ht="107.1" hidden="1" customHeight="1" x14ac:dyDescent="0.3">
      <c r="A55" s="1">
        <v>826</v>
      </c>
      <c r="B55" s="17" t="s">
        <v>249</v>
      </c>
      <c r="C55" s="28">
        <v>9811201606</v>
      </c>
      <c r="D55" s="11" t="s">
        <v>250</v>
      </c>
      <c r="E55" s="11" t="s">
        <v>32</v>
      </c>
      <c r="F55" s="11" t="s">
        <v>17</v>
      </c>
      <c r="G55" s="12" t="s">
        <v>55</v>
      </c>
      <c r="H55" s="9">
        <v>1450</v>
      </c>
      <c r="I55" s="9">
        <v>362.5</v>
      </c>
      <c r="J55" s="10" t="s">
        <v>19</v>
      </c>
      <c r="K55" s="11" t="s">
        <v>251</v>
      </c>
      <c r="L55" s="9"/>
      <c r="M55" s="9"/>
      <c r="N55" s="13" t="s">
        <v>221</v>
      </c>
      <c r="O55" s="38" t="str">
        <f>VLOOKUP(A55,'[1]18-06-26'!$A$2:$T$89,20,0)</f>
        <v>O Asiatic ( 14 Inch ) 3     Grass</v>
      </c>
      <c r="P55" s="38" t="str">
        <f>VLOOKUP(A55,'[1]25-06-26'!$A$2:$T$86,20,0)</f>
        <v>B Daisy ( 12 Inch ) 9     Grass</v>
      </c>
      <c r="Q55" s="38" t="str">
        <f>VLOOKUP(A55,'[2]02-07-26'!$A$2:$T$106,20,0)</f>
        <v>P n W Car ( 14 Inch ) 9     FF Sachet + Grass</v>
      </c>
      <c r="R55" s="38" t="str">
        <f>VLOOKUP(A55,'[2]09-07-26'!$A$2:$T$89,20,0)</f>
        <v>Rajni ( 14 Inch ) 9     Grass</v>
      </c>
      <c r="S55" s="38" t="str">
        <f>VLOOKUP(A55,'[2]16-07-26'!$A$2:$T$95,20,0)</f>
        <v>P n Y Spray Daisy ( 14 Inch ) 5     FF Sachet + Grass</v>
      </c>
      <c r="T55" s="38" t="s">
        <v>449</v>
      </c>
      <c r="U55" s="38">
        <v>16</v>
      </c>
      <c r="V55" s="38"/>
      <c r="W55" s="38"/>
      <c r="X55" s="38"/>
      <c r="Y55" s="38"/>
      <c r="Z55" s="38" t="s">
        <v>451</v>
      </c>
      <c r="AA55" s="38"/>
      <c r="AB55" s="38"/>
      <c r="AC55" s="38"/>
      <c r="AD55" s="38"/>
    </row>
    <row r="56" spans="1:30" ht="107.1" hidden="1" customHeight="1" x14ac:dyDescent="0.3">
      <c r="A56" s="1">
        <v>221</v>
      </c>
      <c r="B56" s="17" t="s">
        <v>252</v>
      </c>
      <c r="C56" s="1">
        <v>9810524040</v>
      </c>
      <c r="D56" s="1" t="s">
        <v>253</v>
      </c>
      <c r="E56" s="1" t="s">
        <v>42</v>
      </c>
      <c r="F56" s="11" t="s">
        <v>17</v>
      </c>
      <c r="G56" s="12" t="s">
        <v>18</v>
      </c>
      <c r="H56" s="9">
        <v>2750</v>
      </c>
      <c r="I56" s="9">
        <v>687.5</v>
      </c>
      <c r="J56" s="31" t="s">
        <v>125</v>
      </c>
      <c r="K56" s="11" t="s">
        <v>254</v>
      </c>
      <c r="L56" s="9"/>
      <c r="M56" s="9"/>
      <c r="N56" s="13" t="s">
        <v>255</v>
      </c>
      <c r="O56" s="38" t="e">
        <f>VLOOKUP(A56,'[1]18-06-26'!$A$2:$T$89,20,0)</f>
        <v>#N/A</v>
      </c>
      <c r="P56" s="38" t="e">
        <f>VLOOKUP(A56,'[1]25-06-26'!$A$2:$T$86,20,0)</f>
        <v>#N/A</v>
      </c>
      <c r="Q56" s="38" t="str">
        <f>VLOOKUP(A56,'[2]02-07-26'!$A$2:$T$106,20,0)</f>
        <v xml:space="preserve">P Asiatic ( 14 Inch ) 6     </v>
      </c>
      <c r="R56" s="38" t="str">
        <f>VLOOKUP(A56,'[2]09-07-26'!$A$2:$T$89,20,0)</f>
        <v>R n W Car ( 14 Inch ) 32     2 Limonium + FF Sachet</v>
      </c>
      <c r="S56" s="38" t="str">
        <f>VLOOKUP(A56,'[2]16-07-26'!$A$2:$T$95,20,0)</f>
        <v>P n Y Spray Daisy ( 14 Inch ) 10     2 Gypsola + FF Sachet</v>
      </c>
      <c r="T56" s="38" t="s">
        <v>446</v>
      </c>
      <c r="U56" s="38">
        <v>6</v>
      </c>
      <c r="V56" s="38"/>
      <c r="W56" s="38"/>
      <c r="X56" s="38"/>
      <c r="Y56" s="38"/>
      <c r="Z56" s="38" t="s">
        <v>478</v>
      </c>
      <c r="AA56" s="38"/>
      <c r="AB56" s="38"/>
      <c r="AC56" s="38"/>
      <c r="AD56" s="38"/>
    </row>
    <row r="57" spans="1:30" ht="107.1" hidden="1" customHeight="1" x14ac:dyDescent="0.3">
      <c r="A57" s="11">
        <v>3071</v>
      </c>
      <c r="B57" s="17" t="s">
        <v>256</v>
      </c>
      <c r="C57" s="9">
        <v>8390310325</v>
      </c>
      <c r="D57" s="10" t="s">
        <v>257</v>
      </c>
      <c r="E57" s="10" t="s">
        <v>32</v>
      </c>
      <c r="F57" s="10" t="s">
        <v>17</v>
      </c>
      <c r="G57" s="12" t="s">
        <v>18</v>
      </c>
      <c r="H57" s="9">
        <v>1450</v>
      </c>
      <c r="I57" s="9">
        <v>362.5</v>
      </c>
      <c r="J57" s="10" t="s">
        <v>19</v>
      </c>
      <c r="K57" s="10" t="s">
        <v>258</v>
      </c>
      <c r="L57" s="9"/>
      <c r="M57" s="9"/>
      <c r="N57" s="13" t="s">
        <v>221</v>
      </c>
      <c r="O57" s="38" t="str">
        <f>VLOOKUP(A57,'[1]18-06-26'!$A$2:$T$89,20,0)</f>
        <v>Sunflower ( 12 Inch ) 2 P n W Glad ( 14 Inch ) 7   FF Sachet + Grass</v>
      </c>
      <c r="P57" s="38" t="e">
        <f>VLOOKUP(A57,'[1]25-06-26'!$A$2:$T$86,20,0)</f>
        <v>#N/A</v>
      </c>
      <c r="Q57" s="38" t="str">
        <f>VLOOKUP(A57,'[2]02-07-26'!$A$2:$T$106,20,0)</f>
        <v>P Asiatic ( 14 Inch ) 2 Rajni ( 14 Inch ) 7  Collect Payment Grass</v>
      </c>
      <c r="R57" s="38" t="str">
        <f>VLOOKUP(A57,'[2]09-07-26'!$A$2:$T$89,20,0)</f>
        <v>P Spray Daisy ( 14 Inch ) 3 P n W Car ( 14 Inch ) 7   FF Sachet + Grass</v>
      </c>
      <c r="S57" s="38" t="str">
        <f>VLOOKUP(A57,'[2]16-07-26'!$A$2:$T$95,20,0)</f>
        <v>Sunflower ( 12 Inch ) 2 Mix Alstroemeria ( 12 Inch ) 7   FF Sachet + Grass</v>
      </c>
      <c r="T57" s="38" t="s">
        <v>462</v>
      </c>
      <c r="U57" s="38">
        <v>2</v>
      </c>
      <c r="V57" s="38" t="s">
        <v>449</v>
      </c>
      <c r="W57" s="38">
        <v>7</v>
      </c>
      <c r="X57" s="38"/>
      <c r="Y57" s="38"/>
      <c r="Z57" s="38" t="s">
        <v>452</v>
      </c>
      <c r="AA57" s="38"/>
      <c r="AB57" s="38"/>
      <c r="AC57" s="38"/>
      <c r="AD57" s="38"/>
    </row>
    <row r="58" spans="1:30" ht="107.1" hidden="1" customHeight="1" x14ac:dyDescent="0.3">
      <c r="A58" s="11">
        <v>2666</v>
      </c>
      <c r="B58" s="17" t="s">
        <v>259</v>
      </c>
      <c r="C58" s="22">
        <v>9971518253</v>
      </c>
      <c r="D58" s="10" t="s">
        <v>260</v>
      </c>
      <c r="E58" s="10" t="s">
        <v>73</v>
      </c>
      <c r="F58" s="10" t="s">
        <v>17</v>
      </c>
      <c r="G58" s="10" t="s">
        <v>49</v>
      </c>
      <c r="H58" s="9">
        <v>1450</v>
      </c>
      <c r="I58" s="9">
        <v>362.5</v>
      </c>
      <c r="J58" s="10" t="s">
        <v>19</v>
      </c>
      <c r="K58" s="10" t="s">
        <v>261</v>
      </c>
      <c r="L58" s="9"/>
      <c r="M58" s="9"/>
      <c r="N58" s="13" t="s">
        <v>221</v>
      </c>
      <c r="O58" s="38" t="str">
        <f>VLOOKUP(A58,'[1]18-06-26'!$A$2:$T$89,20,0)</f>
        <v>Mix Alstroemeria ( 12 Inch ) 16     FF Sachet + Grass</v>
      </c>
      <c r="P58" s="38" t="str">
        <f>VLOOKUP(A58,'[1]25-06-26'!$A$2:$T$86,20,0)</f>
        <v>Pur Eustoma ( 12 Inch ) 3     FF Sachet + Grass</v>
      </c>
      <c r="Q58" s="38" t="str">
        <f>VLOOKUP(A58,'[2]02-07-26'!$A$2:$T$106,20,0)</f>
        <v>P Asiatic ( 14 Inch ) 3     Grass</v>
      </c>
      <c r="R58" s="38" t="str">
        <f>VLOOKUP(A58,'[2]09-07-26'!$A$2:$T$89,20,0)</f>
        <v>Rajni ( 14 Inch ) 16     Grass</v>
      </c>
      <c r="S58" s="38" t="str">
        <f>VLOOKUP(A58,'[2]16-07-26'!$A$2:$T$95,20,0)</f>
        <v>G n W Car ( 14 Inch ) 16     FF Sachet + Grass</v>
      </c>
      <c r="T58" s="38" t="s">
        <v>448</v>
      </c>
      <c r="U58" s="38">
        <v>5</v>
      </c>
      <c r="V58" s="38"/>
      <c r="W58" s="38"/>
      <c r="X58" s="38"/>
      <c r="Y58" s="38"/>
      <c r="Z58" s="38" t="s">
        <v>452</v>
      </c>
      <c r="AA58" s="38"/>
      <c r="AB58" s="38"/>
      <c r="AC58" s="38"/>
      <c r="AD58" s="38"/>
    </row>
    <row r="59" spans="1:30" ht="132.75" hidden="1" customHeight="1" x14ac:dyDescent="0.3">
      <c r="A59" s="1">
        <v>2761</v>
      </c>
      <c r="B59" s="17" t="s">
        <v>262</v>
      </c>
      <c r="C59" s="9">
        <v>9560719191</v>
      </c>
      <c r="D59" s="10" t="s">
        <v>263</v>
      </c>
      <c r="E59" s="10" t="s">
        <v>114</v>
      </c>
      <c r="F59" s="11" t="s">
        <v>17</v>
      </c>
      <c r="G59" s="12" t="s">
        <v>49</v>
      </c>
      <c r="H59" s="9">
        <v>1450</v>
      </c>
      <c r="I59" s="9">
        <v>362.5</v>
      </c>
      <c r="J59" s="10" t="s">
        <v>19</v>
      </c>
      <c r="K59" s="10" t="s">
        <v>264</v>
      </c>
      <c r="L59" s="10" t="s">
        <v>91</v>
      </c>
      <c r="M59" s="9"/>
      <c r="N59" s="13" t="s">
        <v>265</v>
      </c>
      <c r="O59" s="38" t="str">
        <f>VLOOKUP(A59,'[1]18-06-26'!$A$2:$T$89,20,0)</f>
        <v>P Asiatic ( 14 Inch ) 2 Pur n P Car ( 14 Inch ) 7   Grass</v>
      </c>
      <c r="P59" s="38" t="str">
        <f>VLOOKUP(A59,'[1]25-06-26'!$A$2:$T$86,20,0)</f>
        <v>Pur Eustoma ( 12 Inch ) 2 Rajni ( 14 Inch ) 7   FF Sachet + Grass</v>
      </c>
      <c r="Q59" s="38" t="str">
        <f>VLOOKUP(A59,'[2]02-07-26'!$A$2:$T$106,20,0)</f>
        <v>Spray Daisy 3 B Daisy ( 12 Inch ) 7   FF Sachet + Grass</v>
      </c>
      <c r="R59" s="38" t="str">
        <f>VLOOKUP(A59,'[2]09-07-26'!$A$2:$T$89,20,0)</f>
        <v>O Asiatic ( ( 14 inch ) 2 Mix Car 7   Grass</v>
      </c>
      <c r="S59" s="38" t="str">
        <f>VLOOKUP(A59,'[2]16-07-26'!$A$2:$T$95,20,0)</f>
        <v>P Spray Daisy ( 14 Inch ) 3 P n W Glad ( 14 Inch ) 7   FF Sachet + Grass</v>
      </c>
      <c r="T59" s="38" t="s">
        <v>443</v>
      </c>
      <c r="U59" s="38">
        <v>3</v>
      </c>
      <c r="V59" s="38" t="s">
        <v>461</v>
      </c>
      <c r="W59" s="38">
        <v>7</v>
      </c>
      <c r="X59" s="38" t="s">
        <v>534</v>
      </c>
      <c r="Y59" s="38" t="s">
        <v>534</v>
      </c>
      <c r="Z59" s="38" t="s">
        <v>452</v>
      </c>
      <c r="AA59" s="38"/>
      <c r="AB59" s="38"/>
      <c r="AC59" s="38"/>
      <c r="AD59" s="38"/>
    </row>
    <row r="60" spans="1:30" ht="107.1" hidden="1" customHeight="1" x14ac:dyDescent="0.3">
      <c r="A60" s="1">
        <v>949</v>
      </c>
      <c r="B60" s="17" t="s">
        <v>266</v>
      </c>
      <c r="C60" s="9">
        <v>9891350735</v>
      </c>
      <c r="D60" s="10" t="s">
        <v>267</v>
      </c>
      <c r="E60" s="10" t="s">
        <v>32</v>
      </c>
      <c r="F60" s="10" t="s">
        <v>17</v>
      </c>
      <c r="G60" s="10" t="s">
        <v>38</v>
      </c>
      <c r="H60" s="9">
        <v>1450</v>
      </c>
      <c r="I60" s="9">
        <v>362.5</v>
      </c>
      <c r="J60" s="10" t="s">
        <v>19</v>
      </c>
      <c r="K60" s="11" t="s">
        <v>268</v>
      </c>
      <c r="L60" s="9"/>
      <c r="M60" s="9"/>
      <c r="N60" s="13" t="s">
        <v>221</v>
      </c>
      <c r="O60" s="38" t="str">
        <f>VLOOKUP(A60,'[1]18-06-26'!$A$2:$T$89,20,0)</f>
        <v>Pur n P Car ( 14 inch ) 16     FF Sachet + Grass</v>
      </c>
      <c r="P60" s="38" t="str">
        <f>VLOOKUP(A60,'[1]25-06-26'!$A$2:$T$86,20,0)</f>
        <v>Pur Eustoma ( 12 Inch ) 3     FF Sachet + Grass</v>
      </c>
      <c r="Q60" s="38" t="str">
        <f>VLOOKUP(A60,'[2]02-07-26'!$A$2:$T$106,20,0)</f>
        <v>P n W Glad ( 14 Inch ) 16     Grass</v>
      </c>
      <c r="R60" s="38" t="str">
        <f>VLOOKUP(A60,'[2]09-07-26'!$A$2:$T$89,20,0)</f>
        <v>Sunflower ( 12 Inch ) 4     FF Sachet + Grass</v>
      </c>
      <c r="S60" s="38" t="str">
        <f>VLOOKUP(A60,'[2]16-07-26'!$A$2:$T$95,20,0)</f>
        <v>O Asiatic ( 14 Inch ) 3     Grass</v>
      </c>
      <c r="T60" s="38" t="s">
        <v>441</v>
      </c>
      <c r="U60" s="38">
        <v>16</v>
      </c>
      <c r="V60" s="38"/>
      <c r="W60" s="38"/>
      <c r="X60" s="38"/>
      <c r="Y60" s="38"/>
      <c r="Z60" s="38" t="s">
        <v>452</v>
      </c>
      <c r="AA60" s="38"/>
      <c r="AB60" s="38"/>
      <c r="AC60" s="38"/>
      <c r="AD60" s="38"/>
    </row>
    <row r="61" spans="1:30" ht="107.1" hidden="1" customHeight="1" x14ac:dyDescent="0.3">
      <c r="A61" s="1">
        <v>19</v>
      </c>
      <c r="B61" s="17" t="s">
        <v>269</v>
      </c>
      <c r="C61" s="1">
        <v>9811373448</v>
      </c>
      <c r="D61" s="11" t="s">
        <v>270</v>
      </c>
      <c r="E61" s="1" t="s">
        <v>42</v>
      </c>
      <c r="F61" s="11" t="s">
        <v>17</v>
      </c>
      <c r="G61" s="12" t="s">
        <v>18</v>
      </c>
      <c r="H61" s="9">
        <v>1450</v>
      </c>
      <c r="I61" s="9">
        <v>362.5</v>
      </c>
      <c r="J61" s="11" t="s">
        <v>19</v>
      </c>
      <c r="K61" s="11" t="s">
        <v>271</v>
      </c>
      <c r="L61" s="9"/>
      <c r="M61" s="9"/>
      <c r="N61" s="13" t="s">
        <v>265</v>
      </c>
      <c r="O61" s="38" t="str">
        <f>VLOOKUP(A61,'[1]18-06-26'!$A$2:$T$89,20,0)</f>
        <v>O Asiatic ( 14 Inch ) 3     Grass</v>
      </c>
      <c r="P61" s="38" t="str">
        <f>VLOOKUP(A61,'[1]25-06-26'!$A$2:$T$86,20,0)</f>
        <v>B Daisy ( 12 Inch ) 16  Collect Payment Collect Payment Collect Payment Grass</v>
      </c>
      <c r="Q61" s="38" t="str">
        <f>VLOOKUP(A61,'[2]02-07-26'!$A$2:$T$106,20,0)</f>
        <v>Pur n P Car ( 14 Inch ) 16    Collect Payment FF Sachet + Grass</v>
      </c>
      <c r="R61" s="38" t="str">
        <f>VLOOKUP(A61,'[2]09-07-26'!$A$2:$T$89,20,0)</f>
        <v>Sunflower ( 12 Inch ) 4     FF Sachet + Grass</v>
      </c>
      <c r="S61" s="38" t="str">
        <f>VLOOKUP(A61,'[2]16-07-26'!$A$2:$T$95,20,0)</f>
        <v>P n W Glad ( 14 Inch ) 16     Grass</v>
      </c>
      <c r="T61" s="38" t="s">
        <v>448</v>
      </c>
      <c r="U61" s="38">
        <v>5</v>
      </c>
      <c r="V61" s="38"/>
      <c r="W61" s="38"/>
      <c r="X61" s="38" t="s">
        <v>534</v>
      </c>
      <c r="Y61" s="38" t="s">
        <v>534</v>
      </c>
      <c r="Z61" s="38" t="s">
        <v>452</v>
      </c>
      <c r="AA61" s="38"/>
      <c r="AB61" s="38"/>
      <c r="AC61" s="38"/>
      <c r="AD61" s="38"/>
    </row>
    <row r="62" spans="1:30" ht="107.1" hidden="1" customHeight="1" x14ac:dyDescent="0.3">
      <c r="A62" s="1">
        <v>14</v>
      </c>
      <c r="B62" s="17" t="s">
        <v>272</v>
      </c>
      <c r="C62" s="17">
        <v>9810546046</v>
      </c>
      <c r="D62" s="10" t="s">
        <v>273</v>
      </c>
      <c r="E62" s="10" t="s">
        <v>73</v>
      </c>
      <c r="F62" s="11" t="s">
        <v>17</v>
      </c>
      <c r="G62" s="12" t="s">
        <v>18</v>
      </c>
      <c r="H62" s="9">
        <v>1950</v>
      </c>
      <c r="I62" s="9">
        <v>487.5</v>
      </c>
      <c r="J62" s="10" t="s">
        <v>26</v>
      </c>
      <c r="K62" s="11" t="s">
        <v>274</v>
      </c>
      <c r="L62" s="10" t="s">
        <v>275</v>
      </c>
      <c r="M62" s="9"/>
      <c r="N62" s="13" t="s">
        <v>221</v>
      </c>
      <c r="O62" s="38" t="e">
        <f>VLOOKUP(A62,'[1]18-06-26'!$A$2:$T$89,20,0)</f>
        <v>#N/A</v>
      </c>
      <c r="P62" s="38" t="str">
        <f>VLOOKUP(A62,'[1]25-06-26'!$A$2:$T$86,20,0)</f>
        <v>Pur n P Eustoma ( 12 Inch ) 4     FF Sachet + Grass</v>
      </c>
      <c r="Q62" s="38" t="str">
        <f>VLOOKUP(A62,'[2]02-07-26'!$A$2:$T$106,20,0)</f>
        <v>Sunflower ( 12 Inch ) 5     FF Sachet + Grass</v>
      </c>
      <c r="R62" s="38" t="str">
        <f>VLOOKUP(A62,'[2]09-07-26'!$A$2:$T$89,20,0)</f>
        <v>Rajni ( 14 Inch ) 22     Grass</v>
      </c>
      <c r="S62" s="38" t="str">
        <f>VLOOKUP(A62,'[2]16-07-26'!$A$2:$T$95,20,0)</f>
        <v>G n W Car ( 14 Inch ) 22     FF Sachet + Grass</v>
      </c>
      <c r="T62" s="38" t="s">
        <v>471</v>
      </c>
      <c r="U62" s="38">
        <v>4</v>
      </c>
      <c r="V62" s="38"/>
      <c r="W62" s="38"/>
      <c r="X62" s="38"/>
      <c r="Y62" s="38"/>
      <c r="Z62" s="38" t="s">
        <v>451</v>
      </c>
      <c r="AA62" s="38"/>
      <c r="AB62" s="38"/>
      <c r="AC62" s="38"/>
      <c r="AD62" s="38"/>
    </row>
    <row r="63" spans="1:30" ht="107.1" hidden="1" customHeight="1" x14ac:dyDescent="0.3">
      <c r="A63" s="1">
        <v>2024</v>
      </c>
      <c r="B63" s="17" t="s">
        <v>276</v>
      </c>
      <c r="C63" s="9">
        <v>9958565556</v>
      </c>
      <c r="D63" s="10" t="s">
        <v>277</v>
      </c>
      <c r="E63" s="10" t="s">
        <v>32</v>
      </c>
      <c r="F63" s="10" t="s">
        <v>17</v>
      </c>
      <c r="G63" s="12" t="s">
        <v>18</v>
      </c>
      <c r="H63" s="9">
        <v>1950</v>
      </c>
      <c r="I63" s="9">
        <v>487.5</v>
      </c>
      <c r="J63" s="10" t="s">
        <v>26</v>
      </c>
      <c r="K63" s="10" t="s">
        <v>278</v>
      </c>
      <c r="L63" s="10" t="s">
        <v>279</v>
      </c>
      <c r="M63" s="9" t="s">
        <v>280</v>
      </c>
      <c r="N63" s="13" t="s">
        <v>535</v>
      </c>
      <c r="O63" s="38" t="str">
        <f>VLOOKUP(A63,'[1]18-06-26'!$A$2:$T$89,20,0)</f>
        <v>P n W Spray Daisy ( 14 Inch ) 7     FF Sachet + Grass</v>
      </c>
      <c r="P63" s="38" t="str">
        <f>VLOOKUP(A63,'[1]25-06-26'!$A$2:$T$86,20,0)</f>
        <v>O Asiatic ( 14 Inch ) 4     Grass</v>
      </c>
      <c r="Q63" s="38" t="str">
        <f>VLOOKUP(A63,'[2]02-07-26'!$A$2:$T$106,20,0)</f>
        <v>P n W Car ( 14 Inch ) 22     FF Sachet + Grass</v>
      </c>
      <c r="R63" s="38" t="str">
        <f>VLOOKUP(A63,'[2]09-07-26'!$A$2:$T$89,20,0)</f>
        <v>Rajni ( 14 Inch ) 22     Grass</v>
      </c>
      <c r="S63" s="38" t="str">
        <f>VLOOKUP(A63,'[2]16-07-26'!$A$2:$T$95,20,0)</f>
        <v>Mix Alstroemeria ( 12 Inch ) 22     FF Sachet + Grass</v>
      </c>
      <c r="T63" s="38" t="s">
        <v>449</v>
      </c>
      <c r="U63" s="38">
        <v>22</v>
      </c>
      <c r="V63" s="38"/>
      <c r="W63" s="38"/>
      <c r="X63" s="38"/>
      <c r="Y63" s="38"/>
      <c r="Z63" s="38" t="s">
        <v>451</v>
      </c>
      <c r="AA63" s="38"/>
      <c r="AB63" s="38"/>
      <c r="AC63" s="38"/>
      <c r="AD63" s="38"/>
    </row>
    <row r="64" spans="1:30" ht="107.1" hidden="1" customHeight="1" x14ac:dyDescent="0.3">
      <c r="A64" s="1">
        <v>1098</v>
      </c>
      <c r="B64" s="17" t="s">
        <v>281</v>
      </c>
      <c r="C64" s="9">
        <v>9810022182</v>
      </c>
      <c r="D64" s="10" t="s">
        <v>282</v>
      </c>
      <c r="E64" s="10" t="s">
        <v>160</v>
      </c>
      <c r="F64" s="10" t="s">
        <v>17</v>
      </c>
      <c r="G64" s="16" t="s">
        <v>74</v>
      </c>
      <c r="H64" s="9">
        <v>1950</v>
      </c>
      <c r="I64" s="9">
        <v>487.5</v>
      </c>
      <c r="J64" s="10" t="s">
        <v>26</v>
      </c>
      <c r="K64" s="10" t="s">
        <v>283</v>
      </c>
      <c r="L64" s="10" t="s">
        <v>284</v>
      </c>
      <c r="M64" s="9"/>
      <c r="N64" s="13" t="s">
        <v>221</v>
      </c>
      <c r="O64" s="38" t="str">
        <f>VLOOKUP(A64,'[1]18-06-26'!$A$2:$T$89,20,0)</f>
        <v>P n W Spray Daisy ( 14 Inch ) 7     FF Sachet + Grass</v>
      </c>
      <c r="P64" s="38" t="str">
        <f>VLOOKUP(A64,'[1]25-06-26'!$A$2:$T$86,20,0)</f>
        <v>O Asiatic ( 14 Inch ) 4     Grass</v>
      </c>
      <c r="Q64" s="38" t="str">
        <f>VLOOKUP(A64,'[2]02-07-26'!$A$2:$T$106,20,0)</f>
        <v>P n W Glad ( 14 Inch ) 22     Grass</v>
      </c>
      <c r="R64" s="38" t="str">
        <f>VLOOKUP(A64,'[2]09-07-26'!$A$2:$T$89,20,0)</f>
        <v>Mix Alstroemeria ( 12Inch ) 22     FF Sachet + Grass</v>
      </c>
      <c r="S64" s="38" t="str">
        <f>VLOOKUP(A64,'[2]16-07-26'!$A$2:$T$95,20,0)</f>
        <v>G n W Car ( 14 Inch ) 22     FF Sachet + Grass</v>
      </c>
      <c r="T64" s="38" t="s">
        <v>448</v>
      </c>
      <c r="U64" s="38">
        <v>7</v>
      </c>
      <c r="V64" s="38"/>
      <c r="W64" s="38"/>
      <c r="X64" s="38"/>
      <c r="Y64" s="38"/>
      <c r="Z64" s="38" t="s">
        <v>452</v>
      </c>
      <c r="AA64" s="38"/>
      <c r="AB64" s="38"/>
      <c r="AC64" s="38"/>
      <c r="AD64" s="38"/>
    </row>
    <row r="65" spans="1:30" ht="107.1" hidden="1" customHeight="1" x14ac:dyDescent="0.3">
      <c r="A65" s="1">
        <v>2359</v>
      </c>
      <c r="B65" s="17" t="s">
        <v>285</v>
      </c>
      <c r="C65" s="22">
        <v>9711170252</v>
      </c>
      <c r="D65" s="9" t="s">
        <v>286</v>
      </c>
      <c r="E65" s="9" t="s">
        <v>42</v>
      </c>
      <c r="F65" s="9" t="s">
        <v>17</v>
      </c>
      <c r="G65" s="9" t="s">
        <v>18</v>
      </c>
      <c r="H65" s="9">
        <v>1450</v>
      </c>
      <c r="I65" s="9">
        <v>362.5</v>
      </c>
      <c r="J65" s="11" t="s">
        <v>19</v>
      </c>
      <c r="K65" s="10" t="s">
        <v>287</v>
      </c>
      <c r="L65" s="10" t="s">
        <v>288</v>
      </c>
      <c r="M65" s="9"/>
      <c r="N65" s="13" t="s">
        <v>221</v>
      </c>
      <c r="O65" s="38" t="e">
        <f>VLOOKUP(A65,'[1]18-06-26'!$A$2:$T$89,20,0)</f>
        <v>#N/A</v>
      </c>
      <c r="P65" s="38" t="str">
        <f>VLOOKUP(A65,'[1]25-06-26'!$A$2:$T$86,20,0)</f>
        <v>Pur n P Car ( 14 Inch ) 9     FF Sachet + Grass</v>
      </c>
      <c r="Q65" s="38" t="str">
        <f>VLOOKUP(A65,'[2]02-07-26'!$A$2:$T$106,20,0)</f>
        <v>O Asiatic ( 14 Inch ) 2     Grass</v>
      </c>
      <c r="R65" s="38" t="str">
        <f>VLOOKUP(A65,'[2]09-07-26'!$A$2:$T$89,20,0)</f>
        <v>Mix Alstroemeria ( 12Inch ) 9     FF Sachet + Grass</v>
      </c>
      <c r="S65" s="38" t="str">
        <f>VLOOKUP(A65,'[2]16-07-26'!$A$2:$T$95,20,0)</f>
        <v>G n W Car ( 14 Inch ) 16     FF Sachet + Grass</v>
      </c>
      <c r="T65" s="38" t="s">
        <v>449</v>
      </c>
      <c r="U65" s="38">
        <v>16</v>
      </c>
      <c r="V65" s="38"/>
      <c r="W65" s="38"/>
      <c r="X65" s="38"/>
      <c r="Y65" s="38"/>
      <c r="Z65" s="38" t="s">
        <v>451</v>
      </c>
      <c r="AA65" s="38"/>
      <c r="AB65" s="38"/>
      <c r="AC65" s="38"/>
      <c r="AD65" s="38"/>
    </row>
    <row r="66" spans="1:30" ht="107.1" hidden="1" customHeight="1" x14ac:dyDescent="0.3">
      <c r="A66" s="11">
        <v>179</v>
      </c>
      <c r="B66" s="17" t="s">
        <v>289</v>
      </c>
      <c r="C66" s="1">
        <v>9810077026</v>
      </c>
      <c r="D66" s="11" t="s">
        <v>290</v>
      </c>
      <c r="E66" s="10" t="s">
        <v>32</v>
      </c>
      <c r="F66" s="11" t="s">
        <v>17</v>
      </c>
      <c r="G66" s="12" t="s">
        <v>18</v>
      </c>
      <c r="H66" s="9">
        <v>1450</v>
      </c>
      <c r="I66" s="9">
        <v>362.5</v>
      </c>
      <c r="J66" s="10" t="s">
        <v>19</v>
      </c>
      <c r="K66" s="11" t="s">
        <v>291</v>
      </c>
      <c r="L66" s="1"/>
      <c r="M66" s="11" t="s">
        <v>292</v>
      </c>
      <c r="N66" s="13" t="s">
        <v>265</v>
      </c>
      <c r="O66" s="38" t="str">
        <f>VLOOKUP(A66,'[1]18-06-26'!$A$2:$T$89,20,0)</f>
        <v>O Asiatic ( 14 Inch ) 3 Collect Cash Collect Cash    Grass</v>
      </c>
      <c r="P66" s="38" t="e">
        <f>VLOOKUP(A66,'[1]25-06-26'!$A$2:$T$86,20,0)</f>
        <v>#N/A</v>
      </c>
      <c r="Q66" s="38" t="str">
        <f>VLOOKUP(A66,'[2]02-07-26'!$A$2:$T$106,20,0)</f>
        <v>Sunflower ( 12 Inch ) 4    Collect payment FF Sachet + Grass</v>
      </c>
      <c r="R66" s="38" t="str">
        <f>VLOOKUP(A66,'[2]09-07-26'!$A$2:$T$89,20,0)</f>
        <v>P n W Car ( 14 Inch ) 16     FF Sachet + Grass</v>
      </c>
      <c r="S66" s="38" t="str">
        <f>VLOOKUP(A66,'[2]16-07-26'!$A$2:$T$95,20,0)</f>
        <v>P n W Spray Daisy ( 14 Inch ) 5     FF Sachet + Grass</v>
      </c>
      <c r="T66" s="38" t="s">
        <v>464</v>
      </c>
      <c r="U66" s="38">
        <v>16</v>
      </c>
      <c r="V66" s="38" t="s">
        <v>534</v>
      </c>
      <c r="W66" s="38" t="s">
        <v>534</v>
      </c>
      <c r="X66" s="38" t="s">
        <v>534</v>
      </c>
      <c r="Y66" s="38"/>
      <c r="Z66" s="38" t="s">
        <v>451</v>
      </c>
      <c r="AA66" s="38"/>
      <c r="AB66" s="38"/>
      <c r="AC66" s="38"/>
      <c r="AD66" s="38"/>
    </row>
    <row r="67" spans="1:30" ht="107.1" hidden="1" customHeight="1" x14ac:dyDescent="0.3">
      <c r="A67" s="1">
        <v>849</v>
      </c>
      <c r="B67" s="17" t="s">
        <v>293</v>
      </c>
      <c r="C67" s="1">
        <v>7838500808</v>
      </c>
      <c r="D67" s="11" t="s">
        <v>294</v>
      </c>
      <c r="E67" s="10" t="s">
        <v>16</v>
      </c>
      <c r="F67" s="11" t="s">
        <v>17</v>
      </c>
      <c r="G67" s="10" t="s">
        <v>43</v>
      </c>
      <c r="H67" s="9">
        <v>1450</v>
      </c>
      <c r="I67" s="9">
        <v>362.5</v>
      </c>
      <c r="J67" s="11" t="s">
        <v>19</v>
      </c>
      <c r="K67" s="11" t="s">
        <v>295</v>
      </c>
      <c r="L67" s="10" t="s">
        <v>296</v>
      </c>
      <c r="M67" s="10" t="s">
        <v>297</v>
      </c>
      <c r="N67" s="13" t="s">
        <v>221</v>
      </c>
      <c r="O67" s="38" t="str">
        <f>VLOOKUP(A67,'[1]18-06-26'!$A$2:$T$89,20,0)</f>
        <v>P n Y Spray Daisy ( 14 Inch ) 5     FF Sachet + Grass</v>
      </c>
      <c r="P67" s="38" t="str">
        <f>VLOOKUP(A67,'[1]25-06-26'!$A$2:$T$86,20,0)</f>
        <v>Pur n P Car ( 14 Inch ) 16  Collect Payment Collect Payment Collect Payment FF Sachet + Grass</v>
      </c>
      <c r="Q67" s="38" t="str">
        <f>VLOOKUP(A67,'[2]02-07-26'!$A$2:$T$106,20,0)</f>
        <v>Sunflower ( 12 Inch ) 4     FF Sachet + Grass</v>
      </c>
      <c r="R67" s="38" t="str">
        <f>VLOOKUP(A67,'[2]09-07-26'!$A$2:$T$89,20,0)</f>
        <v>Rajni ( 14 Inch ) 16     Grass</v>
      </c>
      <c r="S67" s="38" t="str">
        <f>VLOOKUP(A67,'[2]16-07-26'!$A$2:$T$95,20,0)</f>
        <v>O Asiatic ( 14 Inch ) 3     Grass</v>
      </c>
      <c r="T67" s="38" t="s">
        <v>449</v>
      </c>
      <c r="U67" s="38">
        <v>16</v>
      </c>
      <c r="V67" s="38"/>
      <c r="W67" s="38"/>
      <c r="X67" s="38"/>
      <c r="Y67" s="38"/>
      <c r="Z67" s="38" t="s">
        <v>451</v>
      </c>
      <c r="AA67" s="38"/>
      <c r="AB67" s="38"/>
      <c r="AC67" s="38"/>
      <c r="AD67" s="38"/>
    </row>
    <row r="68" spans="1:30" ht="107.1" hidden="1" customHeight="1" x14ac:dyDescent="0.3">
      <c r="A68" s="1">
        <v>3128</v>
      </c>
      <c r="B68" s="17" t="s">
        <v>298</v>
      </c>
      <c r="C68" s="9">
        <v>9873498869</v>
      </c>
      <c r="D68" s="10" t="s">
        <v>299</v>
      </c>
      <c r="E68" s="10" t="s">
        <v>42</v>
      </c>
      <c r="F68" s="10" t="s">
        <v>17</v>
      </c>
      <c r="G68" s="19" t="s">
        <v>49</v>
      </c>
      <c r="H68" s="9">
        <v>1450</v>
      </c>
      <c r="I68" s="9">
        <v>362.5</v>
      </c>
      <c r="J68" s="11" t="s">
        <v>19</v>
      </c>
      <c r="K68" s="10" t="s">
        <v>300</v>
      </c>
      <c r="L68" s="9"/>
      <c r="M68" s="9"/>
      <c r="N68" s="13" t="s">
        <v>221</v>
      </c>
      <c r="O68" s="38" t="str">
        <f>VLOOKUP(A68,'[1]18-06-26'!$A$2:$T$89,20,0)</f>
        <v>Pur n P Car ( 14 inch ) 16     FF Sachet + Grass</v>
      </c>
      <c r="P68" s="38" t="str">
        <f>VLOOKUP(A68,'[1]25-06-26'!$A$2:$T$86,20,0)</f>
        <v>P Asiatic ( 14 Inch ) 3  Collect Payment Collect Payment Collect Payment Grass</v>
      </c>
      <c r="Q68" s="38" t="str">
        <f>VLOOKUP(A68,'[2]02-07-26'!$A$2:$T$106,20,0)</f>
        <v>Rajni ( 14 Inch ) 16     Grass</v>
      </c>
      <c r="R68" s="38" t="str">
        <f>VLOOKUP(A68,'[2]09-07-26'!$A$2:$T$89,20,0)</f>
        <v>P n Y Spray Daisy ( 14 Inch ) 5     FF Sachet + Grass</v>
      </c>
      <c r="S68" s="38" t="str">
        <f>VLOOKUP(A68,'[2]16-07-26'!$A$2:$T$95,20,0)</f>
        <v>Asiatic 3     Grass</v>
      </c>
      <c r="T68" s="38" t="s">
        <v>441</v>
      </c>
      <c r="U68" s="38">
        <v>16</v>
      </c>
      <c r="V68" s="38"/>
      <c r="W68" s="38"/>
      <c r="X68" s="38"/>
      <c r="Y68" s="38"/>
      <c r="Z68" s="38" t="s">
        <v>452</v>
      </c>
      <c r="AA68" s="38"/>
      <c r="AB68" s="38"/>
      <c r="AC68" s="38"/>
      <c r="AD68" s="38"/>
    </row>
    <row r="69" spans="1:30" ht="107.1" hidden="1" customHeight="1" x14ac:dyDescent="0.3">
      <c r="A69" s="1">
        <v>3270</v>
      </c>
      <c r="B69" s="17" t="s">
        <v>301</v>
      </c>
      <c r="C69" s="9">
        <v>7022251818</v>
      </c>
      <c r="D69" s="10" t="s">
        <v>302</v>
      </c>
      <c r="E69" s="10" t="s">
        <v>114</v>
      </c>
      <c r="F69" s="10" t="s">
        <v>17</v>
      </c>
      <c r="G69" s="19" t="s">
        <v>74</v>
      </c>
      <c r="H69" s="9">
        <v>1950</v>
      </c>
      <c r="I69" s="9">
        <v>487.5</v>
      </c>
      <c r="J69" s="10" t="s">
        <v>26</v>
      </c>
      <c r="K69" s="10" t="s">
        <v>303</v>
      </c>
      <c r="L69" s="10" t="s">
        <v>304</v>
      </c>
      <c r="M69" s="10" t="s">
        <v>305</v>
      </c>
      <c r="N69" s="13" t="s">
        <v>221</v>
      </c>
      <c r="O69" s="38" t="str">
        <f>VLOOKUP(A69,'[1]18-06-26'!$A$2:$T$89,20,0)</f>
        <v>P Eustoma ( 12 Inch ) 2 Mix Alstroemeria ( 12 inch )  11   FF Sachet + Grass</v>
      </c>
      <c r="P69" s="38" t="str">
        <f>VLOOKUP(A69,'[1]25-06-26'!$A$2:$T$86,20,0)</f>
        <v>O Asiatic ( 14 Inch ) 2 Rajni ( 14 Inch ) 11   Grass</v>
      </c>
      <c r="Q69" s="38" t="str">
        <f>VLOOKUP(A69,'[2]02-07-26'!$A$2:$T$106,20,0)</f>
        <v>P n Y Spray Daisy ( 14 Inch ) 4 P n W Glad ( 14 Inch ) 11   FF Sachet + Grass</v>
      </c>
      <c r="R69" s="38" t="str">
        <f>VLOOKUP(A69,'[2]09-07-26'!$A$2:$T$89,20,0)</f>
        <v>P Asiatic ( 14 Inch ) 2 P n W Car ( 14 Inch ) 11   Grass</v>
      </c>
      <c r="S69" s="38" t="str">
        <f>VLOOKUP(A69,'[2]16-07-26'!$A$2:$T$95,20,0)</f>
        <v>Asiatic  2 Mix Car ( 12 Inch ) 11   FF Sachet + Grass</v>
      </c>
      <c r="T69" s="38" t="s">
        <v>472</v>
      </c>
      <c r="U69" s="38">
        <v>2</v>
      </c>
      <c r="V69" s="38" t="s">
        <v>449</v>
      </c>
      <c r="W69" s="38" t="s">
        <v>473</v>
      </c>
      <c r="X69" s="38"/>
      <c r="Y69" s="38"/>
      <c r="Z69" s="38" t="s">
        <v>452</v>
      </c>
      <c r="AA69" s="38"/>
      <c r="AB69" s="38"/>
      <c r="AC69" s="38"/>
      <c r="AD69" s="38"/>
    </row>
    <row r="70" spans="1:30" ht="107.1" hidden="1" customHeight="1" x14ac:dyDescent="0.3">
      <c r="A70" s="1">
        <v>3411</v>
      </c>
      <c r="B70" s="17" t="s">
        <v>306</v>
      </c>
      <c r="C70" s="9">
        <v>8810598664</v>
      </c>
      <c r="D70" s="10" t="s">
        <v>307</v>
      </c>
      <c r="E70" s="10" t="s">
        <v>114</v>
      </c>
      <c r="F70" s="10" t="s">
        <v>17</v>
      </c>
      <c r="G70" s="19" t="s">
        <v>49</v>
      </c>
      <c r="H70" s="9">
        <v>1450</v>
      </c>
      <c r="I70" s="9">
        <v>362.5</v>
      </c>
      <c r="J70" s="10" t="s">
        <v>19</v>
      </c>
      <c r="K70" s="9"/>
      <c r="L70" s="9"/>
      <c r="M70" s="9"/>
      <c r="N70" s="13" t="s">
        <v>221</v>
      </c>
      <c r="O70" s="38" t="e">
        <f>VLOOKUP(A70,'[1]18-06-26'!$A$2:$T$89,20,0)</f>
        <v>#N/A</v>
      </c>
      <c r="P70" s="38" t="e">
        <f>VLOOKUP(A70,'[1]25-06-26'!$A$2:$T$86,20,0)</f>
        <v>#N/A</v>
      </c>
      <c r="Q70" s="38" t="e">
        <f>VLOOKUP(A70,'[2]02-07-26'!$A$2:$T$106,20,0)</f>
        <v>#N/A</v>
      </c>
      <c r="R70" s="38" t="e">
        <f>VLOOKUP(A70,'[2]09-07-26'!$A$2:$T$89,20,0)</f>
        <v>#N/A</v>
      </c>
      <c r="S70" s="38" t="e">
        <f>VLOOKUP(A70,'[2]16-07-26'!$A$2:$T$95,20,0)</f>
        <v>#N/A</v>
      </c>
      <c r="T70" s="38" t="s">
        <v>446</v>
      </c>
      <c r="U70" s="38">
        <v>3</v>
      </c>
      <c r="V70" s="38"/>
      <c r="W70" s="38"/>
      <c r="X70" s="38"/>
      <c r="Y70" s="38"/>
      <c r="Z70" s="38" t="s">
        <v>451</v>
      </c>
      <c r="AA70" s="38"/>
      <c r="AB70" s="38"/>
      <c r="AC70" s="38"/>
      <c r="AD70" s="38"/>
    </row>
    <row r="71" spans="1:30" ht="107.1" hidden="1" customHeight="1" x14ac:dyDescent="0.3">
      <c r="A71" s="1">
        <v>2307</v>
      </c>
      <c r="B71" s="17" t="s">
        <v>308</v>
      </c>
      <c r="C71" s="9">
        <v>9599336609</v>
      </c>
      <c r="D71" s="10" t="s">
        <v>309</v>
      </c>
      <c r="E71" s="10" t="s">
        <v>32</v>
      </c>
      <c r="F71" s="10" t="s">
        <v>17</v>
      </c>
      <c r="G71" s="12" t="s">
        <v>38</v>
      </c>
      <c r="H71" s="9">
        <v>3000</v>
      </c>
      <c r="I71" s="9">
        <v>375</v>
      </c>
      <c r="J71" s="10" t="s">
        <v>310</v>
      </c>
      <c r="K71" s="10" t="s">
        <v>311</v>
      </c>
      <c r="L71" s="9"/>
      <c r="M71" s="32" t="s">
        <v>312</v>
      </c>
      <c r="N71" s="13" t="s">
        <v>440</v>
      </c>
      <c r="O71" s="38" t="str">
        <f>VLOOKUP(A71,'[1]18-06-26'!$A$2:$T$89,20,0)</f>
        <v>Pur n P Eustoma ( 12 Inch ) 4 Leave Outside of door -- Don’t call n don’t ring bell    FF Sachet + Grass</v>
      </c>
      <c r="P71" s="38" t="str">
        <f>VLOOKUP(A71,'[1]25-06-26'!$A$2:$T$86,20,0)</f>
        <v>Pur n P Car ( 14 Inch ) 15 Keep Flowers at door-- Don’t call or don’t ring Bell    FF Sachet + Grass</v>
      </c>
      <c r="Q71" s="38" t="str">
        <f>VLOOKUP(A71,'[2]02-07-26'!$A$2:$T$106,20,0)</f>
        <v>B Daisy ( 12 Inch ) 15    Collect Payment Grass</v>
      </c>
      <c r="R71" s="38" t="str">
        <f>VLOOKUP(A71,'[2]09-07-26'!$A$2:$T$89,20,0)</f>
        <v>Sunflower ( 12 Inch ) 3 Keep Flowers at Door -- Don’t call or Ring the bell    FF Sachet + Grass</v>
      </c>
      <c r="S71" s="38" t="str">
        <f>VLOOKUP(A71,'[2]16-07-26'!$A$2:$T$95,20,0)</f>
        <v>P n Y Spray Daisy ( 14 Inch ) 4 Pls Keep at door -- Don’t Call 0r Ring Bell    FF Sachet + Grass</v>
      </c>
      <c r="T71" s="38" t="s">
        <v>446</v>
      </c>
      <c r="U71" s="38">
        <v>2</v>
      </c>
      <c r="V71" s="38"/>
      <c r="W71" s="38"/>
      <c r="X71" s="38" t="s">
        <v>534</v>
      </c>
      <c r="Y71" s="38" t="s">
        <v>534</v>
      </c>
      <c r="Z71" s="38" t="s">
        <v>451</v>
      </c>
      <c r="AA71" s="38"/>
      <c r="AB71" s="38"/>
      <c r="AC71" s="38"/>
      <c r="AD71" s="38"/>
    </row>
    <row r="72" spans="1:30" ht="107.1" hidden="1" customHeight="1" x14ac:dyDescent="0.3">
      <c r="A72" s="1">
        <v>870</v>
      </c>
      <c r="B72" s="15" t="s">
        <v>314</v>
      </c>
      <c r="C72" s="1">
        <v>9892501292</v>
      </c>
      <c r="D72" s="1" t="s">
        <v>315</v>
      </c>
      <c r="E72" s="1" t="s">
        <v>32</v>
      </c>
      <c r="F72" s="11" t="s">
        <v>17</v>
      </c>
      <c r="G72" s="12" t="s">
        <v>18</v>
      </c>
      <c r="H72" s="9">
        <v>1600</v>
      </c>
      <c r="I72" s="9">
        <v>200</v>
      </c>
      <c r="J72" s="10" t="s">
        <v>96</v>
      </c>
      <c r="K72" s="11" t="s">
        <v>316</v>
      </c>
      <c r="L72" s="9"/>
      <c r="M72" s="9"/>
      <c r="N72" s="13" t="s">
        <v>172</v>
      </c>
      <c r="O72" s="38" t="str">
        <f>VLOOKUP(A72,'[1]18-06-26'!$A$2:$T$89,20,0)</f>
        <v>Sunflower ( 12 Inch ) 2     FF Sachet + Grass</v>
      </c>
      <c r="P72" s="38" t="str">
        <f>VLOOKUP(A72,'[1]25-06-26'!$A$2:$T$86,20,0)</f>
        <v>Rajni ( 14 Inch ) 7     Grass</v>
      </c>
      <c r="Q72" s="38" t="str">
        <f>VLOOKUP(A72,'[2]02-07-26'!$A$2:$T$106,20,0)</f>
        <v>P n W Car ( 14 Inch ) 7     FF Sachet + Grass</v>
      </c>
      <c r="R72" s="38" t="str">
        <f>VLOOKUP(A72,'[2]09-07-26'!$A$2:$T$89,20,0)</f>
        <v>Y Spray Daisy ( 14 Inch ) 2     FF Sachet + Grass</v>
      </c>
      <c r="S72" s="38" t="str">
        <f>VLOOKUP(A72,'[2]16-07-26'!$A$2:$T$95,20,0)</f>
        <v>Sunflower ( 12 Inch ) 2     FF Sachet + Grass</v>
      </c>
      <c r="T72" s="38" t="s">
        <v>441</v>
      </c>
      <c r="U72" s="38">
        <v>7</v>
      </c>
      <c r="V72" s="38"/>
      <c r="W72" s="38"/>
      <c r="X72" s="38" t="s">
        <v>534</v>
      </c>
      <c r="Y72" s="38" t="s">
        <v>534</v>
      </c>
      <c r="Z72" s="38" t="s">
        <v>452</v>
      </c>
      <c r="AA72" s="38"/>
      <c r="AB72" s="38"/>
      <c r="AC72" s="38"/>
      <c r="AD72" s="38"/>
    </row>
    <row r="73" spans="1:30" ht="107.1" customHeight="1" x14ac:dyDescent="0.3">
      <c r="A73" s="11" t="s">
        <v>319</v>
      </c>
      <c r="B73" s="17" t="s">
        <v>173</v>
      </c>
      <c r="C73" s="22">
        <v>9810512391</v>
      </c>
      <c r="D73" s="10" t="s">
        <v>174</v>
      </c>
      <c r="E73" s="10" t="s">
        <v>175</v>
      </c>
      <c r="F73" s="10" t="s">
        <v>17</v>
      </c>
      <c r="G73" s="10" t="s">
        <v>320</v>
      </c>
      <c r="H73" s="9">
        <v>21500</v>
      </c>
      <c r="I73" s="9">
        <v>21500</v>
      </c>
      <c r="J73" s="11" t="s">
        <v>321</v>
      </c>
      <c r="K73" s="10" t="s">
        <v>322</v>
      </c>
      <c r="L73" s="9"/>
      <c r="M73" s="9"/>
      <c r="N73" s="13" t="s">
        <v>323</v>
      </c>
      <c r="O73" s="38" t="e">
        <f>VLOOKUP(A73,'[1]18-06-26'!$A$2:$T$89,20,0)</f>
        <v>#N/A</v>
      </c>
      <c r="P73" s="38" t="e">
        <f>VLOOKUP(A73,'[1]25-06-26'!$A$2:$T$86,20,0)</f>
        <v>#N/A</v>
      </c>
      <c r="Q73" s="38" t="e">
        <f>VLOOKUP(A73,'[2]02-07-26'!$A$2:$T$106,20,0)</f>
        <v>#N/A</v>
      </c>
      <c r="R73" s="38" t="e">
        <f>VLOOKUP(A73,'[2]09-07-26'!$A$2:$T$89,20,0)</f>
        <v>#N/A</v>
      </c>
      <c r="S73" s="38" t="e">
        <f>VLOOKUP(A73,'[2]16-07-26'!$A$2:$T$95,20,0)</f>
        <v>#N/A</v>
      </c>
      <c r="T73" s="38" t="s">
        <v>481</v>
      </c>
      <c r="U73" s="38" t="s">
        <v>482</v>
      </c>
      <c r="V73" s="38" t="s">
        <v>483</v>
      </c>
      <c r="W73" s="38" t="s">
        <v>484</v>
      </c>
      <c r="X73" s="38"/>
      <c r="Y73" s="38"/>
      <c r="Z73" s="38"/>
      <c r="AA73" s="38"/>
      <c r="AB73" s="38"/>
      <c r="AC73" s="38"/>
      <c r="AD73" s="38"/>
    </row>
    <row r="74" spans="1:30" ht="107.1" hidden="1" customHeight="1" x14ac:dyDescent="0.3">
      <c r="A74" s="11" t="s">
        <v>326</v>
      </c>
      <c r="B74" s="17" t="s">
        <v>327</v>
      </c>
      <c r="C74" s="9">
        <v>9873038855</v>
      </c>
      <c r="D74" s="10" t="s">
        <v>328</v>
      </c>
      <c r="E74" s="10" t="s">
        <v>219</v>
      </c>
      <c r="F74" s="10" t="s">
        <v>17</v>
      </c>
      <c r="G74" s="12" t="s">
        <v>164</v>
      </c>
      <c r="H74" s="9">
        <v>700</v>
      </c>
      <c r="I74" s="9">
        <v>700</v>
      </c>
      <c r="J74" s="33" t="s">
        <v>161</v>
      </c>
      <c r="K74" s="10" t="s">
        <v>329</v>
      </c>
      <c r="L74" s="9"/>
      <c r="M74" s="9"/>
      <c r="N74" s="13" t="s">
        <v>330</v>
      </c>
      <c r="O74" s="38" t="e">
        <f>VLOOKUP(A74,'[1]18-06-26'!$A$2:$T$89,20,0)</f>
        <v>#N/A</v>
      </c>
      <c r="P74" s="38" t="e">
        <f>VLOOKUP(A74,'[1]25-06-26'!$A$2:$T$86,20,0)</f>
        <v>#N/A</v>
      </c>
      <c r="Q74" s="38" t="e">
        <f>VLOOKUP(A74,'[2]02-07-26'!$A$2:$T$106,20,0)</f>
        <v>#N/A</v>
      </c>
      <c r="R74" s="38" t="e">
        <f>VLOOKUP(A74,'[2]09-07-26'!$A$2:$T$89,20,0)</f>
        <v>#N/A</v>
      </c>
      <c r="S74" s="38" t="e">
        <f>VLOOKUP(A74,'[2]16-07-26'!$A$2:$T$95,20,0)</f>
        <v>#N/A</v>
      </c>
      <c r="T74" s="38" t="s">
        <v>453</v>
      </c>
      <c r="U74" s="38">
        <v>2</v>
      </c>
      <c r="V74" s="38"/>
      <c r="W74" s="38"/>
      <c r="X74" s="38"/>
      <c r="Y74" s="38"/>
      <c r="Z74" s="38"/>
      <c r="AA74" s="38"/>
      <c r="AB74" s="38"/>
      <c r="AC74" s="38"/>
      <c r="AD74" s="38"/>
    </row>
    <row r="75" spans="1:30" ht="107.1" hidden="1" customHeight="1" x14ac:dyDescent="0.3">
      <c r="A75" s="11" t="s">
        <v>331</v>
      </c>
      <c r="B75" s="17" t="s">
        <v>332</v>
      </c>
      <c r="C75" s="17">
        <v>9654700022</v>
      </c>
      <c r="D75" s="10" t="s">
        <v>333</v>
      </c>
      <c r="E75" s="10" t="s">
        <v>114</v>
      </c>
      <c r="F75" s="10" t="s">
        <v>17</v>
      </c>
      <c r="G75" s="19" t="s">
        <v>74</v>
      </c>
      <c r="H75" s="9">
        <v>1450</v>
      </c>
      <c r="I75" s="9">
        <v>362.5</v>
      </c>
      <c r="J75" s="10" t="s">
        <v>19</v>
      </c>
      <c r="K75" s="10" t="s">
        <v>334</v>
      </c>
      <c r="L75" s="10" t="s">
        <v>335</v>
      </c>
      <c r="M75" s="10" t="s">
        <v>336</v>
      </c>
      <c r="N75" s="13" t="s">
        <v>343</v>
      </c>
      <c r="O75" s="38" t="e">
        <f>VLOOKUP(A75,'[1]18-06-26'!$A$2:$T$89,20,0)</f>
        <v>#N/A</v>
      </c>
      <c r="P75" s="38" t="e">
        <f>VLOOKUP(A75,'[1]25-06-26'!$A$2:$T$86,20,0)</f>
        <v>#N/A</v>
      </c>
      <c r="Q75" s="38" t="str">
        <f>VLOOKUP(A75,'[2]02-07-26'!$A$2:$T$106,20,0)</f>
        <v>P Asiatic ( 14 Inch ) 3    Collect Payment Grass</v>
      </c>
      <c r="R75" s="38" t="str">
        <f>VLOOKUP(A75,'[2]09-07-26'!$A$2:$T$89,20,0)</f>
        <v>Rajni ( 14 Inch ) 16     Grass</v>
      </c>
      <c r="S75" s="38" t="str">
        <f>VLOOKUP(A75,'[2]16-07-26'!$A$2:$T$95,20,0)</f>
        <v>P n Y Spray Daisy ( 14 Inch ) 5     FF Sachet + Grass</v>
      </c>
      <c r="T75" s="38" t="s">
        <v>441</v>
      </c>
      <c r="U75" s="38">
        <v>16</v>
      </c>
      <c r="V75" s="38"/>
      <c r="W75" s="38"/>
      <c r="X75" s="38"/>
      <c r="Y75" s="38"/>
      <c r="Z75" s="38" t="s">
        <v>452</v>
      </c>
      <c r="AA75" s="38"/>
      <c r="AB75" s="38"/>
      <c r="AC75" s="38"/>
      <c r="AD75" s="38"/>
    </row>
    <row r="76" spans="1:30" ht="107.1" hidden="1" customHeight="1" x14ac:dyDescent="0.3">
      <c r="A76" s="11" t="s">
        <v>337</v>
      </c>
      <c r="B76" s="17" t="s">
        <v>338</v>
      </c>
      <c r="C76" s="9" t="s">
        <v>339</v>
      </c>
      <c r="D76" s="10" t="s">
        <v>340</v>
      </c>
      <c r="E76" s="10" t="s">
        <v>317</v>
      </c>
      <c r="F76" s="10" t="s">
        <v>170</v>
      </c>
      <c r="G76" s="12" t="s">
        <v>341</v>
      </c>
      <c r="H76" s="9">
        <v>800</v>
      </c>
      <c r="I76" s="9">
        <v>800</v>
      </c>
      <c r="J76" s="10" t="s">
        <v>161</v>
      </c>
      <c r="K76" s="10" t="s">
        <v>342</v>
      </c>
      <c r="L76" s="9"/>
      <c r="M76" s="9"/>
      <c r="N76" s="13" t="s">
        <v>344</v>
      </c>
      <c r="O76" s="38" t="e">
        <f>VLOOKUP(A76,'[1]18-06-26'!$A$2:$T$89,20,0)</f>
        <v>#N/A</v>
      </c>
      <c r="P76" s="38" t="e">
        <f>VLOOKUP(A76,'[1]25-06-26'!$A$2:$T$86,20,0)</f>
        <v>#N/A</v>
      </c>
      <c r="Q76" s="38" t="e">
        <f>VLOOKUP(A76,'[2]02-07-26'!$A$2:$T$106,20,0)</f>
        <v>#N/A</v>
      </c>
      <c r="R76" s="38" t="e">
        <f>VLOOKUP(A76,'[2]09-07-26'!$A$2:$T$89,20,0)</f>
        <v>#N/A</v>
      </c>
      <c r="S76" s="38" t="e">
        <f>VLOOKUP(A76,'[2]16-07-26'!$A$2:$T$95,20,0)</f>
        <v>#N/A</v>
      </c>
      <c r="T76" s="38" t="s">
        <v>444</v>
      </c>
      <c r="U76" s="38">
        <v>4</v>
      </c>
      <c r="V76" s="38" t="s">
        <v>454</v>
      </c>
      <c r="W76" s="38" t="s">
        <v>455</v>
      </c>
      <c r="X76" s="38"/>
      <c r="Y76" s="38"/>
      <c r="Z76" s="38"/>
      <c r="AA76" s="38"/>
      <c r="AB76" s="38"/>
      <c r="AC76" s="38"/>
      <c r="AD76" s="38"/>
    </row>
    <row r="77" spans="1:30" ht="107.1" hidden="1" customHeight="1" x14ac:dyDescent="0.3">
      <c r="A77" s="1">
        <v>888</v>
      </c>
      <c r="B77" s="17" t="s">
        <v>345</v>
      </c>
      <c r="C77" s="28">
        <v>9868169896</v>
      </c>
      <c r="D77" s="11" t="s">
        <v>346</v>
      </c>
      <c r="E77" s="11" t="s">
        <v>32</v>
      </c>
      <c r="F77" s="11" t="s">
        <v>17</v>
      </c>
      <c r="G77" s="12" t="s">
        <v>18</v>
      </c>
      <c r="H77" s="9">
        <v>1450</v>
      </c>
      <c r="I77" s="9">
        <v>362.5</v>
      </c>
      <c r="J77" s="10" t="s">
        <v>19</v>
      </c>
      <c r="K77" s="11" t="s">
        <v>347</v>
      </c>
      <c r="L77" s="10" t="s">
        <v>348</v>
      </c>
      <c r="M77" s="10" t="s">
        <v>349</v>
      </c>
      <c r="N77" s="13" t="s">
        <v>343</v>
      </c>
      <c r="O77" s="38" t="str">
        <f>VLOOKUP(A77,'[1]18-06-26'!$A$2:$T$89,20,0)</f>
        <v>Mix Alstroemeria ( 12 Inch ) 16     FF Sachet + Grass</v>
      </c>
      <c r="P77" s="38" t="str">
        <f>VLOOKUP(A77,'[1]25-06-26'!$A$2:$T$86,20,0)</f>
        <v>P n W Glad ( 14 Inch ) 16  Collect Payment Collect Payment Collect Payment Grass</v>
      </c>
      <c r="Q77" s="38" t="str">
        <f>VLOOKUP(A77,'[2]02-07-26'!$A$2:$T$106,20,0)</f>
        <v>P Asiatic ( 14 Inch ) 3     Grass</v>
      </c>
      <c r="R77" s="38" t="e">
        <f>VLOOKUP(A77,'[2]09-07-26'!$A$2:$T$89,20,0)</f>
        <v>#N/A</v>
      </c>
      <c r="S77" s="38" t="str">
        <f>VLOOKUP(A77,'[2]16-07-26'!$A$2:$T$95,20,0)</f>
        <v>G n W Car ( 14 Inch ) 16     FF Sachet + Grass</v>
      </c>
      <c r="T77" s="38" t="s">
        <v>462</v>
      </c>
      <c r="U77" s="38">
        <v>3</v>
      </c>
      <c r="V77" s="38"/>
      <c r="W77" s="38"/>
      <c r="X77" s="38"/>
      <c r="Y77" s="38"/>
      <c r="Z77" s="38" t="s">
        <v>452</v>
      </c>
      <c r="AA77" s="38"/>
      <c r="AB77" s="38"/>
      <c r="AC77" s="38"/>
      <c r="AD77" s="38"/>
    </row>
    <row r="78" spans="1:30" ht="107.1" hidden="1" customHeight="1" x14ac:dyDescent="0.3">
      <c r="A78" s="1">
        <v>884</v>
      </c>
      <c r="B78" s="17" t="s">
        <v>350</v>
      </c>
      <c r="C78" s="9">
        <v>9811192021</v>
      </c>
      <c r="D78" s="9" t="s">
        <v>351</v>
      </c>
      <c r="E78" s="9" t="s">
        <v>42</v>
      </c>
      <c r="F78" s="9" t="s">
        <v>17</v>
      </c>
      <c r="G78" s="9" t="s">
        <v>352</v>
      </c>
      <c r="H78" s="9">
        <v>1950</v>
      </c>
      <c r="I78" s="9">
        <f>H78/4</f>
        <v>487.5</v>
      </c>
      <c r="J78" s="10" t="s">
        <v>26</v>
      </c>
      <c r="K78" s="10" t="s">
        <v>353</v>
      </c>
      <c r="L78" s="9" t="s">
        <v>354</v>
      </c>
      <c r="M78" s="10" t="s">
        <v>355</v>
      </c>
      <c r="N78" s="13" t="s">
        <v>465</v>
      </c>
      <c r="O78" s="38" t="e">
        <f>VLOOKUP(A78,'[1]18-06-26'!$A$2:$T$89,20,0)</f>
        <v>#N/A</v>
      </c>
      <c r="P78" s="38" t="str">
        <f>VLOOKUP(A78,'[1]25-06-26'!$A$2:$T$86,20,0)</f>
        <v>Pur n P Car ( 14 Inch ) 16     FF Sachet + Grass</v>
      </c>
      <c r="Q78" s="38" t="str">
        <f>VLOOKUP(A78,'[2]02-07-26'!$A$2:$T$106,20,0)</f>
        <v>Sunflower ( 12 Inch ) 4    Collect Payment FF Sachet + Grass</v>
      </c>
      <c r="R78" s="38" t="str">
        <f>VLOOKUP(A78,'[2]09-07-26'!$A$2:$T$89,20,0)</f>
        <v>Rajni ( 14 Inch ) 16     Grass</v>
      </c>
      <c r="S78" s="38" t="str">
        <f>VLOOKUP(A78,'[2]16-07-26'!$A$2:$T$95,20,0)</f>
        <v>P Asiatic ( 14 Inch ) 3     Grass</v>
      </c>
      <c r="T78" s="38" t="s">
        <v>449</v>
      </c>
      <c r="U78" s="38">
        <v>22</v>
      </c>
      <c r="V78" s="38"/>
      <c r="W78" s="38"/>
      <c r="X78" s="38"/>
      <c r="Y78" s="38"/>
      <c r="Z78" s="38" t="s">
        <v>451</v>
      </c>
      <c r="AA78" s="38"/>
      <c r="AB78" s="38"/>
      <c r="AC78" s="38"/>
      <c r="AD78" s="38"/>
    </row>
    <row r="79" spans="1:30" ht="107.1" hidden="1" customHeight="1" x14ac:dyDescent="0.3">
      <c r="A79" s="1">
        <v>2076</v>
      </c>
      <c r="B79" s="17" t="s">
        <v>357</v>
      </c>
      <c r="C79" s="9">
        <v>9910172233</v>
      </c>
      <c r="D79" s="9" t="s">
        <v>358</v>
      </c>
      <c r="E79" s="10" t="s">
        <v>16</v>
      </c>
      <c r="F79" s="9" t="s">
        <v>17</v>
      </c>
      <c r="G79" s="9" t="s">
        <v>18</v>
      </c>
      <c r="H79" s="9">
        <v>1450</v>
      </c>
      <c r="I79" s="9">
        <v>362.5</v>
      </c>
      <c r="J79" s="10" t="s">
        <v>19</v>
      </c>
      <c r="K79" s="10" t="s">
        <v>359</v>
      </c>
      <c r="L79" s="9"/>
      <c r="M79" s="9"/>
      <c r="N79" s="13" t="s">
        <v>356</v>
      </c>
      <c r="O79" s="38" t="str">
        <f>VLOOKUP(A79,'[1]18-06-26'!$A$2:$T$89,20,0)</f>
        <v>Sunflower ( 12 Inch ) 4     FF Sachet + Grass</v>
      </c>
      <c r="P79" s="38" t="str">
        <f>VLOOKUP(A79,'[1]25-06-26'!$A$2:$T$86,20,0)</f>
        <v>Pur Eustoma ( 12 Inch ) 3     FF Sachet + Grass</v>
      </c>
      <c r="Q79" s="38" t="str">
        <f>VLOOKUP(A79,'[2]02-07-26'!$A$2:$T$106,20,0)</f>
        <v>O Asiatic ( 14 Inch ) 3     Grass</v>
      </c>
      <c r="R79" s="38" t="str">
        <f>VLOOKUP(A79,'[2]09-07-26'!$A$2:$T$89,20,0)</f>
        <v>Rajni ( 14 Inch ) 16     Grass</v>
      </c>
      <c r="S79" s="38" t="str">
        <f>VLOOKUP(A79,'[2]16-07-26'!$A$2:$T$95,20,0)</f>
        <v>G n W Car ( 14 Inch ) 16     FF Sachet + Grass</v>
      </c>
      <c r="T79" s="38" t="s">
        <v>448</v>
      </c>
      <c r="U79" s="38">
        <v>5</v>
      </c>
      <c r="V79" s="38"/>
      <c r="W79" s="38"/>
      <c r="X79" s="38"/>
      <c r="Y79" s="38"/>
      <c r="Z79" s="38" t="s">
        <v>452</v>
      </c>
      <c r="AA79" s="38"/>
      <c r="AB79" s="38"/>
      <c r="AC79" s="38"/>
      <c r="AD79" s="38"/>
    </row>
    <row r="80" spans="1:30" ht="107.1" hidden="1" customHeight="1" x14ac:dyDescent="0.3">
      <c r="A80" s="1">
        <v>236</v>
      </c>
      <c r="B80" s="14" t="s">
        <v>360</v>
      </c>
      <c r="C80" s="1">
        <v>8860079525</v>
      </c>
      <c r="D80" s="1" t="s">
        <v>123</v>
      </c>
      <c r="E80" s="1" t="s">
        <v>124</v>
      </c>
      <c r="F80" s="11" t="s">
        <v>361</v>
      </c>
      <c r="G80" s="12" t="s">
        <v>18</v>
      </c>
      <c r="H80" s="9">
        <v>1450</v>
      </c>
      <c r="I80" s="9">
        <v>362.5</v>
      </c>
      <c r="J80" s="29" t="s">
        <v>125</v>
      </c>
      <c r="K80" s="11" t="s">
        <v>362</v>
      </c>
      <c r="L80" s="9"/>
      <c r="M80" s="9"/>
      <c r="N80" s="13" t="s">
        <v>344</v>
      </c>
      <c r="O80" s="38" t="str">
        <f>VLOOKUP(A80,'[1]18-06-26'!$A$2:$T$89,20,0)</f>
        <v>P n W Glad ( 14 Inch ) 16     Grass</v>
      </c>
      <c r="P80" s="38" t="str">
        <f>VLOOKUP(A80,'[1]25-06-26'!$A$2:$T$86,20,0)</f>
        <v>Rajni ( 14 Inch ) 16     Grass</v>
      </c>
      <c r="Q80" s="38" t="str">
        <f>VLOOKUP(A80,'[2]02-07-26'!$A$2:$T$106,20,0)</f>
        <v>B Daisy ( 12 Inch ) 10     Grass</v>
      </c>
      <c r="R80" s="38" t="str">
        <f>VLOOKUP(A80,'[2]09-07-26'!$A$2:$T$89,20,0)</f>
        <v>P n W Car ( 14 Inch ) 16     FF Sachet + Grass</v>
      </c>
      <c r="S80" s="38" t="str">
        <f>VLOOKUP(A80,'[2]16-07-26'!$A$2:$T$95,20,0)</f>
        <v>Rajni ( 14 Inch ) 16     Grass</v>
      </c>
      <c r="T80" s="38" t="s">
        <v>449</v>
      </c>
      <c r="U80" s="38">
        <v>16</v>
      </c>
      <c r="V80" s="38"/>
      <c r="W80" s="38"/>
      <c r="X80" s="38"/>
      <c r="Y80" s="38"/>
      <c r="Z80" s="38" t="s">
        <v>451</v>
      </c>
      <c r="AA80" s="38"/>
      <c r="AB80" s="38"/>
      <c r="AC80" s="38"/>
      <c r="AD80" s="38"/>
    </row>
    <row r="81" spans="1:30" ht="107.1" hidden="1" customHeight="1" x14ac:dyDescent="0.3">
      <c r="A81" s="1">
        <v>366</v>
      </c>
      <c r="B81" s="14" t="s">
        <v>360</v>
      </c>
      <c r="C81" s="1">
        <v>8860079525</v>
      </c>
      <c r="D81" s="1" t="s">
        <v>123</v>
      </c>
      <c r="E81" s="1" t="s">
        <v>124</v>
      </c>
      <c r="F81" s="11" t="s">
        <v>363</v>
      </c>
      <c r="G81" s="12" t="s">
        <v>18</v>
      </c>
      <c r="H81" s="9">
        <v>1450</v>
      </c>
      <c r="I81" s="9">
        <v>362.5</v>
      </c>
      <c r="J81" s="29" t="s">
        <v>125</v>
      </c>
      <c r="K81" s="11" t="s">
        <v>364</v>
      </c>
      <c r="L81" s="9"/>
      <c r="M81" s="9"/>
      <c r="N81" s="13" t="s">
        <v>344</v>
      </c>
      <c r="O81" s="38" t="str">
        <f>VLOOKUP(A81,'[1]18-06-26'!$A$2:$T$89,20,0)</f>
        <v>O Asiatic ( 14 Inch ) 3     Grass</v>
      </c>
      <c r="P81" s="38" t="str">
        <f>VLOOKUP(A81,'[1]25-06-26'!$A$2:$T$86,20,0)</f>
        <v>Pur Eustoma ( 12 Inch ) 3     FF Sachet + Grass</v>
      </c>
      <c r="Q81" s="38" t="str">
        <f>VLOOKUP(A81,'[2]02-07-26'!$A$2:$T$106,20,0)</f>
        <v>P Asiatic ( 14 Inch ) 3     Grass</v>
      </c>
      <c r="R81" s="38" t="str">
        <f>VLOOKUP(A81,'[2]09-07-26'!$A$2:$T$89,20,0)</f>
        <v>W Asiatic ( 14 Inch ) 3     Grass</v>
      </c>
      <c r="S81" s="38" t="str">
        <f>VLOOKUP(A81,'[2]16-07-26'!$A$2:$T$95,20,0)</f>
        <v>O Asiatic ( 14 Inch ) 3     Grass</v>
      </c>
      <c r="T81" s="38" t="s">
        <v>444</v>
      </c>
      <c r="U81" s="38">
        <v>3</v>
      </c>
      <c r="V81" s="38"/>
      <c r="W81" s="38"/>
      <c r="X81" s="38"/>
      <c r="Y81" s="38"/>
      <c r="Z81" s="38" t="s">
        <v>451</v>
      </c>
      <c r="AA81" s="38"/>
      <c r="AB81" s="38"/>
      <c r="AC81" s="38"/>
      <c r="AD81" s="38"/>
    </row>
    <row r="82" spans="1:30" ht="107.1" hidden="1" customHeight="1" x14ac:dyDescent="0.3">
      <c r="A82" s="11">
        <v>894</v>
      </c>
      <c r="B82" s="34" t="s">
        <v>365</v>
      </c>
      <c r="C82" s="35" t="s">
        <v>366</v>
      </c>
      <c r="D82" s="35" t="s">
        <v>367</v>
      </c>
      <c r="E82" s="11" t="s">
        <v>32</v>
      </c>
      <c r="F82" s="11" t="s">
        <v>17</v>
      </c>
      <c r="G82" s="12" t="s">
        <v>18</v>
      </c>
      <c r="H82" s="9">
        <v>3000</v>
      </c>
      <c r="I82" s="9">
        <v>375</v>
      </c>
      <c r="J82" s="10" t="s">
        <v>310</v>
      </c>
      <c r="K82" s="11" t="s">
        <v>368</v>
      </c>
      <c r="L82" s="10" t="s">
        <v>158</v>
      </c>
      <c r="M82" s="9"/>
      <c r="N82" s="13" t="s">
        <v>313</v>
      </c>
      <c r="O82" s="38" t="str">
        <f>VLOOKUP(A82,'[1]18-06-26'!$A$2:$T$89,20,0)</f>
        <v>P Asiatic ( 14 Inch ) 3     Grass</v>
      </c>
      <c r="P82" s="38" t="str">
        <f>VLOOKUP(A82,'[1]25-06-26'!$A$2:$T$86,20,0)</f>
        <v>Rajni ( 14 Inch ) 15     Grass</v>
      </c>
      <c r="Q82" s="38" t="str">
        <f>VLOOKUP(A82,'[2]02-07-26'!$A$2:$T$106,20,0)</f>
        <v>B Daisy ( 12 Inch ) 15     Grass</v>
      </c>
      <c r="R82" s="38" t="str">
        <f>VLOOKUP(A82,'[2]09-07-26'!$A$2:$T$89,20,0)</f>
        <v>G Anthurium 3     Grass</v>
      </c>
      <c r="S82" s="38" t="e">
        <f>VLOOKUP(A82,'[2]16-07-26'!$A$2:$T$95,20,0)</f>
        <v>#N/A</v>
      </c>
      <c r="T82" s="38" t="s">
        <v>444</v>
      </c>
      <c r="U82" s="38">
        <v>3</v>
      </c>
      <c r="V82" s="38"/>
      <c r="W82" s="38"/>
      <c r="X82" s="38"/>
      <c r="Y82" s="38"/>
      <c r="Z82" s="38" t="s">
        <v>451</v>
      </c>
      <c r="AA82" s="38"/>
      <c r="AB82" s="38"/>
      <c r="AC82" s="38"/>
      <c r="AD82" s="38"/>
    </row>
    <row r="83" spans="1:30" ht="107.1" hidden="1" customHeight="1" x14ac:dyDescent="0.3">
      <c r="A83" s="1">
        <v>244</v>
      </c>
      <c r="B83" s="17" t="s">
        <v>369</v>
      </c>
      <c r="C83" s="22">
        <v>9958581403</v>
      </c>
      <c r="D83" s="10" t="s">
        <v>370</v>
      </c>
      <c r="E83" s="10" t="s">
        <v>42</v>
      </c>
      <c r="F83" s="11" t="s">
        <v>17</v>
      </c>
      <c r="G83" s="12" t="s">
        <v>18</v>
      </c>
      <c r="H83" s="9">
        <v>1450</v>
      </c>
      <c r="I83" s="9">
        <v>1450</v>
      </c>
      <c r="J83" s="11" t="s">
        <v>19</v>
      </c>
      <c r="K83" s="11" t="s">
        <v>371</v>
      </c>
      <c r="L83" s="9"/>
      <c r="M83" s="9"/>
      <c r="N83" s="13" t="s">
        <v>343</v>
      </c>
      <c r="O83" s="38" t="str">
        <f>VLOOKUP(A83,'[1]18-06-26'!$A$2:$T$89,20,0)</f>
        <v>Pur n P Car ( 14 inch ) 9     Grass</v>
      </c>
      <c r="P83" s="38" t="str">
        <f>VLOOKUP(A83,'[1]25-06-26'!$A$2:$T$86,20,0)</f>
        <v>Pur Eustoma ( 12 Inch ) 3     FF Sachet + Grass</v>
      </c>
      <c r="Q83" s="38" t="str">
        <f>VLOOKUP(A83,'[2]02-07-26'!$A$2:$T$106,20,0)</f>
        <v>Rajni ( 14 Inch ) 16     Grass</v>
      </c>
      <c r="R83" s="38" t="str">
        <f>VLOOKUP(A83,'[2]09-07-26'!$A$2:$T$89,20,0)</f>
        <v>O Asiatic ( 14 Inch ) 3     Grass</v>
      </c>
      <c r="S83" s="38" t="str">
        <f>VLOOKUP(A83,'[2]16-07-26'!$A$2:$T$95,20,0)</f>
        <v>P n Y Spray Daisy ( 14 Inch ) 5     FF Sachet + Grass</v>
      </c>
      <c r="T83" s="38" t="s">
        <v>449</v>
      </c>
      <c r="U83" s="38">
        <v>16</v>
      </c>
      <c r="V83" s="38"/>
      <c r="W83" s="38"/>
      <c r="X83" s="38"/>
      <c r="Y83" s="38"/>
      <c r="Z83" s="38" t="s">
        <v>451</v>
      </c>
      <c r="AA83" s="38"/>
      <c r="AB83" s="38"/>
      <c r="AC83" s="38"/>
      <c r="AD83" s="38"/>
    </row>
    <row r="84" spans="1:30" ht="107.1" hidden="1" customHeight="1" x14ac:dyDescent="0.3">
      <c r="A84" s="11" t="s">
        <v>372</v>
      </c>
      <c r="B84" s="17" t="s">
        <v>373</v>
      </c>
      <c r="C84" s="36" t="s">
        <v>374</v>
      </c>
      <c r="D84" s="37" t="s">
        <v>375</v>
      </c>
      <c r="E84" s="10" t="s">
        <v>376</v>
      </c>
      <c r="F84" s="10" t="s">
        <v>318</v>
      </c>
      <c r="G84" s="10" t="s">
        <v>377</v>
      </c>
      <c r="H84" s="9">
        <v>0</v>
      </c>
      <c r="I84" s="9">
        <v>30000</v>
      </c>
      <c r="J84" s="10" t="s">
        <v>480</v>
      </c>
      <c r="K84" s="10" t="s">
        <v>378</v>
      </c>
      <c r="L84" s="9"/>
      <c r="M84" s="9"/>
      <c r="N84" s="13" t="s">
        <v>344</v>
      </c>
      <c r="O84" s="38" t="e">
        <f>VLOOKUP(A84,'[1]18-06-26'!$A$2:$T$89,20,0)</f>
        <v>#N/A</v>
      </c>
      <c r="P84" s="38" t="e">
        <f>VLOOKUP(A84,'[1]25-06-26'!$A$2:$T$86,20,0)</f>
        <v>#N/A</v>
      </c>
      <c r="Q84" s="38" t="e">
        <f>VLOOKUP(A84,'[2]02-07-26'!$A$2:$T$106,20,0)</f>
        <v>#N/A</v>
      </c>
      <c r="R84" s="38" t="e">
        <f>VLOOKUP(A84,'[2]09-07-26'!$A$2:$T$89,20,0)</f>
        <v>#N/A</v>
      </c>
      <c r="S84" s="38" t="e">
        <f>VLOOKUP(A84,'[2]16-07-26'!$A$2:$T$95,20,0)</f>
        <v>#N/A</v>
      </c>
      <c r="T84" s="38" t="s">
        <v>485</v>
      </c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 spans="1:30" ht="107.1" hidden="1" customHeight="1" x14ac:dyDescent="0.3">
      <c r="A85" s="1">
        <v>309</v>
      </c>
      <c r="B85" s="17" t="s">
        <v>379</v>
      </c>
      <c r="C85" s="9">
        <v>9811806611</v>
      </c>
      <c r="D85" s="10" t="s">
        <v>380</v>
      </c>
      <c r="E85" s="1" t="s">
        <v>42</v>
      </c>
      <c r="F85" s="11" t="s">
        <v>17</v>
      </c>
      <c r="G85" s="12" t="s">
        <v>18</v>
      </c>
      <c r="H85" s="9">
        <v>2750</v>
      </c>
      <c r="I85" s="9">
        <v>687.5</v>
      </c>
      <c r="J85" s="11" t="s">
        <v>44</v>
      </c>
      <c r="K85" s="11" t="s">
        <v>381</v>
      </c>
      <c r="L85" s="9"/>
      <c r="M85" s="10" t="s">
        <v>382</v>
      </c>
      <c r="N85" s="13" t="s">
        <v>383</v>
      </c>
      <c r="O85" s="38" t="str">
        <f>VLOOKUP(A85,'[1]18-06-26'!$A$2:$T$89,20,0)</f>
        <v>P n W Glad ( 14 Inch ) 32     2 Limonium</v>
      </c>
      <c r="P85" s="38" t="str">
        <f>VLOOKUP(A85,'[1]25-06-26'!$A$2:$T$86,20,0)</f>
        <v>Pur n P Eustoma ( 12 Inch ) 6  Collect Payment Collect Payment Collect Payment 2 Limonium + FF Sachet</v>
      </c>
      <c r="Q85" s="38" t="str">
        <f>VLOOKUP(A85,'[2]02-07-26'!$A$2:$T$106,20,0)</f>
        <v xml:space="preserve">Pur n P Car ( 14 Inch ) 32     2 Gypsola + FF Sachet </v>
      </c>
      <c r="R85" s="38" t="e">
        <f>VLOOKUP(A85,'[2]09-07-26'!$A$2:$T$89,20,0)</f>
        <v>#N/A</v>
      </c>
      <c r="S85" s="38" t="str">
        <f>VLOOKUP(A85,'[2]16-07-26'!$A$2:$T$95,20,0)</f>
        <v>O Asiatic ( 14 Inch ) 6     2 Gypsola</v>
      </c>
      <c r="T85" s="38" t="s">
        <v>474</v>
      </c>
      <c r="U85" s="38">
        <v>10</v>
      </c>
      <c r="V85" s="38"/>
      <c r="W85" s="38"/>
      <c r="X85" s="38"/>
      <c r="Y85" s="38"/>
      <c r="Z85" s="38" t="s">
        <v>477</v>
      </c>
      <c r="AA85" s="38"/>
      <c r="AB85" s="38"/>
      <c r="AC85" s="38"/>
      <c r="AD85" s="38"/>
    </row>
    <row r="86" spans="1:30" ht="107.1" hidden="1" customHeight="1" x14ac:dyDescent="0.3">
      <c r="A86" s="1">
        <v>172</v>
      </c>
      <c r="B86" s="17" t="s">
        <v>384</v>
      </c>
      <c r="C86" s="1">
        <v>9811779661</v>
      </c>
      <c r="D86" s="11" t="s">
        <v>385</v>
      </c>
      <c r="E86" s="10" t="s">
        <v>134</v>
      </c>
      <c r="F86" s="11" t="s">
        <v>17</v>
      </c>
      <c r="G86" s="12" t="s">
        <v>18</v>
      </c>
      <c r="H86" s="9">
        <v>1450</v>
      </c>
      <c r="I86" s="9">
        <v>362.5</v>
      </c>
      <c r="J86" s="10" t="s">
        <v>19</v>
      </c>
      <c r="K86" s="11" t="s">
        <v>386</v>
      </c>
      <c r="L86" s="10" t="s">
        <v>387</v>
      </c>
      <c r="M86" s="9"/>
      <c r="N86" s="13" t="s">
        <v>243</v>
      </c>
      <c r="O86" s="38" t="e">
        <f>VLOOKUP(A86,'[1]18-06-26'!$A$2:$T$89,20,0)</f>
        <v>#N/A</v>
      </c>
      <c r="P86" s="38" t="e">
        <f>VLOOKUP(A86,'[1]25-06-26'!$A$2:$T$86,20,0)</f>
        <v>#N/A</v>
      </c>
      <c r="Q86" s="38" t="str">
        <f>VLOOKUP(A86,'[2]02-07-26'!$A$2:$T$106,20,0)</f>
        <v>Pur n P Car ( 14 Inch ) 16     FF Sachet + Grass</v>
      </c>
      <c r="R86" s="38" t="str">
        <f>VLOOKUP(A86,'[2]09-07-26'!$A$2:$T$89,20,0)</f>
        <v>Sunflower ( 12 Inch ) 4     FF Sachet + Grass</v>
      </c>
      <c r="S86" s="38" t="str">
        <f>VLOOKUP(A86,'[2]16-07-26'!$A$2:$T$95,20,0)</f>
        <v>P n Y Spray Daisy ( 14 Inch ) 5     FF Sachet + Grass</v>
      </c>
      <c r="T86" s="38" t="s">
        <v>449</v>
      </c>
      <c r="U86" s="38">
        <v>16</v>
      </c>
      <c r="V86" s="38"/>
      <c r="W86" s="38"/>
      <c r="X86" s="38"/>
      <c r="Y86" s="38"/>
      <c r="Z86" s="38" t="s">
        <v>451</v>
      </c>
      <c r="AA86" s="38"/>
      <c r="AB86" s="38"/>
      <c r="AC86" s="38"/>
      <c r="AD86" s="38"/>
    </row>
    <row r="87" spans="1:30" ht="107.1" hidden="1" customHeight="1" x14ac:dyDescent="0.3">
      <c r="A87" s="1">
        <v>2250</v>
      </c>
      <c r="B87" s="17" t="s">
        <v>324</v>
      </c>
      <c r="C87" s="9">
        <v>9810796682</v>
      </c>
      <c r="D87" s="10" t="s">
        <v>325</v>
      </c>
      <c r="E87" s="10" t="s">
        <v>16</v>
      </c>
      <c r="F87" s="10" t="s">
        <v>101</v>
      </c>
      <c r="G87" s="12" t="s">
        <v>18</v>
      </c>
      <c r="H87" s="9">
        <v>3088</v>
      </c>
      <c r="I87" s="9">
        <v>386</v>
      </c>
      <c r="J87" s="10" t="s">
        <v>388</v>
      </c>
      <c r="K87" s="10" t="s">
        <v>389</v>
      </c>
      <c r="L87" s="9"/>
      <c r="M87" s="9"/>
      <c r="N87" s="13" t="s">
        <v>393</v>
      </c>
      <c r="O87" s="38" t="e">
        <f>VLOOKUP(A87,'[1]18-06-26'!$A$2:$T$89,20,0)</f>
        <v>#N/A</v>
      </c>
      <c r="P87" s="38" t="str">
        <f>VLOOKUP(A87,'[1]25-06-26'!$A$2:$T$86,20,0)</f>
        <v>W Asiatic ( 14 Inch ) 3     Grass</v>
      </c>
      <c r="Q87" s="38" t="str">
        <f>VLOOKUP(A87,'[2]02-07-26'!$A$2:$T$106,20,0)</f>
        <v>O Asiatic ( 14 Inch ) 3     Grass</v>
      </c>
      <c r="R87" s="38" t="str">
        <f>VLOOKUP(A87,'[2]09-07-26'!$A$2:$T$89,20,0)</f>
        <v>P Asiatic ( 14 Inch ) 2     Grass</v>
      </c>
      <c r="S87" s="38" t="str">
        <f>VLOOKUP(A87,'[2]16-07-26'!$A$2:$T$95,20,0)</f>
        <v>O Asiatic ( 14 Inch ) 3     Grass</v>
      </c>
      <c r="T87" s="38" t="s">
        <v>446</v>
      </c>
      <c r="U87" s="38">
        <v>3</v>
      </c>
      <c r="V87" s="38"/>
      <c r="W87" s="38"/>
      <c r="X87" s="38"/>
      <c r="Y87" s="38"/>
      <c r="Z87" s="38" t="s">
        <v>451</v>
      </c>
      <c r="AA87" s="38"/>
      <c r="AB87" s="38"/>
      <c r="AC87" s="38"/>
      <c r="AD87" s="38"/>
    </row>
    <row r="88" spans="1:30" ht="107.1" hidden="1" customHeight="1" x14ac:dyDescent="0.3">
      <c r="A88" s="1">
        <v>3415</v>
      </c>
      <c r="B88" s="17" t="s">
        <v>390</v>
      </c>
      <c r="C88" s="9">
        <v>9868216569</v>
      </c>
      <c r="D88" s="10" t="s">
        <v>391</v>
      </c>
      <c r="E88" s="10" t="s">
        <v>114</v>
      </c>
      <c r="F88" s="10" t="s">
        <v>17</v>
      </c>
      <c r="G88" s="19" t="s">
        <v>74</v>
      </c>
      <c r="H88" s="9">
        <v>1450</v>
      </c>
      <c r="I88" s="9">
        <v>362.5</v>
      </c>
      <c r="J88" s="10" t="s">
        <v>19</v>
      </c>
      <c r="K88" s="10" t="s">
        <v>392</v>
      </c>
      <c r="L88" s="9"/>
      <c r="M88" s="9"/>
      <c r="N88" s="13" t="s">
        <v>243</v>
      </c>
      <c r="O88" s="38" t="e">
        <f>VLOOKUP(A88,'[1]18-06-26'!$A$2:$T$89,20,0)</f>
        <v>#N/A</v>
      </c>
      <c r="P88" s="38" t="e">
        <f>VLOOKUP(A88,'[1]25-06-26'!$A$2:$T$86,20,0)</f>
        <v>#N/A</v>
      </c>
      <c r="Q88" s="38" t="e">
        <f>VLOOKUP(A88,'[2]02-07-26'!$A$2:$T$106,20,0)</f>
        <v>#N/A</v>
      </c>
      <c r="R88" s="38" t="e">
        <f>VLOOKUP(A88,'[2]09-07-26'!$A$2:$T$89,20,0)</f>
        <v>#N/A</v>
      </c>
      <c r="S88" s="38" t="e">
        <f>VLOOKUP(A88,'[2]16-07-26'!$A$2:$T$95,20,0)</f>
        <v>#N/A</v>
      </c>
      <c r="T88" s="38" t="s">
        <v>447</v>
      </c>
      <c r="U88" s="38">
        <v>16</v>
      </c>
      <c r="V88" s="38"/>
      <c r="W88" s="38"/>
      <c r="X88" s="38"/>
      <c r="Y88" s="38"/>
      <c r="Z88" s="38" t="s">
        <v>452</v>
      </c>
      <c r="AA88" s="38"/>
      <c r="AB88" s="38"/>
      <c r="AC88" s="38"/>
      <c r="AD88" s="38"/>
    </row>
    <row r="89" spans="1:30" ht="107.1" hidden="1" customHeight="1" x14ac:dyDescent="0.3">
      <c r="A89" s="1">
        <v>3212</v>
      </c>
      <c r="B89" s="17" t="s">
        <v>394</v>
      </c>
      <c r="C89" s="22">
        <v>9958849523</v>
      </c>
      <c r="D89" s="10" t="s">
        <v>395</v>
      </c>
      <c r="E89" s="10" t="s">
        <v>16</v>
      </c>
      <c r="F89" s="10" t="s">
        <v>17</v>
      </c>
      <c r="G89" s="19" t="s">
        <v>74</v>
      </c>
      <c r="H89" s="9">
        <v>1450</v>
      </c>
      <c r="I89" s="9">
        <v>1450</v>
      </c>
      <c r="J89" s="11" t="s">
        <v>19</v>
      </c>
      <c r="K89" s="10" t="s">
        <v>396</v>
      </c>
      <c r="L89" s="9"/>
      <c r="M89" s="9"/>
      <c r="N89" s="13" t="s">
        <v>343</v>
      </c>
      <c r="O89" s="38" t="str">
        <f>VLOOKUP(A89,'[1]18-06-26'!$A$2:$T$89,20,0)</f>
        <v>P Asiatic ( 14 Inch ) 2     Grass</v>
      </c>
      <c r="P89" s="38" t="str">
        <f>VLOOKUP(A89,'[1]25-06-26'!$A$2:$T$86,20,0)</f>
        <v>Pur n P Car ( 14 Inch ) 16     FF Sachet + Grass</v>
      </c>
      <c r="Q89" s="38" t="str">
        <f>VLOOKUP(A89,'[2]02-07-26'!$A$2:$T$106,20,0)</f>
        <v>P n Y Spray Daisy ( 14 Inch ) 5     FF Sachet + Grass</v>
      </c>
      <c r="R89" s="38" t="str">
        <f>VLOOKUP(A89,'[2]09-07-26'!$A$2:$T$89,20,0)</f>
        <v>Rajni ( 14 Inch ) 16     Grass</v>
      </c>
      <c r="S89" s="38" t="str">
        <f>VLOOKUP(A89,'[2]16-07-26'!$A$2:$T$95,20,0)</f>
        <v>O Asiatic 2     Grass</v>
      </c>
      <c r="T89" s="38" t="s">
        <v>449</v>
      </c>
      <c r="U89" s="38">
        <v>16</v>
      </c>
      <c r="V89" s="38"/>
      <c r="W89" s="38"/>
      <c r="X89" s="38"/>
      <c r="Y89" s="38"/>
      <c r="Z89" s="38" t="s">
        <v>451</v>
      </c>
      <c r="AA89" s="38"/>
      <c r="AB89" s="38"/>
      <c r="AC89" s="38"/>
      <c r="AD89" s="38"/>
    </row>
    <row r="90" spans="1:30" ht="107.1" hidden="1" customHeight="1" x14ac:dyDescent="0.3">
      <c r="A90" s="1">
        <v>3363</v>
      </c>
      <c r="B90" s="17" t="s">
        <v>397</v>
      </c>
      <c r="C90" s="9">
        <v>9819952391</v>
      </c>
      <c r="D90" s="10" t="s">
        <v>398</v>
      </c>
      <c r="E90" s="10" t="s">
        <v>32</v>
      </c>
      <c r="F90" s="10" t="s">
        <v>17</v>
      </c>
      <c r="G90" s="19" t="s">
        <v>399</v>
      </c>
      <c r="H90" s="9">
        <v>1450</v>
      </c>
      <c r="I90" s="9">
        <v>362.5</v>
      </c>
      <c r="J90" s="11" t="s">
        <v>19</v>
      </c>
      <c r="K90" s="10" t="s">
        <v>400</v>
      </c>
      <c r="L90" s="9"/>
      <c r="M90" s="10" t="s">
        <v>401</v>
      </c>
      <c r="N90" s="13" t="s">
        <v>243</v>
      </c>
      <c r="O90" s="38" t="e">
        <f>VLOOKUP(A90,'[1]18-06-26'!$A$2:$T$89,20,0)</f>
        <v>#N/A</v>
      </c>
      <c r="P90" s="38" t="e">
        <f>VLOOKUP(A90,'[1]25-06-26'!$A$2:$T$86,20,0)</f>
        <v>#N/A</v>
      </c>
      <c r="Q90" s="38" t="e">
        <f>VLOOKUP(A90,'[2]02-07-26'!$A$2:$T$106,20,0)</f>
        <v>#N/A</v>
      </c>
      <c r="R90" s="38" t="e">
        <f>VLOOKUP(A90,'[2]09-07-26'!$A$2:$T$89,20,0)</f>
        <v>#N/A</v>
      </c>
      <c r="S90" s="38" t="e">
        <f>VLOOKUP(A90,'[2]16-07-26'!$A$2:$T$95,20,0)</f>
        <v>#N/A</v>
      </c>
      <c r="T90" s="38" t="s">
        <v>441</v>
      </c>
      <c r="U90" s="38">
        <v>16</v>
      </c>
      <c r="V90" s="38"/>
      <c r="W90" s="38"/>
      <c r="X90" s="38"/>
      <c r="Y90" s="38"/>
      <c r="Z90" s="38" t="s">
        <v>452</v>
      </c>
      <c r="AA90" s="38"/>
      <c r="AB90" s="38"/>
      <c r="AC90" s="38"/>
      <c r="AD90" s="38"/>
    </row>
    <row r="91" spans="1:30" ht="107.1" hidden="1" customHeight="1" x14ac:dyDescent="0.3">
      <c r="A91" s="1">
        <v>3364</v>
      </c>
      <c r="B91" s="17" t="s">
        <v>397</v>
      </c>
      <c r="C91" s="9">
        <v>9819952391</v>
      </c>
      <c r="D91" s="10" t="s">
        <v>398</v>
      </c>
      <c r="E91" s="10" t="s">
        <v>32</v>
      </c>
      <c r="F91" s="10" t="s">
        <v>101</v>
      </c>
      <c r="G91" s="19" t="s">
        <v>399</v>
      </c>
      <c r="H91" s="9">
        <v>1450</v>
      </c>
      <c r="I91" s="9">
        <v>362.5</v>
      </c>
      <c r="J91" s="11" t="s">
        <v>19</v>
      </c>
      <c r="K91" s="10" t="s">
        <v>402</v>
      </c>
      <c r="L91" s="9"/>
      <c r="M91" s="10" t="s">
        <v>403</v>
      </c>
      <c r="N91" s="13" t="s">
        <v>243</v>
      </c>
      <c r="O91" s="38" t="e">
        <f>VLOOKUP(A91,'[1]18-06-26'!$A$2:$T$89,20,0)</f>
        <v>#N/A</v>
      </c>
      <c r="P91" s="38" t="e">
        <f>VLOOKUP(A91,'[1]25-06-26'!$A$2:$T$86,20,0)</f>
        <v>#N/A</v>
      </c>
      <c r="Q91" s="38" t="e">
        <f>VLOOKUP(A91,'[2]02-07-26'!$A$2:$T$106,20,0)</f>
        <v>#N/A</v>
      </c>
      <c r="R91" s="38" t="e">
        <f>VLOOKUP(A91,'[2]09-07-26'!$A$2:$T$89,20,0)</f>
        <v>#N/A</v>
      </c>
      <c r="S91" s="38" t="e">
        <f>VLOOKUP(A91,'[2]16-07-26'!$A$2:$T$95,20,0)</f>
        <v>#N/A</v>
      </c>
      <c r="T91" s="38" t="s">
        <v>441</v>
      </c>
      <c r="U91" s="38">
        <v>16</v>
      </c>
      <c r="V91" s="38"/>
      <c r="W91" s="38"/>
      <c r="X91" s="38"/>
      <c r="Y91" s="38"/>
      <c r="Z91" s="38" t="s">
        <v>452</v>
      </c>
      <c r="AA91" s="38"/>
      <c r="AB91" s="38"/>
      <c r="AC91" s="38"/>
      <c r="AD91" s="38"/>
    </row>
    <row r="92" spans="1:30" ht="107.1" hidden="1" customHeight="1" x14ac:dyDescent="0.3">
      <c r="A92" s="1">
        <v>2716</v>
      </c>
      <c r="B92" s="17" t="s">
        <v>404</v>
      </c>
      <c r="C92" s="9">
        <v>9891744488</v>
      </c>
      <c r="D92" s="10" t="s">
        <v>405</v>
      </c>
      <c r="E92" s="10" t="s">
        <v>42</v>
      </c>
      <c r="F92" s="10" t="s">
        <v>17</v>
      </c>
      <c r="G92" s="12" t="s">
        <v>18</v>
      </c>
      <c r="H92" s="9">
        <v>2750</v>
      </c>
      <c r="I92" s="9">
        <v>687.5</v>
      </c>
      <c r="J92" s="10" t="s">
        <v>44</v>
      </c>
      <c r="K92" s="10" t="s">
        <v>406</v>
      </c>
      <c r="L92" s="9"/>
      <c r="M92" s="10" t="s">
        <v>407</v>
      </c>
      <c r="N92" s="13" t="s">
        <v>383</v>
      </c>
      <c r="O92" s="38" t="str">
        <f>VLOOKUP(A92,'[1]18-06-26'!$A$2:$T$89,20,0)</f>
        <v xml:space="preserve">P Asiatic ( 14 Inch ) 3 P n W Glad ( 14 Inch ) 16   2 Gypsola </v>
      </c>
      <c r="P92" s="38" t="str">
        <f>VLOOKUP(A92,'[1]25-06-26'!$A$2:$T$86,20,0)</f>
        <v>Pur n P Eustoma ( 12 Inch ) 4 Pur n P Car ( 14 Inch ) 16   2 Limonium + FF Sachet</v>
      </c>
      <c r="Q92" s="38" t="str">
        <f>VLOOKUP(A92,'[2]02-07-26'!$A$2:$T$106,20,0)</f>
        <v xml:space="preserve">P n W Spray Daisy ( 14 Inch ) 5 Rajni ( 14 Inch ) 16   2 Gypsola + FF Sachet </v>
      </c>
      <c r="R92" s="38" t="str">
        <f>VLOOKUP(A92,'[2]09-07-26'!$A$2:$T$89,20,0)</f>
        <v>Sunflower ( 12 Inch ) 4 Mix Alstroemeria ( 12 Inch ) 16   2 Limonium + FF Sachet</v>
      </c>
      <c r="S92" s="38" t="str">
        <f>VLOOKUP(A92,'[2]16-07-26'!$A$2:$T$95,20,0)</f>
        <v>O Asiatic ( 14 Inch ) 3 P n W Glad ( 14 Inch ) 16   2 Gypsola</v>
      </c>
      <c r="T92" s="38" t="s">
        <v>475</v>
      </c>
      <c r="U92" s="38">
        <v>4</v>
      </c>
      <c r="V92" s="38" t="s">
        <v>463</v>
      </c>
      <c r="W92" s="38">
        <v>16</v>
      </c>
      <c r="X92" s="38"/>
      <c r="Y92" s="38"/>
      <c r="Z92" s="38" t="s">
        <v>477</v>
      </c>
      <c r="AA92" s="38"/>
      <c r="AB92" s="38"/>
      <c r="AC92" s="38"/>
      <c r="AD92" s="38"/>
    </row>
    <row r="93" spans="1:30" ht="107.1" hidden="1" customHeight="1" x14ac:dyDescent="0.3">
      <c r="A93" s="11" t="s">
        <v>408</v>
      </c>
      <c r="B93" s="17" t="s">
        <v>409</v>
      </c>
      <c r="C93" s="9">
        <v>9810699839</v>
      </c>
      <c r="D93" s="10" t="s">
        <v>410</v>
      </c>
      <c r="E93" s="10" t="s">
        <v>219</v>
      </c>
      <c r="F93" s="10" t="s">
        <v>17</v>
      </c>
      <c r="G93" s="10" t="s">
        <v>341</v>
      </c>
      <c r="H93" s="9">
        <v>2500</v>
      </c>
      <c r="I93" s="9">
        <v>2500</v>
      </c>
      <c r="J93" s="10" t="s">
        <v>161</v>
      </c>
      <c r="K93" s="10" t="s">
        <v>411</v>
      </c>
      <c r="L93" s="9"/>
      <c r="M93" s="9"/>
      <c r="N93" s="13" t="s">
        <v>344</v>
      </c>
      <c r="O93" s="38" t="e">
        <f>VLOOKUP(A93,'[1]18-06-26'!$A$2:$T$89,20,0)</f>
        <v>#N/A</v>
      </c>
      <c r="P93" s="38" t="e">
        <f>VLOOKUP(A93,'[1]25-06-26'!$A$2:$T$86,20,0)</f>
        <v>#N/A</v>
      </c>
      <c r="Q93" s="38" t="e">
        <f>VLOOKUP(A93,'[2]02-07-26'!$A$2:$T$106,20,0)</f>
        <v>#N/A</v>
      </c>
      <c r="R93" s="38" t="e">
        <f>VLOOKUP(A93,'[2]09-07-26'!$A$2:$T$89,20,0)</f>
        <v>#N/A</v>
      </c>
      <c r="S93" s="38" t="e">
        <f>VLOOKUP(A93,'[2]16-07-26'!$A$2:$T$95,20,0)</f>
        <v>#N/A</v>
      </c>
      <c r="T93" s="38" t="s">
        <v>456</v>
      </c>
      <c r="U93" s="38" t="s">
        <v>457</v>
      </c>
      <c r="V93" s="38" t="s">
        <v>458</v>
      </c>
      <c r="W93" s="38" t="s">
        <v>455</v>
      </c>
      <c r="X93" s="38"/>
      <c r="Y93" s="38"/>
      <c r="Z93" s="38"/>
      <c r="AA93" s="38"/>
      <c r="AB93" s="38"/>
      <c r="AC93" s="38"/>
      <c r="AD93" s="38"/>
    </row>
    <row r="94" spans="1:30" ht="107.1" hidden="1" customHeight="1" x14ac:dyDescent="0.3">
      <c r="A94" s="1">
        <v>3241</v>
      </c>
      <c r="B94" s="17" t="s">
        <v>412</v>
      </c>
      <c r="C94" s="9">
        <v>8800994226</v>
      </c>
      <c r="D94" s="10" t="s">
        <v>413</v>
      </c>
      <c r="E94" s="10" t="s">
        <v>32</v>
      </c>
      <c r="F94" s="10" t="s">
        <v>17</v>
      </c>
      <c r="G94" s="12" t="s">
        <v>18</v>
      </c>
      <c r="H94" s="9">
        <v>1450</v>
      </c>
      <c r="I94" s="9">
        <v>362.5</v>
      </c>
      <c r="J94" s="10" t="s">
        <v>19</v>
      </c>
      <c r="K94" s="10" t="s">
        <v>414</v>
      </c>
      <c r="L94" s="9"/>
      <c r="M94" s="10" t="s">
        <v>336</v>
      </c>
      <c r="N94" s="13" t="s">
        <v>343</v>
      </c>
      <c r="O94" s="38" t="str">
        <f>VLOOKUP(A94,'[1]18-06-26'!$A$2:$T$89,20,0)</f>
        <v>Pur n P Car ( 14 inch ) 16     FF Sachet + Grass</v>
      </c>
      <c r="P94" s="38" t="str">
        <f>VLOOKUP(A94,'[1]25-06-26'!$A$2:$T$86,20,0)</f>
        <v>O Asiatic ( 14 Inch ) 3     Grass</v>
      </c>
      <c r="Q94" s="38" t="str">
        <f>VLOOKUP(A94,'[2]02-07-26'!$A$2:$T$106,20,0)</f>
        <v>Sunflower ( 12 Inch ) 4    Collect Payment FF Sachet + Grass</v>
      </c>
      <c r="R94" s="38" t="str">
        <f>VLOOKUP(A94,'[2]09-07-26'!$A$2:$T$89,20,0)</f>
        <v>Rajni ( 14 Inch ) 16     Grass</v>
      </c>
      <c r="S94" s="38" t="str">
        <f>VLOOKUP(A94,'[2]16-07-26'!$A$2:$T$95,20,0)</f>
        <v>P n Y Spray Daisy ( 14 Inch ) 5     FF Sachet + Grass</v>
      </c>
      <c r="T94" s="38" t="s">
        <v>449</v>
      </c>
      <c r="U94" s="38">
        <v>16</v>
      </c>
      <c r="V94" s="38"/>
      <c r="W94" s="38"/>
      <c r="X94" s="38"/>
      <c r="Y94" s="38"/>
      <c r="Z94" s="38" t="s">
        <v>451</v>
      </c>
      <c r="AA94" s="38"/>
      <c r="AB94" s="38"/>
      <c r="AC94" s="38"/>
      <c r="AD94" s="38"/>
    </row>
    <row r="95" spans="1:30" ht="107.1" hidden="1" customHeight="1" x14ac:dyDescent="0.3">
      <c r="A95" s="1">
        <v>2406</v>
      </c>
      <c r="B95" s="17" t="s">
        <v>415</v>
      </c>
      <c r="C95" s="9">
        <v>9873458198</v>
      </c>
      <c r="D95" s="10" t="s">
        <v>416</v>
      </c>
      <c r="E95" s="10" t="s">
        <v>16</v>
      </c>
      <c r="F95" s="10" t="s">
        <v>17</v>
      </c>
      <c r="G95" s="10" t="s">
        <v>43</v>
      </c>
      <c r="H95" s="9">
        <v>1450</v>
      </c>
      <c r="I95" s="9">
        <v>362.5</v>
      </c>
      <c r="J95" s="10" t="s">
        <v>19</v>
      </c>
      <c r="K95" s="10" t="s">
        <v>417</v>
      </c>
      <c r="L95" s="10"/>
      <c r="M95" s="10" t="s">
        <v>69</v>
      </c>
      <c r="N95" s="13" t="s">
        <v>243</v>
      </c>
      <c r="O95" s="38" t="str">
        <f>VLOOKUP(A95,'[1]18-06-26'!$A$2:$T$89,20,0)</f>
        <v>Sunflower ( 12 Inch ) 2 P n W Glad ( 14 Inch ) 7   FF Sachet + Grass</v>
      </c>
      <c r="P95" s="38" t="str">
        <f>VLOOKUP(A95,'[1]25-06-26'!$A$2:$T$86,20,0)</f>
        <v>P Asiatic ( 14 Inch ) 2 B Daisy ( 12 Inch ) 7   Grass</v>
      </c>
      <c r="Q95" s="38" t="str">
        <f>VLOOKUP(A95,'[2]02-07-26'!$A$2:$T$106,20,0)</f>
        <v>P Spray Daisy ( 14 Inch ) 3 Rajni ( 14 Inch ) 7   FF Sachet + Grass</v>
      </c>
      <c r="R95" s="38" t="str">
        <f>VLOOKUP(A95,'[2]09-07-26'!$A$2:$T$89,20,0)</f>
        <v>Sunflower ( 12 Inch ) 2 P n W Car ( 14 Inch ) 7   FF Sachet + Grass</v>
      </c>
      <c r="S95" s="38" t="str">
        <f>VLOOKUP(A95,'[2]16-07-26'!$A$2:$T$95,20,0)</f>
        <v>O Asiatic ( 14 Inch ) 2 P n W Glad ( 14 Inch ) 7   Grass</v>
      </c>
      <c r="T95" s="38" t="s">
        <v>462</v>
      </c>
      <c r="U95" s="38">
        <v>2</v>
      </c>
      <c r="V95" s="38" t="s">
        <v>461</v>
      </c>
      <c r="W95" s="38">
        <v>7</v>
      </c>
      <c r="X95" s="38"/>
      <c r="Y95" s="38"/>
      <c r="Z95" s="38" t="s">
        <v>452</v>
      </c>
      <c r="AA95" s="38"/>
      <c r="AB95" s="38"/>
      <c r="AC95" s="38"/>
      <c r="AD95" s="38"/>
    </row>
    <row r="96" spans="1:30" ht="153.69999999999999" hidden="1" x14ac:dyDescent="0.3">
      <c r="A96" s="1">
        <v>2684</v>
      </c>
      <c r="B96" s="17" t="s">
        <v>432</v>
      </c>
      <c r="C96" s="9">
        <v>9958428097</v>
      </c>
      <c r="D96" s="10" t="s">
        <v>433</v>
      </c>
      <c r="E96" s="10" t="s">
        <v>42</v>
      </c>
      <c r="F96" s="10" t="s">
        <v>17</v>
      </c>
      <c r="G96" s="40" t="s">
        <v>18</v>
      </c>
      <c r="H96" s="10">
        <v>2750</v>
      </c>
      <c r="I96" s="9">
        <f>H96/4</f>
        <v>687.5</v>
      </c>
      <c r="J96" s="10" t="s">
        <v>44</v>
      </c>
      <c r="K96" s="10" t="s">
        <v>434</v>
      </c>
      <c r="L96" s="9"/>
      <c r="M96" s="10" t="s">
        <v>435</v>
      </c>
      <c r="N96" s="13" t="s">
        <v>21</v>
      </c>
      <c r="O96" s="38" t="str">
        <f>VLOOKUP(A96,'[1]18-06-26'!$A$2:$T$89,20,0)</f>
        <v xml:space="preserve">O Asiatic ( 14 Inch ) 3 P n W Glad ( 14 Inch ) 16   2 Gypsola </v>
      </c>
      <c r="P96" s="38" t="str">
        <f>VLOOKUP(A96,'[1]25-06-26'!$A$2:$T$86,20,0)</f>
        <v>P n Y Spray Daisy ( 14 Inch ) 4 B Daisy ( 12 Inch ) 16   2 Limonium + FF Sachet</v>
      </c>
      <c r="Q96" s="38" t="e">
        <f>VLOOKUP(A96,'[2]02-07-26'!$A$2:$T$106,20,0)</f>
        <v>#N/A</v>
      </c>
      <c r="R96" s="38" t="e">
        <f>VLOOKUP(A96,'[2]09-07-26'!$A$2:$T$89,20,0)</f>
        <v>#N/A</v>
      </c>
      <c r="S96" s="38" t="e">
        <f>VLOOKUP(A96,'[2]16-07-26'!$A$2:$T$95,20,0)</f>
        <v>#N/A</v>
      </c>
      <c r="T96" s="38" t="s">
        <v>444</v>
      </c>
      <c r="U96" s="38">
        <v>3</v>
      </c>
      <c r="V96" s="38" t="s">
        <v>463</v>
      </c>
      <c r="W96" s="38">
        <v>16</v>
      </c>
      <c r="X96" s="38"/>
      <c r="Y96" s="38"/>
      <c r="Z96" s="38" t="s">
        <v>476</v>
      </c>
      <c r="AA96" s="38"/>
      <c r="AB96" s="38"/>
      <c r="AC96" s="38"/>
      <c r="AD96" s="38"/>
    </row>
  </sheetData>
  <autoFilter ref="A1:AD96" xr:uid="{D7FCB998-42EE-471C-9242-4C4C5F39EF42}">
    <filterColumn colId="9">
      <filters>
        <filter val="Special Project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118A-4328-42F9-B47D-AC9765759374}">
  <dimension ref="A1:R60"/>
  <sheetViews>
    <sheetView tabSelected="1" workbookViewId="0">
      <pane xSplit="1" ySplit="1" topLeftCell="B24" activePane="bottomRight" state="frozen"/>
      <selection pane="topRight" activeCell="B1" sqref="B1"/>
      <selection pane="bottomLeft" activeCell="A2" sqref="A2"/>
      <selection pane="bottomRight" activeCell="I31" sqref="I31"/>
    </sheetView>
  </sheetViews>
  <sheetFormatPr defaultRowHeight="14" x14ac:dyDescent="0.3"/>
  <sheetData>
    <row r="1" spans="1:18" ht="41.95" x14ac:dyDescent="0.3">
      <c r="A1" s="41"/>
      <c r="B1" s="41" t="s">
        <v>486</v>
      </c>
      <c r="C1" s="42" t="s">
        <v>487</v>
      </c>
      <c r="D1" s="42" t="s">
        <v>488</v>
      </c>
      <c r="E1" s="42" t="s">
        <v>91</v>
      </c>
      <c r="F1" s="42" t="s">
        <v>489</v>
      </c>
      <c r="G1" s="42" t="s">
        <v>490</v>
      </c>
      <c r="H1" s="42" t="s">
        <v>198</v>
      </c>
      <c r="I1" s="42" t="s">
        <v>491</v>
      </c>
      <c r="J1" s="42" t="s">
        <v>110</v>
      </c>
      <c r="K1" s="42" t="s">
        <v>492</v>
      </c>
      <c r="L1" s="43" t="s">
        <v>493</v>
      </c>
      <c r="M1" s="43" t="s">
        <v>494</v>
      </c>
      <c r="N1" s="43" t="s">
        <v>495</v>
      </c>
      <c r="O1" s="44"/>
      <c r="P1" s="45" t="s">
        <v>496</v>
      </c>
      <c r="Q1" s="45" t="s">
        <v>497</v>
      </c>
      <c r="R1" s="44"/>
    </row>
    <row r="2" spans="1:18" x14ac:dyDescent="0.3">
      <c r="A2" s="46">
        <v>999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8">
        <f t="shared" ref="O2:O7" si="0">SUM(B2:N2)</f>
        <v>0</v>
      </c>
      <c r="P2" s="48">
        <f>(O2*A2)/4</f>
        <v>0</v>
      </c>
      <c r="Q2" s="48"/>
      <c r="R2" s="48"/>
    </row>
    <row r="3" spans="1:18" x14ac:dyDescent="0.3">
      <c r="A3" s="46">
        <v>1450</v>
      </c>
      <c r="B3" s="47"/>
      <c r="C3" s="47">
        <v>14.5</v>
      </c>
      <c r="D3" s="47">
        <v>1.5</v>
      </c>
      <c r="E3" s="47">
        <v>0.5</v>
      </c>
      <c r="F3" s="47"/>
      <c r="G3" s="47">
        <v>16</v>
      </c>
      <c r="H3" s="47"/>
      <c r="I3" s="47">
        <v>7.5</v>
      </c>
      <c r="J3" s="49"/>
      <c r="K3" s="49">
        <v>7.5</v>
      </c>
      <c r="L3" s="47"/>
      <c r="M3" s="47"/>
      <c r="N3" s="47">
        <v>2.5</v>
      </c>
      <c r="O3" s="48">
        <f t="shared" si="0"/>
        <v>50</v>
      </c>
      <c r="P3" s="48">
        <f>(O3*A3)/4</f>
        <v>18125</v>
      </c>
      <c r="Q3" s="48"/>
      <c r="R3" s="48"/>
    </row>
    <row r="4" spans="1:18" x14ac:dyDescent="0.3">
      <c r="A4" s="46">
        <v>1950</v>
      </c>
      <c r="B4" s="47"/>
      <c r="C4" s="47">
        <v>3</v>
      </c>
      <c r="D4" s="47">
        <v>0.5</v>
      </c>
      <c r="E4" s="47">
        <v>0.5</v>
      </c>
      <c r="F4" s="47"/>
      <c r="G4" s="47">
        <v>5</v>
      </c>
      <c r="H4" s="47"/>
      <c r="I4" s="47">
        <v>2</v>
      </c>
      <c r="J4" s="47"/>
      <c r="K4" s="47">
        <v>2</v>
      </c>
      <c r="L4" s="47"/>
      <c r="M4" s="47"/>
      <c r="N4" s="47">
        <v>1</v>
      </c>
      <c r="O4" s="48">
        <f t="shared" si="0"/>
        <v>14</v>
      </c>
      <c r="P4" s="48">
        <f>(O4*A4)/4</f>
        <v>6825</v>
      </c>
      <c r="Q4" s="48"/>
      <c r="R4" s="48"/>
    </row>
    <row r="5" spans="1:18" x14ac:dyDescent="0.3">
      <c r="A5" s="46">
        <v>2750</v>
      </c>
      <c r="B5" s="47"/>
      <c r="C5" s="47"/>
      <c r="D5" s="47">
        <v>1.5</v>
      </c>
      <c r="E5" s="47"/>
      <c r="F5" s="47"/>
      <c r="G5" s="47"/>
      <c r="H5" s="47"/>
      <c r="I5" s="50">
        <v>1.5</v>
      </c>
      <c r="J5" s="50">
        <v>1</v>
      </c>
      <c r="K5" s="50">
        <v>3.5</v>
      </c>
      <c r="L5" s="50"/>
      <c r="M5" s="47"/>
      <c r="N5" s="47">
        <v>0.5</v>
      </c>
      <c r="O5" s="48">
        <f t="shared" si="0"/>
        <v>8</v>
      </c>
      <c r="P5" s="48">
        <f>(O5*A5)/4</f>
        <v>5500</v>
      </c>
      <c r="Q5" s="48"/>
      <c r="R5" s="48"/>
    </row>
    <row r="6" spans="1:18" x14ac:dyDescent="0.3">
      <c r="A6" s="46">
        <v>4750</v>
      </c>
      <c r="B6" s="47"/>
      <c r="C6" s="47"/>
      <c r="D6" s="47"/>
      <c r="E6" s="47"/>
      <c r="F6" s="47"/>
      <c r="G6" s="47">
        <v>0.5</v>
      </c>
      <c r="H6" s="47"/>
      <c r="I6" s="47"/>
      <c r="J6" s="47"/>
      <c r="K6" s="47"/>
      <c r="L6" s="47"/>
      <c r="M6" s="47"/>
      <c r="N6" s="47">
        <v>0.5</v>
      </c>
      <c r="O6" s="48">
        <f t="shared" si="0"/>
        <v>1</v>
      </c>
      <c r="P6" s="48">
        <f>(O6*A6)/4</f>
        <v>1187.5</v>
      </c>
      <c r="Q6" s="48"/>
      <c r="R6" s="48"/>
    </row>
    <row r="7" spans="1:18" x14ac:dyDescent="0.3">
      <c r="A7" s="41" t="s">
        <v>498</v>
      </c>
      <c r="B7" s="51">
        <f t="shared" ref="B7:N7" si="1">SUM(B2:B6)</f>
        <v>0</v>
      </c>
      <c r="C7" s="51">
        <f t="shared" si="1"/>
        <v>17.5</v>
      </c>
      <c r="D7" s="51">
        <f t="shared" si="1"/>
        <v>3.5</v>
      </c>
      <c r="E7" s="51">
        <f t="shared" si="1"/>
        <v>1</v>
      </c>
      <c r="F7" s="51">
        <f t="shared" si="1"/>
        <v>0</v>
      </c>
      <c r="G7" s="51">
        <f t="shared" si="1"/>
        <v>21.5</v>
      </c>
      <c r="H7" s="51">
        <f t="shared" si="1"/>
        <v>0</v>
      </c>
      <c r="I7" s="51">
        <f t="shared" si="1"/>
        <v>11</v>
      </c>
      <c r="J7" s="51">
        <f t="shared" si="1"/>
        <v>1</v>
      </c>
      <c r="K7" s="51">
        <f t="shared" si="1"/>
        <v>13</v>
      </c>
      <c r="L7" s="51">
        <f t="shared" si="1"/>
        <v>0</v>
      </c>
      <c r="M7" s="51">
        <f t="shared" si="1"/>
        <v>0</v>
      </c>
      <c r="N7" s="51">
        <f t="shared" si="1"/>
        <v>4.5</v>
      </c>
      <c r="O7" s="48">
        <f t="shared" si="0"/>
        <v>73</v>
      </c>
      <c r="P7" s="52">
        <f>SUM(P2:P6)</f>
        <v>31637.5</v>
      </c>
      <c r="Q7" s="52">
        <f>P7</f>
        <v>31637.5</v>
      </c>
      <c r="R7" s="48"/>
    </row>
    <row r="8" spans="1:18" ht="27.95" x14ac:dyDescent="0.3">
      <c r="A8" s="46" t="s">
        <v>499</v>
      </c>
      <c r="B8" s="47">
        <v>22</v>
      </c>
      <c r="C8" s="47">
        <v>10</v>
      </c>
      <c r="D8" s="47">
        <v>10</v>
      </c>
      <c r="E8" s="47">
        <v>5</v>
      </c>
      <c r="F8" s="47">
        <v>10</v>
      </c>
      <c r="G8" s="47">
        <v>20</v>
      </c>
      <c r="H8" s="47">
        <v>20</v>
      </c>
      <c r="I8" s="47">
        <v>20</v>
      </c>
      <c r="J8" s="47">
        <v>10</v>
      </c>
      <c r="K8" s="47">
        <v>10</v>
      </c>
      <c r="L8" s="47">
        <v>10</v>
      </c>
      <c r="M8" s="47">
        <v>1</v>
      </c>
      <c r="N8" s="47">
        <v>10</v>
      </c>
      <c r="O8" s="48"/>
      <c r="P8" s="48"/>
      <c r="Q8" s="48"/>
      <c r="R8" s="48"/>
    </row>
    <row r="9" spans="1:18" ht="27.95" x14ac:dyDescent="0.3">
      <c r="A9" s="41" t="s">
        <v>500</v>
      </c>
      <c r="B9" s="43">
        <v>170</v>
      </c>
      <c r="C9" s="43">
        <v>325</v>
      </c>
      <c r="D9" s="43">
        <v>140</v>
      </c>
      <c r="E9" s="43">
        <v>150</v>
      </c>
      <c r="F9" s="43">
        <v>240</v>
      </c>
      <c r="G9" s="43">
        <v>300</v>
      </c>
      <c r="H9" s="43">
        <v>375</v>
      </c>
      <c r="I9" s="43">
        <v>200</v>
      </c>
      <c r="J9" s="43">
        <v>425</v>
      </c>
      <c r="K9" s="43">
        <v>625</v>
      </c>
      <c r="L9" s="43">
        <v>1600</v>
      </c>
      <c r="M9" s="43">
        <v>120</v>
      </c>
      <c r="N9" s="43">
        <v>650</v>
      </c>
      <c r="O9" s="48"/>
      <c r="P9" s="48"/>
      <c r="Q9" s="48"/>
      <c r="R9" s="48"/>
    </row>
    <row r="10" spans="1:18" x14ac:dyDescent="0.3">
      <c r="A10" s="46">
        <v>999</v>
      </c>
      <c r="B10" s="47">
        <f>B2*9</f>
        <v>0</v>
      </c>
      <c r="C10" s="47">
        <f>C2*3</f>
        <v>0</v>
      </c>
      <c r="D10" s="47">
        <f>D2*9</f>
        <v>0</v>
      </c>
      <c r="E10" s="47">
        <f>E2*2</f>
        <v>0</v>
      </c>
      <c r="F10" s="47">
        <f>F2*9</f>
        <v>0</v>
      </c>
      <c r="G10" s="47">
        <f>G2*9</f>
        <v>0</v>
      </c>
      <c r="H10" s="47">
        <f>H2*9</f>
        <v>0</v>
      </c>
      <c r="I10" s="47">
        <f>I2*9</f>
        <v>0</v>
      </c>
      <c r="J10" s="49">
        <f>J2*3</f>
        <v>0</v>
      </c>
      <c r="K10" s="49">
        <f>K2*2</f>
        <v>0</v>
      </c>
      <c r="L10" s="49">
        <f>L3*0</f>
        <v>0</v>
      </c>
      <c r="M10" s="47">
        <f>M2*2</f>
        <v>0</v>
      </c>
      <c r="N10" s="47">
        <f>N2*2</f>
        <v>0</v>
      </c>
      <c r="O10" s="48">
        <f t="shared" ref="O10:O21" si="2">B10*($B$9/$B$8)+C10*($C$9/$C$8)+D10*($D$9/$D$8)+E10*($E$9/$E$8)+F10*($F$9/$F$8)+G10*($G$9/$G$8)+H10*($H$9/$H$8)+I10*($I$9/$I$8)+J10*($J$9/$J$8)+K10*($K$9/$K$8)+L10*($L$9/$L$8)+M10*($M$9/$M$8)+N10*($N$9/$N$8)</f>
        <v>0</v>
      </c>
      <c r="P10" s="48">
        <f>O2*(A2/4)</f>
        <v>0</v>
      </c>
      <c r="Q10" s="48"/>
      <c r="R10" s="48">
        <f>P10-O10</f>
        <v>0</v>
      </c>
    </row>
    <row r="11" spans="1:18" x14ac:dyDescent="0.3">
      <c r="A11" s="46">
        <v>1250</v>
      </c>
      <c r="B11" s="47">
        <f>B3*16</f>
        <v>0</v>
      </c>
      <c r="C11" s="47">
        <f>C3*6</f>
        <v>87</v>
      </c>
      <c r="D11" s="47">
        <f>D3*16</f>
        <v>24</v>
      </c>
      <c r="E11" s="47">
        <f>E3*4</f>
        <v>2</v>
      </c>
      <c r="F11" s="49">
        <f>F3*16</f>
        <v>0</v>
      </c>
      <c r="G11" s="49">
        <f>G3*16</f>
        <v>256</v>
      </c>
      <c r="H11" s="49">
        <f>H3*16</f>
        <v>0</v>
      </c>
      <c r="I11" s="49">
        <f>I3*16</f>
        <v>120</v>
      </c>
      <c r="J11" s="49">
        <f>J3*6</f>
        <v>0</v>
      </c>
      <c r="K11" s="47">
        <f>K3*3.25</f>
        <v>24.375</v>
      </c>
      <c r="L11" s="47">
        <f>L3*2</f>
        <v>0</v>
      </c>
      <c r="M11" s="47">
        <f>M3*4</f>
        <v>0</v>
      </c>
      <c r="N11" s="47">
        <f>N3*3.5</f>
        <v>8.75</v>
      </c>
      <c r="O11" s="48">
        <f t="shared" si="2"/>
        <v>10355.6875</v>
      </c>
      <c r="P11" s="48">
        <f>O3*(A3/4)</f>
        <v>18125</v>
      </c>
      <c r="Q11" s="48"/>
      <c r="R11" s="48">
        <f>P11-O11</f>
        <v>7769.3125</v>
      </c>
    </row>
    <row r="12" spans="1:18" x14ac:dyDescent="0.3">
      <c r="A12" s="46">
        <v>1700</v>
      </c>
      <c r="B12" s="47">
        <f>B4*22</f>
        <v>0</v>
      </c>
      <c r="C12" s="47">
        <f>C4*8</f>
        <v>24</v>
      </c>
      <c r="D12" s="47">
        <f>D4*22</f>
        <v>11</v>
      </c>
      <c r="E12" s="47">
        <f>E4*6</f>
        <v>3</v>
      </c>
      <c r="F12" s="49">
        <f>F4*22</f>
        <v>0</v>
      </c>
      <c r="G12" s="49">
        <f>G4*22</f>
        <v>110</v>
      </c>
      <c r="H12" s="49">
        <f>H4*22</f>
        <v>0</v>
      </c>
      <c r="I12" s="49">
        <f>I4*22</f>
        <v>44</v>
      </c>
      <c r="J12" s="49">
        <f>J4*8</f>
        <v>0</v>
      </c>
      <c r="K12" s="47">
        <f>K4*4</f>
        <v>8</v>
      </c>
      <c r="L12" s="47">
        <f>L4*3</f>
        <v>0</v>
      </c>
      <c r="M12" s="47">
        <f>M4*4</f>
        <v>0</v>
      </c>
      <c r="N12" s="47">
        <f>N4*5</f>
        <v>5</v>
      </c>
      <c r="O12" s="48">
        <f t="shared" si="2"/>
        <v>3939</v>
      </c>
      <c r="P12" s="48">
        <f>O4*(A4/4)</f>
        <v>6825</v>
      </c>
      <c r="Q12" s="48"/>
      <c r="R12" s="48">
        <f>P12-O12</f>
        <v>2886</v>
      </c>
    </row>
    <row r="13" spans="1:18" x14ac:dyDescent="0.3">
      <c r="A13" s="46">
        <v>2450</v>
      </c>
      <c r="B13" s="47">
        <f>B5*32</f>
        <v>0</v>
      </c>
      <c r="C13" s="47">
        <f>C5*10</f>
        <v>0</v>
      </c>
      <c r="D13" s="47">
        <f>D5*32</f>
        <v>48</v>
      </c>
      <c r="E13" s="47">
        <f>E5*8</f>
        <v>0</v>
      </c>
      <c r="F13" s="47">
        <f>F5*32</f>
        <v>0</v>
      </c>
      <c r="G13" s="47">
        <f>G5*32</f>
        <v>0</v>
      </c>
      <c r="H13" s="47">
        <f>H5*32</f>
        <v>0</v>
      </c>
      <c r="I13" s="49">
        <f>I5*32</f>
        <v>48</v>
      </c>
      <c r="J13" s="53">
        <f>J5*10</f>
        <v>10</v>
      </c>
      <c r="K13" s="47">
        <f>K5*8</f>
        <v>28</v>
      </c>
      <c r="L13" s="47">
        <f>L5*4</f>
        <v>0</v>
      </c>
      <c r="M13" s="47">
        <f>M5*6</f>
        <v>0</v>
      </c>
      <c r="N13" s="47">
        <f>N5*8</f>
        <v>4</v>
      </c>
      <c r="O13" s="48">
        <f t="shared" si="2"/>
        <v>3587</v>
      </c>
      <c r="P13" s="48">
        <f>O5*(A5/4)</f>
        <v>5500</v>
      </c>
      <c r="Q13" s="48"/>
      <c r="R13" s="48">
        <f>P13-O13</f>
        <v>1913</v>
      </c>
    </row>
    <row r="14" spans="1:18" x14ac:dyDescent="0.3">
      <c r="A14" s="46">
        <v>4400</v>
      </c>
      <c r="B14" s="47">
        <f>B6*60</f>
        <v>0</v>
      </c>
      <c r="C14" s="47">
        <f>C6*20</f>
        <v>0</v>
      </c>
      <c r="D14" s="47">
        <f t="shared" ref="D14:I14" si="3">D6*60</f>
        <v>0</v>
      </c>
      <c r="E14" s="47">
        <f>E6*14</f>
        <v>0</v>
      </c>
      <c r="F14" s="49">
        <f>F6*60</f>
        <v>0</v>
      </c>
      <c r="G14" s="49">
        <f t="shared" si="3"/>
        <v>30</v>
      </c>
      <c r="H14" s="49">
        <f t="shared" si="3"/>
        <v>0</v>
      </c>
      <c r="I14" s="49">
        <f t="shared" si="3"/>
        <v>0</v>
      </c>
      <c r="J14" s="49">
        <f>J6*22</f>
        <v>0</v>
      </c>
      <c r="K14" s="47">
        <f>K6*12</f>
        <v>0</v>
      </c>
      <c r="L14" s="47">
        <f>L6*8</f>
        <v>0</v>
      </c>
      <c r="M14" s="47">
        <f>M6*12</f>
        <v>0</v>
      </c>
      <c r="N14" s="47">
        <f>N6*12</f>
        <v>6</v>
      </c>
      <c r="O14" s="48">
        <f t="shared" si="2"/>
        <v>840</v>
      </c>
      <c r="P14" s="48">
        <f>O6*(A6/4)</f>
        <v>1187.5</v>
      </c>
      <c r="Q14" s="48"/>
      <c r="R14" s="48">
        <f>P14-O14</f>
        <v>347.5</v>
      </c>
    </row>
    <row r="15" spans="1:18" x14ac:dyDescent="0.3">
      <c r="A15" s="54" t="s">
        <v>161</v>
      </c>
      <c r="B15" s="55"/>
      <c r="C15" s="55">
        <v>5</v>
      </c>
      <c r="D15" s="55"/>
      <c r="E15" s="55"/>
      <c r="F15" s="55"/>
      <c r="G15" s="55"/>
      <c r="H15" s="55"/>
      <c r="I15" s="55">
        <v>15</v>
      </c>
      <c r="J15" s="55"/>
      <c r="K15" s="55">
        <v>4</v>
      </c>
      <c r="L15" s="55">
        <v>6</v>
      </c>
      <c r="M15" s="55"/>
      <c r="N15" s="47"/>
      <c r="O15" s="48">
        <f t="shared" si="2"/>
        <v>1522.5</v>
      </c>
      <c r="P15" s="48"/>
      <c r="Q15" s="48">
        <v>4000</v>
      </c>
      <c r="R15" s="48">
        <f>SUM(R10:R14)</f>
        <v>12915.8125</v>
      </c>
    </row>
    <row r="16" spans="1:18" ht="27.95" x14ac:dyDescent="0.3">
      <c r="A16" s="56" t="s">
        <v>501</v>
      </c>
      <c r="B16" s="55">
        <v>32</v>
      </c>
      <c r="C16" s="55">
        <v>8</v>
      </c>
      <c r="D16" s="55"/>
      <c r="E16" s="55"/>
      <c r="F16" s="55"/>
      <c r="G16" s="55">
        <v>12</v>
      </c>
      <c r="H16" s="55"/>
      <c r="I16" s="55">
        <v>25</v>
      </c>
      <c r="J16" s="55"/>
      <c r="K16" s="55">
        <v>12</v>
      </c>
      <c r="L16" s="55"/>
      <c r="M16" s="55"/>
      <c r="N16" s="55"/>
      <c r="O16" s="48">
        <f t="shared" si="2"/>
        <v>1687.2727272727273</v>
      </c>
      <c r="P16" s="48"/>
      <c r="Q16" s="48">
        <v>4000</v>
      </c>
      <c r="R16" s="48"/>
    </row>
    <row r="17" spans="1:18" ht="46.75" x14ac:dyDescent="0.3">
      <c r="A17" s="57" t="s">
        <v>537</v>
      </c>
      <c r="B17" s="58"/>
      <c r="C17" s="58">
        <v>25</v>
      </c>
      <c r="D17" s="58"/>
      <c r="E17" s="58"/>
      <c r="F17" s="58"/>
      <c r="G17" s="58"/>
      <c r="H17" s="58"/>
      <c r="I17" s="58">
        <v>140</v>
      </c>
      <c r="J17" s="58">
        <v>20</v>
      </c>
      <c r="K17" s="58">
        <v>6</v>
      </c>
      <c r="L17" s="58">
        <v>6</v>
      </c>
      <c r="M17" s="58"/>
      <c r="N17" s="58">
        <v>15</v>
      </c>
      <c r="O17" s="48">
        <f t="shared" si="2"/>
        <v>5372.5</v>
      </c>
      <c r="P17" s="48"/>
      <c r="Q17" s="59">
        <v>0</v>
      </c>
      <c r="R17" s="48"/>
    </row>
    <row r="18" spans="1:18" ht="15.6" x14ac:dyDescent="0.3">
      <c r="A18" s="57" t="s">
        <v>502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48">
        <f t="shared" si="2"/>
        <v>0</v>
      </c>
      <c r="P18" s="48"/>
      <c r="Q18" s="59"/>
      <c r="R18" s="48"/>
    </row>
    <row r="19" spans="1:18" ht="46.75" x14ac:dyDescent="0.3">
      <c r="A19" s="60" t="s">
        <v>503</v>
      </c>
      <c r="B19" s="58"/>
      <c r="C19" s="58"/>
      <c r="D19" s="58"/>
      <c r="E19" s="58"/>
      <c r="F19" s="58"/>
      <c r="G19" s="58"/>
      <c r="H19" s="58"/>
      <c r="I19" s="58">
        <v>24</v>
      </c>
      <c r="J19" s="58"/>
      <c r="K19" s="58">
        <v>14</v>
      </c>
      <c r="L19" s="58"/>
      <c r="M19" s="58"/>
      <c r="N19" s="58"/>
      <c r="O19" s="48">
        <f t="shared" si="2"/>
        <v>1115</v>
      </c>
      <c r="P19" s="48"/>
      <c r="Q19" s="59">
        <v>2200</v>
      </c>
      <c r="R19" s="48"/>
    </row>
    <row r="20" spans="1:18" ht="27.95" x14ac:dyDescent="0.3">
      <c r="A20" s="61" t="s">
        <v>504</v>
      </c>
      <c r="B20" s="62">
        <v>40</v>
      </c>
      <c r="C20" s="62"/>
      <c r="D20" s="62"/>
      <c r="E20" s="62">
        <v>15</v>
      </c>
      <c r="F20" s="62"/>
      <c r="G20" s="62"/>
      <c r="H20" s="62">
        <v>100</v>
      </c>
      <c r="I20" s="62">
        <v>180</v>
      </c>
      <c r="J20" s="62"/>
      <c r="K20" s="62">
        <v>15</v>
      </c>
      <c r="L20" s="62">
        <v>15</v>
      </c>
      <c r="M20" s="62"/>
      <c r="N20" s="62">
        <v>15</v>
      </c>
      <c r="O20" s="48">
        <f t="shared" si="2"/>
        <v>8746.5909090909081</v>
      </c>
      <c r="P20" s="48"/>
      <c r="Q20" s="48">
        <v>20000</v>
      </c>
      <c r="R20" s="48"/>
    </row>
    <row r="21" spans="1:18" x14ac:dyDescent="0.3">
      <c r="A21" s="63" t="s">
        <v>502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48">
        <f t="shared" si="2"/>
        <v>0</v>
      </c>
      <c r="P21" s="48"/>
      <c r="Q21" s="48"/>
      <c r="R21" s="48"/>
    </row>
    <row r="22" spans="1:18" x14ac:dyDescent="0.3">
      <c r="A22" s="46" t="s">
        <v>498</v>
      </c>
      <c r="B22" s="47">
        <f>SUM(B10:B21)</f>
        <v>72</v>
      </c>
      <c r="C22" s="47">
        <f t="shared" ref="C22:N22" si="4">SUM(C10:C21)</f>
        <v>149</v>
      </c>
      <c r="D22" s="47">
        <f t="shared" si="4"/>
        <v>83</v>
      </c>
      <c r="E22" s="47">
        <f t="shared" si="4"/>
        <v>20</v>
      </c>
      <c r="F22" s="47">
        <f t="shared" si="4"/>
        <v>0</v>
      </c>
      <c r="G22" s="47">
        <f t="shared" si="4"/>
        <v>408</v>
      </c>
      <c r="H22" s="47">
        <f t="shared" si="4"/>
        <v>100</v>
      </c>
      <c r="I22" s="47">
        <f t="shared" si="4"/>
        <v>596</v>
      </c>
      <c r="J22" s="47">
        <f t="shared" si="4"/>
        <v>30</v>
      </c>
      <c r="K22" s="47">
        <f t="shared" si="4"/>
        <v>111.375</v>
      </c>
      <c r="L22" s="47">
        <f t="shared" si="4"/>
        <v>27</v>
      </c>
      <c r="M22" s="47">
        <f t="shared" si="4"/>
        <v>0</v>
      </c>
      <c r="N22" s="47">
        <f t="shared" si="4"/>
        <v>53.75</v>
      </c>
      <c r="O22" s="48"/>
      <c r="P22" s="48"/>
      <c r="Q22" s="48"/>
      <c r="R22" s="48"/>
    </row>
    <row r="23" spans="1:18" ht="27.95" x14ac:dyDescent="0.3">
      <c r="A23" s="46" t="s">
        <v>505</v>
      </c>
      <c r="B23" s="47"/>
      <c r="C23" s="47">
        <v>25</v>
      </c>
      <c r="D23" s="47"/>
      <c r="E23" s="47">
        <v>7</v>
      </c>
      <c r="F23" s="47"/>
      <c r="G23" s="47"/>
      <c r="H23" s="47">
        <v>50</v>
      </c>
      <c r="I23" s="47">
        <v>100</v>
      </c>
      <c r="J23" s="47">
        <v>7</v>
      </c>
      <c r="K23" s="47"/>
      <c r="L23" s="47"/>
      <c r="M23" s="47">
        <v>5</v>
      </c>
      <c r="N23" s="47"/>
      <c r="O23" s="48">
        <f>B23*($B$9/$B$8)+C23*($C$9/$C$8)+D23*($D$9/$D$8)+E23*($E$9/$E$8)+F23*($F$9/$F$8)+G23*($G$9/$G$8)+H23*($H$9/$H$8)+I23*($I$9/$I$8)+J23*($J$9/$J$8)+K23*($K$9/$K$8)+L23*($L$9/$L$8)+M23*($M$9/$M$8)+N23*($N$9/$N$8)</f>
        <v>3857.5</v>
      </c>
      <c r="P23" s="48"/>
      <c r="Q23" s="48"/>
      <c r="R23" s="48"/>
    </row>
    <row r="24" spans="1:18" x14ac:dyDescent="0.3">
      <c r="A24" s="41" t="s">
        <v>506</v>
      </c>
      <c r="B24" s="64">
        <f t="shared" ref="B24:N24" si="5">B22-B23</f>
        <v>72</v>
      </c>
      <c r="C24" s="64">
        <f t="shared" si="5"/>
        <v>124</v>
      </c>
      <c r="D24" s="64">
        <f t="shared" si="5"/>
        <v>83</v>
      </c>
      <c r="E24" s="64">
        <f t="shared" si="5"/>
        <v>13</v>
      </c>
      <c r="F24" s="64">
        <f t="shared" si="5"/>
        <v>0</v>
      </c>
      <c r="G24" s="64">
        <f t="shared" si="5"/>
        <v>408</v>
      </c>
      <c r="H24" s="64">
        <f t="shared" si="5"/>
        <v>50</v>
      </c>
      <c r="I24" s="64">
        <f t="shared" si="5"/>
        <v>496</v>
      </c>
      <c r="J24" s="64">
        <f t="shared" si="5"/>
        <v>23</v>
      </c>
      <c r="K24" s="64">
        <f t="shared" si="5"/>
        <v>111.375</v>
      </c>
      <c r="L24" s="64">
        <f t="shared" si="5"/>
        <v>27</v>
      </c>
      <c r="M24" s="64">
        <f>M22-M23</f>
        <v>-5</v>
      </c>
      <c r="N24" s="64">
        <f t="shared" si="5"/>
        <v>53.75</v>
      </c>
      <c r="O24" s="44"/>
      <c r="P24" s="44"/>
      <c r="Q24" s="44"/>
      <c r="R24" s="44"/>
    </row>
    <row r="25" spans="1:18" x14ac:dyDescent="0.3">
      <c r="A25" s="46" t="s">
        <v>507</v>
      </c>
      <c r="B25" s="65">
        <v>0.1</v>
      </c>
      <c r="C25" s="65">
        <v>0.1</v>
      </c>
      <c r="D25" s="65">
        <v>0.1</v>
      </c>
      <c r="E25" s="65">
        <v>0.1</v>
      </c>
      <c r="F25" s="65">
        <v>0.15</v>
      </c>
      <c r="G25" s="65">
        <v>0.1</v>
      </c>
      <c r="H25" s="65">
        <v>0.1</v>
      </c>
      <c r="I25" s="65">
        <v>0.1</v>
      </c>
      <c r="J25" s="65">
        <v>0.15</v>
      </c>
      <c r="K25" s="65">
        <v>0.1</v>
      </c>
      <c r="L25" s="65">
        <v>0.05</v>
      </c>
      <c r="M25" s="65">
        <v>0.1</v>
      </c>
      <c r="N25" s="65">
        <v>0.1</v>
      </c>
      <c r="O25" s="44"/>
      <c r="P25" s="44"/>
      <c r="Q25" s="44"/>
      <c r="R25" s="44"/>
    </row>
    <row r="26" spans="1:18" ht="41.95" x14ac:dyDescent="0.3">
      <c r="A26" s="46" t="s">
        <v>508</v>
      </c>
      <c r="B26" s="66">
        <f t="shared" ref="B26:N26" si="6">B24+(B24*10%)</f>
        <v>79.2</v>
      </c>
      <c r="C26" s="66">
        <f t="shared" si="6"/>
        <v>136.4</v>
      </c>
      <c r="D26" s="66">
        <f t="shared" si="6"/>
        <v>91.3</v>
      </c>
      <c r="E26" s="66">
        <f>E24+(E24*30%)</f>
        <v>16.899999999999999</v>
      </c>
      <c r="F26" s="66">
        <f t="shared" si="6"/>
        <v>0</v>
      </c>
      <c r="G26" s="66">
        <f t="shared" si="6"/>
        <v>448.8</v>
      </c>
      <c r="H26" s="66">
        <f t="shared" si="6"/>
        <v>55</v>
      </c>
      <c r="I26" s="66">
        <f t="shared" si="6"/>
        <v>545.6</v>
      </c>
      <c r="J26" s="66">
        <f>J24+(J24*15%)</f>
        <v>26.45</v>
      </c>
      <c r="K26" s="66">
        <f t="shared" si="6"/>
        <v>122.5125</v>
      </c>
      <c r="L26" s="66">
        <f t="shared" si="6"/>
        <v>29.7</v>
      </c>
      <c r="M26" s="66">
        <f t="shared" si="6"/>
        <v>-5.5</v>
      </c>
      <c r="N26" s="66">
        <f t="shared" si="6"/>
        <v>59.125</v>
      </c>
      <c r="O26" s="44"/>
      <c r="P26" s="44"/>
      <c r="Q26" s="44"/>
      <c r="R26" s="44"/>
    </row>
    <row r="27" spans="1:18" ht="27.95" x14ac:dyDescent="0.3">
      <c r="A27" s="46" t="s">
        <v>509</v>
      </c>
      <c r="B27" s="67">
        <f t="shared" ref="B27:N27" si="7">B26/B8</f>
        <v>3.6</v>
      </c>
      <c r="C27" s="67">
        <f t="shared" si="7"/>
        <v>13.64</v>
      </c>
      <c r="D27" s="67">
        <f t="shared" si="7"/>
        <v>9.129999999999999</v>
      </c>
      <c r="E27" s="67">
        <f t="shared" si="7"/>
        <v>3.38</v>
      </c>
      <c r="F27" s="67">
        <f t="shared" si="7"/>
        <v>0</v>
      </c>
      <c r="G27" s="67">
        <f t="shared" si="7"/>
        <v>22.44</v>
      </c>
      <c r="H27" s="67">
        <f t="shared" si="7"/>
        <v>2.75</v>
      </c>
      <c r="I27" s="67">
        <f t="shared" si="7"/>
        <v>27.28</v>
      </c>
      <c r="J27" s="67">
        <f t="shared" si="7"/>
        <v>2.645</v>
      </c>
      <c r="K27" s="67">
        <f t="shared" si="7"/>
        <v>12.251250000000001</v>
      </c>
      <c r="L27" s="67">
        <f t="shared" si="7"/>
        <v>2.9699999999999998</v>
      </c>
      <c r="M27" s="67">
        <f t="shared" si="7"/>
        <v>-5.5</v>
      </c>
      <c r="N27" s="67">
        <f t="shared" si="7"/>
        <v>5.9124999999999996</v>
      </c>
      <c r="O27" s="44"/>
      <c r="P27" s="44"/>
      <c r="Q27" s="44"/>
      <c r="R27" s="44"/>
    </row>
    <row r="28" spans="1:18" x14ac:dyDescent="0.3">
      <c r="A28" s="41" t="s">
        <v>510</v>
      </c>
      <c r="B28" s="43">
        <v>4</v>
      </c>
      <c r="C28" s="43">
        <v>14</v>
      </c>
      <c r="D28" s="43">
        <v>10</v>
      </c>
      <c r="E28" s="43">
        <v>4</v>
      </c>
      <c r="F28" s="43"/>
      <c r="G28" s="43">
        <v>22</v>
      </c>
      <c r="H28" s="43">
        <v>6</v>
      </c>
      <c r="I28" s="43">
        <v>34</v>
      </c>
      <c r="J28" s="43">
        <v>2</v>
      </c>
      <c r="K28" s="43">
        <v>12</v>
      </c>
      <c r="L28" s="43">
        <v>3</v>
      </c>
      <c r="M28" s="43"/>
      <c r="N28" s="43">
        <v>6</v>
      </c>
      <c r="O28" s="44"/>
      <c r="P28" s="44"/>
      <c r="Q28" s="44"/>
      <c r="R28" s="44"/>
    </row>
    <row r="29" spans="1:18" x14ac:dyDescent="0.3">
      <c r="A29" s="68"/>
      <c r="B29" s="69"/>
      <c r="C29" s="69"/>
      <c r="D29" s="69"/>
      <c r="E29" s="69"/>
      <c r="F29" s="69"/>
      <c r="G29" s="69"/>
      <c r="H29" s="69">
        <v>2</v>
      </c>
      <c r="I29" s="69">
        <v>1</v>
      </c>
      <c r="J29" s="69"/>
      <c r="K29" s="69"/>
      <c r="L29" s="69"/>
      <c r="M29" s="47"/>
      <c r="N29" s="43"/>
      <c r="O29" s="44"/>
      <c r="P29" s="44"/>
      <c r="Q29" s="44"/>
      <c r="R29" s="44"/>
    </row>
    <row r="30" spans="1:18" x14ac:dyDescent="0.3">
      <c r="A30" s="70"/>
      <c r="B30" s="71"/>
      <c r="C30" s="71">
        <v>5</v>
      </c>
      <c r="D30" s="71"/>
      <c r="E30" s="71"/>
      <c r="F30" s="71"/>
      <c r="G30" s="71"/>
      <c r="H30" s="71">
        <v>2</v>
      </c>
      <c r="I30" s="71">
        <v>5</v>
      </c>
      <c r="J30" s="71"/>
      <c r="K30" s="71"/>
      <c r="L30" s="71">
        <v>2</v>
      </c>
      <c r="M30" s="47"/>
      <c r="N30" s="47">
        <v>2</v>
      </c>
      <c r="O30" s="44"/>
      <c r="P30" s="44"/>
      <c r="Q30" s="44"/>
      <c r="R30" s="44"/>
    </row>
    <row r="31" spans="1:18" x14ac:dyDescent="0.3">
      <c r="A31" s="41"/>
      <c r="B31" s="47">
        <v>4</v>
      </c>
      <c r="C31" s="72">
        <v>2</v>
      </c>
      <c r="D31" s="47"/>
      <c r="E31" s="47"/>
      <c r="F31" s="47"/>
      <c r="G31" s="47"/>
      <c r="H31" s="47">
        <v>1</v>
      </c>
      <c r="I31" s="47">
        <v>14</v>
      </c>
      <c r="J31" s="47">
        <v>1</v>
      </c>
      <c r="K31" s="47">
        <v>2</v>
      </c>
      <c r="L31" s="47">
        <v>1</v>
      </c>
      <c r="M31" s="47"/>
      <c r="N31" s="47">
        <v>1</v>
      </c>
      <c r="O31" s="44"/>
      <c r="P31" s="44"/>
      <c r="Q31" s="44"/>
      <c r="R31" s="44"/>
    </row>
    <row r="32" spans="1:18" x14ac:dyDescent="0.3">
      <c r="A32" s="63"/>
      <c r="B32" s="73"/>
      <c r="C32" s="73">
        <v>5</v>
      </c>
      <c r="D32" s="73"/>
      <c r="E32" s="73"/>
      <c r="F32" s="73"/>
      <c r="G32" s="73"/>
      <c r="H32" s="73"/>
      <c r="I32" s="73">
        <v>1</v>
      </c>
      <c r="J32" s="73"/>
      <c r="K32" s="73">
        <v>5</v>
      </c>
      <c r="L32" s="73"/>
      <c r="M32" s="47"/>
      <c r="N32" s="47"/>
      <c r="O32" s="44"/>
      <c r="P32" s="44"/>
      <c r="Q32" s="44"/>
      <c r="R32" s="44"/>
    </row>
    <row r="33" spans="1:18" x14ac:dyDescent="0.3">
      <c r="A33" s="74"/>
      <c r="B33" s="75"/>
      <c r="C33" s="75"/>
      <c r="D33" s="75"/>
      <c r="E33" s="75"/>
      <c r="F33" s="75"/>
      <c r="G33" s="75"/>
      <c r="H33" s="75">
        <v>1</v>
      </c>
      <c r="I33" s="75"/>
      <c r="J33" s="75"/>
      <c r="K33" s="75">
        <v>5</v>
      </c>
      <c r="L33" s="75"/>
      <c r="M33" s="47"/>
      <c r="N33" s="47"/>
      <c r="O33" s="44"/>
      <c r="P33" s="44"/>
      <c r="Q33" s="44"/>
      <c r="R33" s="44"/>
    </row>
    <row r="34" spans="1:18" x14ac:dyDescent="0.3">
      <c r="A34" s="76"/>
      <c r="B34" s="77"/>
      <c r="C34" s="77"/>
      <c r="D34" s="77"/>
      <c r="E34" s="77"/>
      <c r="F34" s="77"/>
      <c r="G34" s="77"/>
      <c r="H34" s="77"/>
      <c r="I34" s="77">
        <v>2</v>
      </c>
      <c r="J34" s="77"/>
      <c r="K34" s="77"/>
      <c r="L34" s="77"/>
      <c r="M34" s="47"/>
      <c r="N34" s="47">
        <v>3</v>
      </c>
      <c r="O34" s="44"/>
      <c r="P34" s="44"/>
      <c r="Q34" s="44"/>
      <c r="R34" s="44"/>
    </row>
    <row r="35" spans="1:18" x14ac:dyDescent="0.3">
      <c r="A35" s="78"/>
      <c r="B35" s="79"/>
      <c r="C35" s="79">
        <v>2</v>
      </c>
      <c r="D35" s="79"/>
      <c r="E35" s="79"/>
      <c r="F35" s="79"/>
      <c r="G35" s="79"/>
      <c r="H35" s="79"/>
      <c r="I35" s="79">
        <v>12</v>
      </c>
      <c r="J35" s="79">
        <v>1</v>
      </c>
      <c r="K35" s="79"/>
      <c r="L35" s="79"/>
      <c r="M35" s="47"/>
      <c r="N35" s="47"/>
      <c r="O35" s="44"/>
      <c r="P35" s="44"/>
      <c r="Q35" s="44"/>
      <c r="R35" s="44"/>
    </row>
    <row r="36" spans="1:18" x14ac:dyDescent="0.3">
      <c r="A36" s="41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3"/>
      <c r="M36" s="43"/>
      <c r="N36" s="47"/>
      <c r="O36" s="44"/>
      <c r="P36" s="44"/>
      <c r="Q36" s="44"/>
      <c r="R36" s="44"/>
    </row>
    <row r="37" spans="1:18" ht="15.6" x14ac:dyDescent="0.3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44"/>
      <c r="P37" s="44"/>
      <c r="Q37" s="44"/>
      <c r="R37" s="44"/>
    </row>
    <row r="38" spans="1:18" x14ac:dyDescent="0.3">
      <c r="A38" s="43" t="s">
        <v>511</v>
      </c>
      <c r="B38" s="50">
        <f t="shared" ref="B38:N38" si="8">B28*B9</f>
        <v>680</v>
      </c>
      <c r="C38" s="50">
        <f t="shared" si="8"/>
        <v>4550</v>
      </c>
      <c r="D38" s="50">
        <f t="shared" si="8"/>
        <v>1400</v>
      </c>
      <c r="E38" s="50">
        <f t="shared" si="8"/>
        <v>600</v>
      </c>
      <c r="F38" s="50">
        <f t="shared" si="8"/>
        <v>0</v>
      </c>
      <c r="G38" s="50">
        <f t="shared" si="8"/>
        <v>6600</v>
      </c>
      <c r="H38" s="50">
        <f t="shared" si="8"/>
        <v>2250</v>
      </c>
      <c r="I38" s="50">
        <f t="shared" si="8"/>
        <v>6800</v>
      </c>
      <c r="J38" s="50">
        <f t="shared" si="8"/>
        <v>850</v>
      </c>
      <c r="K38" s="50">
        <f t="shared" si="8"/>
        <v>7500</v>
      </c>
      <c r="L38" s="50">
        <f t="shared" si="8"/>
        <v>4800</v>
      </c>
      <c r="M38" s="50">
        <f t="shared" si="8"/>
        <v>0</v>
      </c>
      <c r="N38" s="50">
        <f t="shared" si="8"/>
        <v>3900</v>
      </c>
      <c r="O38" s="44">
        <f>B38+C38+D38+E38+F38+G38+H38+I38+J38+K38+L38+M38+N38+Q60+ 2000</f>
        <v>47440</v>
      </c>
      <c r="P38" s="82"/>
      <c r="Q38" s="48">
        <f>SUM(Q7:Q23)</f>
        <v>61837.5</v>
      </c>
      <c r="R38" s="44"/>
    </row>
    <row r="39" spans="1:18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83" t="s">
        <v>512</v>
      </c>
      <c r="Q39" s="83" t="s">
        <v>513</v>
      </c>
      <c r="R39" s="44"/>
    </row>
    <row r="40" spans="1:18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 t="s">
        <v>514</v>
      </c>
      <c r="O40" s="44">
        <f t="shared" ref="O40:O59" si="9">Q40*P40</f>
        <v>1000</v>
      </c>
      <c r="P40" s="44">
        <v>5</v>
      </c>
      <c r="Q40" s="44">
        <v>200</v>
      </c>
      <c r="R40" s="44"/>
    </row>
    <row r="41" spans="1:18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 t="s">
        <v>515</v>
      </c>
      <c r="O41" s="44">
        <f t="shared" si="9"/>
        <v>300</v>
      </c>
      <c r="P41" s="44">
        <v>3</v>
      </c>
      <c r="Q41" s="44">
        <v>100</v>
      </c>
      <c r="R41" s="44"/>
    </row>
    <row r="42" spans="1:18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 t="s">
        <v>516</v>
      </c>
      <c r="O42" s="44">
        <f t="shared" si="9"/>
        <v>0</v>
      </c>
      <c r="P42" s="44">
        <v>0</v>
      </c>
      <c r="Q42" s="44">
        <v>100</v>
      </c>
      <c r="R42" s="44"/>
    </row>
    <row r="43" spans="1:18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 t="s">
        <v>517</v>
      </c>
      <c r="O43" s="44">
        <f t="shared" si="9"/>
        <v>2000</v>
      </c>
      <c r="P43" s="44">
        <v>100</v>
      </c>
      <c r="Q43" s="44">
        <v>20</v>
      </c>
      <c r="R43" s="44"/>
    </row>
    <row r="44" spans="1:18" ht="27.95" x14ac:dyDescent="0.3">
      <c r="A44" s="44"/>
      <c r="B44" s="44"/>
      <c r="C44" s="44"/>
      <c r="D44" s="44"/>
      <c r="E44" s="44"/>
      <c r="F44" s="84"/>
      <c r="G44" s="44"/>
      <c r="H44" s="44"/>
      <c r="I44" s="44"/>
      <c r="J44" s="44"/>
      <c r="K44" s="44"/>
      <c r="L44" s="44"/>
      <c r="M44" s="44"/>
      <c r="N44" s="44" t="s">
        <v>518</v>
      </c>
      <c r="O44" s="44">
        <f t="shared" si="9"/>
        <v>320</v>
      </c>
      <c r="P44" s="44">
        <v>4</v>
      </c>
      <c r="Q44" s="44">
        <v>80</v>
      </c>
      <c r="R44" s="44"/>
    </row>
    <row r="45" spans="1:18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 t="s">
        <v>519</v>
      </c>
      <c r="O45" s="44">
        <f t="shared" si="9"/>
        <v>0</v>
      </c>
      <c r="P45" s="44">
        <v>0</v>
      </c>
      <c r="Q45" s="44">
        <v>300</v>
      </c>
      <c r="R45" s="44"/>
    </row>
    <row r="46" spans="1:18" ht="27.95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 t="s">
        <v>520</v>
      </c>
      <c r="O46" s="44">
        <f t="shared" si="9"/>
        <v>0</v>
      </c>
      <c r="P46" s="44">
        <v>0</v>
      </c>
      <c r="Q46" s="44">
        <v>250</v>
      </c>
      <c r="R46" s="44"/>
    </row>
    <row r="47" spans="1:18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 t="s">
        <v>521</v>
      </c>
      <c r="O47" s="44">
        <f t="shared" si="9"/>
        <v>300</v>
      </c>
      <c r="P47" s="44">
        <v>3</v>
      </c>
      <c r="Q47" s="44">
        <v>100</v>
      </c>
      <c r="R47" s="44"/>
    </row>
    <row r="48" spans="1:18" ht="27.95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 t="s">
        <v>522</v>
      </c>
      <c r="O48" s="44">
        <f t="shared" si="9"/>
        <v>600</v>
      </c>
      <c r="P48" s="44">
        <v>2</v>
      </c>
      <c r="Q48" s="44">
        <v>300</v>
      </c>
      <c r="R48" s="44"/>
    </row>
    <row r="49" spans="1:18" x14ac:dyDescent="0.3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 t="s">
        <v>523</v>
      </c>
      <c r="O49" s="44">
        <f t="shared" si="9"/>
        <v>0</v>
      </c>
      <c r="P49" s="44">
        <v>0</v>
      </c>
      <c r="Q49" s="44">
        <v>700</v>
      </c>
      <c r="R49" s="44"/>
    </row>
    <row r="50" spans="1:18" x14ac:dyDescent="0.3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 t="s">
        <v>524</v>
      </c>
      <c r="O50" s="44">
        <f t="shared" si="9"/>
        <v>1500</v>
      </c>
      <c r="P50" s="44">
        <v>5</v>
      </c>
      <c r="Q50" s="44">
        <v>300</v>
      </c>
      <c r="R50" s="44"/>
    </row>
    <row r="51" spans="1:18" x14ac:dyDescent="0.3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 t="s">
        <v>489</v>
      </c>
      <c r="O51" s="44">
        <f t="shared" si="9"/>
        <v>900</v>
      </c>
      <c r="P51" s="44">
        <v>5</v>
      </c>
      <c r="Q51" s="44">
        <v>180</v>
      </c>
      <c r="R51" s="44"/>
    </row>
    <row r="52" spans="1:18" ht="27.95" x14ac:dyDescent="0.3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 t="s">
        <v>525</v>
      </c>
      <c r="O52" s="44">
        <f t="shared" si="9"/>
        <v>200</v>
      </c>
      <c r="P52" s="44">
        <v>2</v>
      </c>
      <c r="Q52" s="44">
        <v>100</v>
      </c>
      <c r="R52" s="44"/>
    </row>
    <row r="53" spans="1:18" ht="27.95" x14ac:dyDescent="0.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 t="s">
        <v>526</v>
      </c>
      <c r="O53" s="44">
        <f t="shared" si="9"/>
        <v>80</v>
      </c>
      <c r="P53" s="44">
        <v>1</v>
      </c>
      <c r="Q53" s="44">
        <v>80</v>
      </c>
      <c r="R53" s="44"/>
    </row>
    <row r="54" spans="1:18" ht="41.95" x14ac:dyDescent="0.3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 t="s">
        <v>527</v>
      </c>
      <c r="O54" s="44">
        <f t="shared" si="9"/>
        <v>0</v>
      </c>
      <c r="P54" s="44">
        <v>0</v>
      </c>
      <c r="Q54" s="44">
        <v>450</v>
      </c>
      <c r="R54" s="44"/>
    </row>
    <row r="55" spans="1:18" ht="41.95" x14ac:dyDescent="0.3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 t="s">
        <v>528</v>
      </c>
      <c r="O55" s="44">
        <f t="shared" si="9"/>
        <v>0</v>
      </c>
      <c r="P55" s="44">
        <v>0</v>
      </c>
      <c r="Q55" s="44">
        <v>550</v>
      </c>
      <c r="R55" s="44"/>
    </row>
    <row r="56" spans="1:18" ht="27.95" x14ac:dyDescent="0.3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 t="s">
        <v>529</v>
      </c>
      <c r="O56" s="44">
        <f t="shared" si="9"/>
        <v>0</v>
      </c>
      <c r="P56" s="44">
        <v>0</v>
      </c>
      <c r="Q56" s="44">
        <v>200</v>
      </c>
      <c r="R56" s="44"/>
    </row>
    <row r="57" spans="1:18" ht="27.95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 t="s">
        <v>530</v>
      </c>
      <c r="O57" s="44">
        <f t="shared" si="9"/>
        <v>0</v>
      </c>
      <c r="P57" s="44">
        <v>0</v>
      </c>
      <c r="Q57" s="44">
        <v>600</v>
      </c>
      <c r="R57" s="44"/>
    </row>
    <row r="58" spans="1:18" x14ac:dyDescent="0.3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 t="s">
        <v>531</v>
      </c>
      <c r="O58" s="44">
        <f t="shared" si="9"/>
        <v>0</v>
      </c>
      <c r="P58" s="44">
        <v>0</v>
      </c>
      <c r="Q58" s="44">
        <v>300</v>
      </c>
      <c r="R58" s="44"/>
    </row>
    <row r="59" spans="1:18" ht="27.95" x14ac:dyDescent="0.3">
      <c r="A59" s="44"/>
      <c r="B59" s="44"/>
      <c r="C59" s="44"/>
      <c r="D59" s="44"/>
      <c r="E59" s="44"/>
      <c r="F59" s="44"/>
      <c r="G59" s="44"/>
      <c r="H59" s="85">
        <f>(1038*25)/30</f>
        <v>865</v>
      </c>
      <c r="I59" s="44"/>
      <c r="J59" s="44"/>
      <c r="K59" s="44"/>
      <c r="L59" s="44"/>
      <c r="M59" s="44"/>
      <c r="N59" s="44" t="s">
        <v>532</v>
      </c>
      <c r="O59" s="44">
        <f t="shared" si="9"/>
        <v>0</v>
      </c>
      <c r="P59" s="44">
        <v>0</v>
      </c>
      <c r="Q59" s="44">
        <v>600</v>
      </c>
      <c r="R59" s="44"/>
    </row>
    <row r="60" spans="1:18" x14ac:dyDescent="0.3">
      <c r="Q60">
        <f>SUM(Q40:Q59)</f>
        <v>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Tripathi</dc:creator>
  <cp:lastModifiedBy>Amit Tripathi</cp:lastModifiedBy>
  <dcterms:created xsi:type="dcterms:W3CDTF">2026-07-22T15:15:24Z</dcterms:created>
  <dcterms:modified xsi:type="dcterms:W3CDTF">2026-07-22T18:09:33Z</dcterms:modified>
</cp:coreProperties>
</file>